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officedocument.spreadsheetml.styles+xml" PartName="/xl/styles.xml"/>
  <Override ContentType="application/vnd.openxmlformats-officedocument.spreadsheetml.comments+xml" PartName="/xl/comments8.xml"/>
  <Override ContentType="application/vnd.openxmlformats-officedocument.spreadsheetml.comments+xml" PartName="/xl/comments7.xml"/>
  <Override ContentType="application/vnd.openxmlformats-officedocument.spreadsheetml.comments+xml" PartName="/xl/comments9.xml"/>
  <Override ContentType="application/vnd.openxmlformats-officedocument.spreadsheetml.comments+xml" PartName="/xl/comments11.xml"/>
  <Override ContentType="application/vnd.openxmlformats-officedocument.spreadsheetml.comments+xml" PartName="/xl/comments10.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tart here" sheetId="1" r:id="rId3"/>
    <sheet state="visible" name="Moral weights and discount rate" sheetId="2" r:id="rId4"/>
    <sheet state="visible" name="AMF" sheetId="3" r:id="rId5"/>
    <sheet state="visible" name="GiveDirectly" sheetId="4" r:id="rId6"/>
    <sheet state="visible" name="Deworm the World" sheetId="5" r:id="rId7"/>
    <sheet state="visible" name="Unlimit Health" sheetId="6" r:id="rId8"/>
    <sheet state="visible" name="Sightsavers" sheetId="7" r:id="rId9"/>
    <sheet state="visible" name="Malaria Consortium" sheetId="8" r:id="rId10"/>
    <sheet state="visible" name="Helen Keller International" sheetId="9" r:id="rId11"/>
    <sheet state="visible" name="New Incentives" sheetId="10" r:id="rId12"/>
    <sheet state="visible" name="Value of counterfactual spendin" sheetId="11" r:id="rId13"/>
    <sheet state="visible" name="Supplemental intervention-level" sheetId="12" r:id="rId14"/>
  </sheets>
  <definedNames>
    <definedName name="BDT_to_USD_2017">#REF!</definedName>
    <definedName name="BDT_to_USD_2014">#REF!</definedName>
    <definedName name="lesser_lean_season_duration">#REF!</definedName>
    <definedName name="nls_household_size">#REF!</definedName>
    <definedName name="primary_lean_season_duration">#REF!</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C1">
      <text>
        <t xml:space="preserve">GiveWell uses moral weights to make cost-effectiveness comparisons between interventions achieving different types of outcomes (e.g., averting the death of a child from malaria vs. doubling consumption for a year for a very poor household). See this page for a discussion of how GiveWell uses moral weights: https://www.givewell.org/how-we-work/our-criteria/cost-effectiveness/comparing-moral-weights
In March 2019, GiveWell made an Incubation Grant to IDinsight to support a scaled-up study surveying potential program participants of our top charities about the relative value they place on different good outcomes. (https://www.givewell.org/research/incubation-grants/IDinsight-beneficiary-preferences-march-2019)
We discuss the results of the survey on this page: https://www.givewell.org/how-we-work/our-criteria/cost-effectiveness/2019-moral-weights-research
Additional information on our moral weights in 2020 is available in this document: https://docs.google.com/document/d/1hOQf6Ug1WpoicMyFDGoqH7tmf3Njjc15Z1DGERaTbnI/edit#heading=h.4ezmgjboichq</t>
      </text>
    </comment>
    <comment authorId="0" ref="E1">
      <text>
        <t xml:space="preserve">This set of moral weights is a rough attempt to represent normative values commonly used in analyses conducted by other organizations in the global health and development field. For more context on how we arrived at these weights, see https://www.givewell.org/how-we-work/our-criteria/cost-effectiveness/comparing-moral-weights. However, we don't believe there's a single set of normative values that can accurately capture the typical view in the global health and development community; we expect there to be substantial disagreement about these challenging moral questions among individuals. Therefore, these moral weights should not be interpreted as a truly representative summary of typical moral views. </t>
      </text>
    </comment>
    <comment authorId="0" ref="F1">
      <text>
        <t xml:space="preserve">I have not had time to engage on these parameters sufficiently to be able to come up with my own estimates. As a result, I have deferred to user input owners in all cases. (See Natalie's column.)</t>
      </text>
    </comment>
    <comment authorId="0" ref="I1">
      <text>
        <t xml:space="preserve">Explanation for my choices is in this document: https://docs.google.com/document/d/10IHht0DzsEyMZBTC5LQX57_U_lCDjzo6uQo12Sg6a9M/edit#heading=h.wpx6subbl8j5</t>
      </text>
    </comment>
    <comment authorId="0" ref="S1">
      <text>
        <t xml:space="preserve">Defer to Josh.</t>
      </text>
    </comment>
    <comment authorId="0" ref="A5">
      <text>
        <t xml:space="preserve">Our model accounts for changes in the natural log of consumption. The logarithmic model captures the idea that money has diminishing value as you get more and more of it. 
For example, our model considers a 50% increase in income as a little better than 50% as good as an 100% increase in income.</t>
      </text>
    </comment>
    <comment authorId="0" ref="E5">
      <text>
        <t xml:space="preserve">We don't think there is a conventional method for comparing health improvements and  consumption improvements in cost-effectiveness analyses. Some sources very roughly suggest that averting a DALY is about as valuable as providing a cash transfer of 2.5x annual GDP per capita. We extrapolate from that and assume that a DALY may be valued at 2.5x annual per capita consumption in a given population. We are not confident that this extrapolation is valid.
See our writeup for more information: https://www.givewell.org/how-we-work/our-criteria/cost-effectiveness/comparing-moral-weights</t>
      </text>
    </comment>
    <comment authorId="0" ref="A8">
      <text>
        <t xml:space="preserve">Additional information on our moral weights in 2020 is available in this document: https://docs.google.com/document/d/1hOQf6Ug1WpoicMyFDGoqH7tmf3Njjc15Z1DGERaTbnI/edit#heading=h.4ezmgjboichq
See this spreadsheet for our calculation, using data on malaria deaths for 2019 from the Institute for Health Metrics and Evaluation (IHME)'s Global Burden of Disease (GBD) project: https://docs.google.com/spreadsheets/d/1uN2lEYioSBsLPu37RcYULH0AkvNx0WQ5xusp2vU9ja4/edit?usp=sharing </t>
      </text>
    </comment>
    <comment authorId="0" ref="T8">
      <text>
        <t xml:space="preserve">From Lopez et al. 2006, Table 5.1, Pg. 402. This number is the average of male and female life expectancy at age 5, using 3% discounting and standard age weights (valuing years in the middle of the life cycle more highly). To experiment with different discounts and different age-weights, see the "YLL per death" sheet at: https://docs.google.com/spreadsheets/d/1xFvjzL8eM2Mg8yH9Jr3EJH1iE2ZedOEiNPKBCHgJJC4/edit#gid=324518670. Lopez et al. 2006: http://www.givewell.org/files/DWDA%202009/Interventions/Global%20Burden%20of%20Disease%20and%20Risk%20Factors.pdf.</t>
      </text>
    </comment>
    <comment authorId="0" ref="A9">
      <text>
        <t xml:space="preserve">Additional information on our moral weights in 2020 is available in this document: https://docs.google.com/document/d/1hOQf6Ug1WpoicMyFDGoqH7tmf3Njjc15Z1DGERaTbnI/edit#heading=h.4ezmgjboichq
See this spreadsheet for our calculation, using data on malaria deaths for 2019 from the Institute for Health Metrics and Evaluation (IHME)'s Global Burden of Disease (GBD) project: https://docs.google.com/spreadsheets/d/1uN2lEYioSBsLPu37RcYULH0AkvNx0WQ5xusp2vU9ja4/edit?usp=sharing </t>
      </text>
    </comment>
    <comment authorId="0" ref="T9">
      <text>
        <t xml:space="preserve">From Lopez et al. 2006, Table 5.1, Pg. 402. This number is the average of male and female life expectancy at age 30, using 3% discounting and standard age weights (valuing years in the middle of the life cycle more highly). To experiment with different discounts and different age-weights, see the "YLL per death" sheet at: https://docs.google.com/spreadsheets/d/1xFvjzL8eM2Mg8yH9Jr3EJH1iE2ZedOEiNPKBCHgJJC4/edit#gid=324518670. Lopez et al. 2006: http://www.givewell.org/files/DWDA%202009/Interventions/Global%20Burden%20of%20Disease%20and%20Risk%20Factors.pdf.</t>
      </text>
    </comment>
    <comment authorId="0" ref="A10">
      <text>
        <t xml:space="preserve">Additional information on our moral weights in 2020 is available in this document: https://docs.google.com/document/d/1hOQf6Ug1WpoicMyFDGoqH7tmf3Njjc15Z1DGERaTbnI/edit#heading=h.4ezmgjboichq
See our calculations for VAS in this spreadsheet: https://docs.google.com/spreadsheets/d/1S8-LZK9urXgu4STTBFXtVQfSpfn8mOmlmD_beuuLvK8/edit?usp=sharing</t>
      </text>
    </comment>
    <comment authorId="0" ref="T10">
      <text>
        <t xml:space="preserve">Table 5.1, Pg. 402. This number is the average of male and female life expectancy at age 5, using 3% discounting and standard age weights (valuing years in the middle of the life cycle more highly). To experiment with different discounts and different age-weights, see the "YLL per death" sheet at: https://docs.google.com/spreadsheets/d/1xFvjzL8eM2Mg8yH9Jr3EJH1iE2ZedOEiNPKBCHgJJC4/edit#gid=324518670.</t>
      </text>
    </comment>
    <comment authorId="0" ref="A11">
      <text>
        <t xml:space="preserve">We use the same value we calculated for malaria here: https://docs.google.com/spreadsheets/d/1uN2lEYioSBsLPu37RcYULH0AkvNx0WQ5xusp2vU9ja4/edit?usp=sharing 
We use the same value we calculated for malaria because we have not attempted to calculate the age distribution of mortalities among children under 5 for all vaccine-preventable diseases. We would guess that this age distribution of mortalities is similar to the age distribution of mortalities for deaths caused by malaria among children under 5.</t>
      </text>
    </comment>
    <comment authorId="0" ref="T11">
      <text>
        <t xml:space="preserve">Table 5.1, Pg. 402. This number is the average of male and female life expectancy at age 5, using 3% discounting and standard age weights (valuing years in the middle of the life cycle more highly). To experiment with different discounts and different age-weights, see the "YLL per death" sheet at: https://docs.google.com/spreadsheets/d/1xFvjzL8eM2Mg8yH9Jr3EJH1iE2ZedOEiNPKBCHgJJC4/edit#gid=324518670.</t>
      </text>
    </comment>
    <comment authorId="0" ref="A12">
      <text>
        <t xml:space="preserve">Additional information on our moral weights in 2020 is available in this document: https://docs.google.com/document/d/1hOQf6Ug1WpoicMyFDGoqH7tmf3Njjc15Z1DGERaTbnI/edit#heading=h.4ezmgjboichq
See calculations in this spreadsheet: https://docs.google.com/spreadsheets/d/1Ghxw03hHJhARbPePoY-4TMFlVxVcZGAENmDO45WQ8Ls/edit?usp=sharing</t>
      </text>
    </comment>
    <comment authorId="0" ref="T12">
      <text>
        <t xml:space="preserve">Table 5.1, Pg. 402. This number is the average of male and female life expectancy at age 5, using 3% discounting and standard age weights (valuing years in the middle of the life cycle more highly). To experiment with different discounts and different age-weights, see the "YLL per death" sheet at: https://docs.google.com/spreadsheets/d/1xFvjzL8eM2Mg8yH9Jr3EJH1iE2ZedOEiNPKBCHgJJC4/edit#gid=324518670.</t>
      </text>
    </comment>
    <comment authorId="0" ref="A13">
      <text>
        <t xml:space="preserve">Additional information on our moral weights in 2020 is available in this document: https://docs.google.com/document/d/1hOQf6Ug1WpoicMyFDGoqH7tmf3Njjc15Z1DGERaTbnI/edit#heading=h.4ezmgjboichq
See calculations in this spreadsheet: https://docs.google.com/spreadsheets/d/1Ghxw03hHJhARbPePoY-4TMFlVxVcZGAENmDO45WQ8Ls/edit?usp=sharing</t>
      </text>
    </comment>
    <comment authorId="0" ref="T13">
      <text>
        <t xml:space="preserve">Table 5.1, Pg. 402. This number is the average of male and female life expectancy at age 30, using 3% discounting and standard age weights (valuing years in the middle of the life cycle more highly). To experiment with different discounts and different age-weights, see the "YLL per death" sheet at: https://docs.google.com/spreadsheets/d/1xFvjzL8eM2Mg8yH9Jr3EJH1iE2ZedOEiNPKBCHgJJC4/edit#gid=324518670.</t>
      </text>
    </comment>
    <comment authorId="0" ref="A14">
      <text>
        <t xml:space="preserve">Additional information on our moral weights in 2020 is available in this document: https://docs.google.com/document/d/1hOQf6Ug1WpoicMyFDGoqH7tmf3Njjc15Z1DGERaTbnI/edit#heading=h.4ezmgjboichq
See calculations in this spreadsheet: https://docs.google.com/spreadsheets/d/1Ghxw03hHJhARbPePoY-4TMFlVxVcZGAENmDO45WQ8Ls/edit?usp=sharing</t>
      </text>
    </comment>
    <comment authorId="0" ref="T14">
      <text>
        <t xml:space="preserve">Table 5.1, Pg. 402. This number is the average of male and female life expectancy at age 60, using 3% discounting and standard age weights (valuing years in the middle of the life cycle more highly). To experiment with different discounts and different age-weights, see the "YLL per death" sheet at: https://docs.google.com/spreadsheets/d/1xFvjzL8eM2Mg8yH9Jr3EJH1iE2ZedOEiNPKBCHgJJC4/edit#gid=324518670.</t>
      </text>
    </comment>
    <comment authorId="0" ref="A16">
      <text>
        <t xml:space="preserve">To edit inputs on this sheet: 
-Make a copy of the CEA using File --&gt; Make a copy.
-Select dropdown in cell A17 to change Moral Weights inputs. Any inputs can be chosen in the "Anyone" column. 
</t>
      </text>
    </comment>
    <comment authorId="0" ref="A31">
      <text>
        <t xml:space="preserve">See this document for details: https://docs.google.com/document/d/1g2tf7Fu8-iG_8TgnJkEx9G5TlEyrcv7PXPokmPZaUMc/edit?usp=sharing</t>
      </text>
    </comment>
    <comment authorId="0" ref="E37">
      <text>
        <t xml:space="preserve">We summed the components of the discount rate to get a recommendation of 4%. This is broadly consistent with recommendations we have seen in the academic literature. For example, see: https://academic.oup.com/heapol/article/35/1/107/5591528</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F1">
      <text>
        <t xml:space="preserve">PMI states: Benue, Nasarawa, Plateau, Bauchi, Kebbi, Sokoto, Zamfara, Ebonyi, Akwa Ibom, Cross River, and Oyo.
Source: Malaria Consortium Net Target Project Report Nigeria 2020, Pg 9.
https://files.givewell.org/files/DWDA%202009/Malaria%20Consortium/Malaria_Consortium_Net_target_project_report_Nigeria_2020_Redacted.pdf</t>
      </text>
    </comment>
    <comment authorId="0" ref="G1">
      <text>
        <t xml:space="preserve">Global Fund states: Kwara, Niger, Adamawa, Gombe, Taraba, Yobe, Jigawa, Kaduna, Kano, Katsina, Delta, Ogun, and Osun.
Source: Malaria Consortium Net Target Project Report Nigeria 2020, Pg 9.
https://files.givewell.org/files/DWDA%202009/Malaria%20Consortium/Malaria_Consortium_Net_target_project_report_Nigeria_2020_Redacted.pdf</t>
      </text>
    </comment>
    <comment authorId="0" ref="A7">
      <text>
        <t xml:space="preserve">See GiveWell's 2023 analysis of AMF's cost per net, only accessible to GiveWell staff: https://docs.google.com/spreadsheets/d/1VolHINWuiOiJmXg6A6WVMr86S_gtK1FDyigJMatZwBM/edit?usp=sharing
GiveWell's 2023 analysis of AMF's cost per net is only accessible to GiveWell staff because we do not have permission to report costs covered by the Global Fund—see our November 2019 review of AMF for details: https://www.givewell.org/charities/amf/November-2019-version#CostperLLINdistributed</t>
      </text>
    </comment>
    <comment authorId="0" ref="F7">
      <text>
        <t xml:space="preserve">Calculated in an update to GiveWell's 2020 cost per net analysis, accessible only to GiveWell staff: https://docs.google.com/spreadsheets/d/1PdB7C_qHSd2oqeFXeIavA5RmVHujjSdlGqt1DhdBZrs/edit?usp=sharing</t>
      </text>
    </comment>
    <comment authorId="0" ref="G7">
      <text>
        <t xml:space="preserve">Calculated in an update to GiveWell's 2020 cost per net analysis, accessible only to GiveWell staff: https://docs.google.com/spreadsheets/d/1PdB7C_qHSd2oqeFXeIavA5RmVHujjSdlGqt1DhdBZrs/edit?usp=sharing</t>
      </text>
    </comment>
    <comment authorId="0" ref="H7">
      <text>
        <t xml:space="preserve">We have not seen detailed cost information for AMF's programs in Chad. We use data from Guinea as a reference, since it is roughly the median of other countries where AMF works, and because our understanding is that AMF plans to purchase a similar proportion of PBO nets in Chad as it has in Guinea.  
See GiveWell's 2020 analysis of AMF's cost per net, only accessible to GiveWell staff: https://docs.google.com/spreadsheets/d/1u-OTFEqD529Nef2uS7XOOoCPanNEWh3gzI6jZeAxZR4/edit?usp=sharing
GiveWell's 2020 analysis of AMF's cost per net is only accessible to GiveWell staff because we do not have permission to report costs covered by the Global Fund—see our November 2019 review of AMF for details: https://www.givewell.org/charities/amf/November-2019-version#CostperLLINdistributed</t>
      </text>
    </comment>
    <comment authorId="0" ref="A8">
      <text>
        <t xml:space="preserve">See GiveWell's 2023 analysis of AMF's cost per net, only accessible to GiveWell staff: https://docs.google.com/spreadsheets/d/1VolHINWuiOiJmXg6A6WVMr86S_gtK1FDyigJMatZwBM/edit?usp=sharing
GiveWell's 2023 analysis of AMF's cost per net is only accessible to GiveWell staff because we do not have permission to report costs covered by the Global Fund—see our November 2019 review of AMF for details: https://www.givewell.org/charities/amf/November-2019-version#CostperLLINdistributed</t>
      </text>
    </comment>
    <comment authorId="0" ref="F8">
      <text>
        <t xml:space="preserve">Calculated in an update to GiveWell's 2020 cost per net analysis, accessible only to GiveWell staff: https://docs.google.com/spreadsheets/d/1PdB7C_qHSd2oqeFXeIavA5RmVHujjSdlGqt1DhdBZrs/edit?usp=sharing</t>
      </text>
    </comment>
    <comment authorId="0" ref="G8">
      <text>
        <t xml:space="preserve">Calculated in an update to GiveWell's 2020 cost per net analysis, accessible only to GiveWell staff: https://docs.google.com/spreadsheets/d/1PdB7C_qHSd2oqeFXeIavA5RmVHujjSdlGqt1DhdBZrs/edit?usp=sharing</t>
      </text>
    </comment>
    <comment authorId="0" ref="H8">
      <text>
        <t xml:space="preserve">We have not seen detailed cost information for AMF's programs in Chad. We use data from Guinea as a reference, since it is roughly the median of other countries where AMF works, and because our understanding is that AMF plans to purchase a similar proportion of PBO nets in Chad as it has in Guinea.  
See GiveWell's 2020 analysis of AMF's cost per net, only accessible to GiveWell staff: https://docs.google.com/spreadsheets/d/1u-OTFEqD529Nef2uS7XOOoCPanNEWh3gzI6jZeAxZR4/edit?usp=sharing
GiveWell's 2020 analysis of AMF's cost per net is only accessible to GiveWell staff because we do not have permission to report costs covered by the Global Fund—see our November 2019 review of AMF for details: https://www.givewell.org/charities/amf/November-2019-version#CostperLLINdistributed</t>
      </text>
    </comment>
    <comment authorId="0" ref="A13">
      <text>
        <t xml:space="preserve">This row assumes a donation of arbitrary size ($100,000) across countries.</t>
      </text>
    </comment>
    <comment authorId="0" ref="A14">
      <text>
        <t xml:space="preserve">Spending by other contributors is proportional to AMF's spending of a donation of an arbitrary size (see row above).</t>
      </text>
    </comment>
    <comment authorId="0" ref="A15">
      <text>
        <t xml:space="preserve">See GiveWell's 2023 analysis of AMF's cost per net, only accessible to GiveWell staff: https://docs.google.com/spreadsheets/d/1VolHINWuiOiJmXg6A6WVMr86S_gtK1FDyigJMatZwBM/edit?usp=sharing
GiveWell's 2023 analysis of AMF's cost per net is only accessible to GiveWell staff because we do not have permission to report costs covered by the Global Fund—see our November 2019 review of AMF for details: https://www.givewell.org/charities/amf/November-2019-version#CostperLLINdistributed</t>
      </text>
    </comment>
    <comment authorId="0" ref="H15">
      <text>
        <t xml:space="preserve">We have not seen detailed cost information for AMF's programs in Chad. We use data from Guinea as a reference, since it is roughly the median of other countries where AMF works, and because our understanding is that AMF plans to purchase a similar proportion of PBO nets in Chad as it has in Guinea.  
See GiveWell's 2020 analysis of AMF's cost per net, only accessible to GiveWell staff: https://docs.google.com/spreadsheets/d/1u-OTFEqD529Nef2uS7XOOoCPanNEWh3gzI6jZeAxZR4/edit?usp=sharing
GiveWell's 2020 analysis of AMF's cost per net is only accessible to GiveWell staff because we do not have permission to report costs covered by the Global Fund—see our November 2019 review of AMF for details: https://www.givewell.org/charities/amf/November-2019-version#CostperLLINdistributed</t>
      </text>
    </comment>
    <comment authorId="0" ref="A19">
      <text>
        <t xml:space="preserve">We estimate that ~70% of nets distributed in trials included in the Pryce et al. 2018 meta-analysis were used. See our calculations here: 
https://docs.google.com/spreadsheets/d/1SI_QhkhKWRMG31rpbgDVbAg2ABanIXJw1Rk0osD6vrM/edit?usp=sharing</t>
      </text>
    </comment>
    <comment authorId="0" ref="A20">
      <text>
        <t xml:space="preserve">This adjustment is used to account for reduced net efficacy due to poor net usage (i.e. people who receive nets not sleeping under them). 
Net use was imperfect in trial contexts, but we guess that net use following AMF's distributions may still be lower than it was in trial contexts.  
Some information about net use in bed net trials and AMF programs can be viewed at https://docs.google.com/a/givewell.org/document/d/1-wcSC2wz6Jn8uKALZvyAo9Um1ukhIB5GMaie8lQDmhU/edit?usp=sharing. Methods for collecting usage data vary, and we don't believe we can make a simple apples-to-apples comparison between AMF use data and use data from bed net trials. We have substantial uncertainty, but our best guess is that a value of 90% is appropriate for this parameter. 
An excerpt from Lengeler 2004 (pgs. 10-11) details why net use may be a concern in large-scale distributions:
"The bulk of data in this review describe impact under ideal trial conditions (efficacy) rather than impact under large-scale programme conditions (effectiveness). While the difference between efficacy and effectiveness is likely to be small for certain medical interventions (such as vaccination or surgery), it can potentially be large for preventive interventions such as ITNs. 
Some of the consequences of moving from a scientific trial towards a large-scale programme is illustrated by the results of the two mortality trials carried out in The Gambia. The first trial was carried out under well-controlled implementation conditions, with a high coverage rate in the target population (Gambia (Alonso)). Unfortunately it was not randomized and hence not included in the present analysis. The second one was the evaluation of a national impregnation programme carried out by primary health care personnel and which faced some operational problems...and a lower coverage rate (around 60%) of the target population (Gambia (D’Alessandro)).The difference of impact between the two studies is important: the first trial achieved a total reduction in mortality of 42%, while the protective efficacy in the second trial was 23%." 
(Link to Lengeler 2004: https://www.ncbi.nlm.nih.gov/pubmed/15106149)
Additional discussion about net ownership and use is available at https://www.givewell.org/international/technical/programs/insecticide-treated-nets#How_have_larger-scale_distributions_compared_to_the_programs_addressed_in_these_studies.</t>
      </text>
    </comment>
    <comment authorId="0" ref="A25">
      <text>
        <t xml:space="preserve">We use data from AMF's post-distribution monitoring surveys to estimate the average number of people sleeping under each used net. See our analysis here:
https://docs.google.com/spreadsheets/d/1MnNwE52TiWwszvSMP39m20dy7dhRmSPvoMCKGlvPqrg/edit?usp=sharing</t>
      </text>
    </comment>
    <comment authorId="0" ref="F25">
      <text>
        <t xml:space="preserve">The AMF monitoring data we've seen doesn't include the number of people sleeping under nets in this geography. This estimate is the average number of people sleeping under nets across all geographies for which we have seen data.</t>
      </text>
    </comment>
    <comment authorId="0" ref="G25">
      <text>
        <t xml:space="preserve">The AMF monitoring data we've seen doesn't include the number of people sleeping under nets in this geography. This estimate is the average number of people sleeping under nets across all geographies for which we have seen data.</t>
      </text>
    </comment>
    <comment authorId="0" ref="H25">
      <text>
        <t xml:space="preserve">The AMF monitoring data we've seen doesn't include the number of people sleeping under nets in this geography. This estimate is the average number of people sleeping under nets across all geographies for which we have seen data.</t>
      </text>
    </comment>
    <comment authorId="0" ref="I25">
      <text>
        <t xml:space="preserve">The AMF monitoring data we've seen doesn't include the number of people sleeping under nets in this geography. This estimate is the average number of people sleeping under nets across all geographies for which we have seen data.</t>
      </text>
    </comment>
    <comment authorId="0" ref="A27">
      <text>
        <t xml:space="preserve">"Effective coverage years" refers to the average duration for which we estimate an LLIN from an AMF distribution offers protection equivalent to conventionally-treated nets (CTNs) re-treated every 6 mos as used in RCTs, over the 36-month interval between net distributions. See this page for more information: https://www.givewell.org/international/technical/programs/insecticide-treated-nets/estimating-equivalent-coverage-years-for-LLINs
For all countries except DRC, the default value of 2.11 comes from this calculation: https://docs.google.com/spreadsheets/d/1OzTick_Ua6KS8WM0ftLTRzGZd6tGePvUndCVX2tOx7M/edit#gid=1898050927&amp;range=A11:B11</t>
      </text>
    </comment>
    <comment authorId="0" ref="B27">
      <text>
        <t xml:space="preserve">We estimate a durability adjustment of -17.4% for DRC in this spreadsheet: 
https://docs.google.com/spreadsheets/d/1WKRStr770eb8XmWP69E7ZtmQw2vv5GFjXjLbEVaSOpo/edit?usp=sharing
For an in-depth explanation of our methodology, see this report: https://www.givewell.org/international/technical/programs/insecticide-treated-nets/estimating-equivalent-coverage-years-for-LLINs</t>
      </text>
    </comment>
    <comment authorId="0" ref="A28">
      <text>
        <t xml:space="preserve">In many AMF distributions, the number of nets distributed to each household is based on the number of people in the household and the allocation does not take into account whether there are any non-worn-out nets already in the household. Our model assumes that some portion of people receive a new net when they had a non-worn-out net available ("pre-existing nets"). When a net is distributed to an individual who already has a pre-existing net, the new net may eventually be used later, or the pre-existing usable net might be discarded. Given these facts, we attempt to estimate the difference in actual coverage-years achieved by different net distribution spacings.
See our calculations here: https://docs.google.com/spreadsheets/d/1Qx0xKqUfmgHdbxQbk8pqPWiCzzoYNgV9c23-rZXeCbQ/edit?usp=sharing</t>
      </text>
    </comment>
    <comment authorId="0" ref="B28">
      <text>
        <t xml:space="preserve">See here for our calculated adjustment for DRC:
https://docs.google.com/spreadsheets/d/1Qx0xKqUfmgHdbxQbk8pqPWiCzzoYNgV9c23-rZXeCbQ/edit#gid=1095392289&amp;range=B40</t>
      </text>
    </comment>
    <comment authorId="0" ref="C28">
      <text>
        <t xml:space="preserve">See our adjustment for bed net distributions with three-year distribution spacing:
https://docs.google.com/spreadsheets/d/1Qx0xKqUfmgHdbxQbk8pqPWiCzzoYNgV9c23-rZXeCbQ/edit#gid=47580580&amp;range=B28</t>
      </text>
    </comment>
    <comment authorId="0" ref="D28">
      <text>
        <t xml:space="preserve">See our adjustment for bed net distributions with three-year distribution spacing:
https://docs.google.com/spreadsheets/d/1Qx0xKqUfmgHdbxQbk8pqPWiCzzoYNgV9c23-rZXeCbQ/edit#gid=47580580&amp;range=B28</t>
      </text>
    </comment>
    <comment authorId="0" ref="E28">
      <text>
        <t xml:space="preserve">See our adjustment for bed net distributions with three-year distribution spacing:
https://docs.google.com/spreadsheets/d/1Qx0xKqUfmgHdbxQbk8pqPWiCzzoYNgV9c23-rZXeCbQ/edit#gid=47580580&amp;range=B28</t>
      </text>
    </comment>
    <comment authorId="0" ref="F28">
      <text>
        <t xml:space="preserve">We expect that the impact of funding AMF in Nigeria (PMI states) is to move from a four-year gap between bed net distributions to a three-year gap. See this spreadsheet: https://docs.google.com/spreadsheets/d/11NqKrdsCJDbHtzkwtamWQoMJx5OrmnWLlGEzeBfHxBI/edit?usp=sharing
Our adjustment for distributions moving from a four-year gap to a three-year gap is here:
https://docs.google.com/spreadsheets/d/1Qx0xKqUfmgHdbxQbk8pqPWiCzzoYNgV9c23-rZXeCbQ/edit#gid=47580580&amp;range=B31</t>
      </text>
    </comment>
    <comment authorId="0" ref="G28">
      <text>
        <t xml:space="preserve">See our adjustment for bed net distributions with three-year distribution spacing:
https://docs.google.com/spreadsheets/d/1Qx0xKqUfmgHdbxQbk8pqPWiCzzoYNgV9c23-rZXeCbQ/edit#gid=47580580&amp;range=B28</t>
      </text>
    </comment>
    <comment authorId="0" ref="H28">
      <text>
        <t xml:space="preserve">See our adjustment for bed net distributions with three-year distribution spacing:
https://docs.google.com/spreadsheets/d/1Qx0xKqUfmgHdbxQbk8pqPWiCzzoYNgV9c23-rZXeCbQ/edit#gid=47580580&amp;range=B28</t>
      </text>
    </comment>
    <comment authorId="0" ref="I28">
      <text>
        <t xml:space="preserve">See our adjustment for bed net distributions with three-year distribution spacing:
https://docs.google.com/spreadsheets/d/1Qx0xKqUfmgHdbxQbk8pqPWiCzzoYNgV9c23-rZXeCbQ/edit#gid=47580580&amp;range=B28</t>
      </text>
    </comment>
    <comment authorId="0" ref="A29">
      <text>
        <t xml:space="preserve">See our CEA changelog here for more details about why we apply this to DRC and Nigeria: 
https://www.givewell.org/how-we-work/our-criteria/cost-effectiveness/cost-effectiveness-models/changelog-2021#Adjustment_for_program_impact_being_to_move_distributions_closer_together
See our CEA changelog here for more details about why we apply this adjustment to South Sudan:
https://www.givewell.org/how-we-work/our-criteria/cost-effectiveness/cost-effectiveness-models/changelog-2023#Campaign_spacing</t>
      </text>
    </comment>
    <comment authorId="0" ref="B29">
      <text>
        <t xml:space="preserve">See calculations in this spreadsheet: 
https://docs.google.com/spreadsheets/d/14fxDr9875N5nC0mq5Jz3l1sQGd8gFh-s0G5yT9CUuaQ/edit#gid=584758538&amp;range=A48:B48</t>
      </text>
    </comment>
    <comment authorId="0" ref="F29">
      <text>
        <t xml:space="preserve">For Nigeria, we apply this adjustment to PMI-supported states because we believe the counterfactual to AMF's support is that campaigns would be delayed. See this grant page for more information: 
https://www.givewell.org/maximum-impact-fund/grants-jan-feb-2021#Modeling_impact_in_DRC_and_Nigeria
See calculations in this spreadsheet: 
https://docs.google.com/spreadsheets/d/14fxDr9875N5nC0mq5Jz3l1sQGd8gFh-s0G5yT9CUuaQ/edit#gid=568203016&amp;range=A40:B40</t>
      </text>
    </comment>
    <comment authorId="0" ref="I29">
      <text>
        <t xml:space="preserve">See calculations in this spreadsheet: 
https://docs.google.com/spreadsheets/d/14fxDr9875N5nC0mq5Jz3l1sQGd8gFh-s0G5yT9CUuaQ/edit#gid=1506205914&amp;range=A48:B48</t>
      </text>
    </comment>
    <comment authorId="0" ref="A34">
      <text>
        <t xml:space="preserve">Global Burden of Disease Study 2019 (GBD 2019) Population Estimates 
We have stored this data at: https://givewell.box.com/s/t30v1p3l2lhp32x59puz0fce7ks8eoqy
The original source can be found at: http://ghdx.healthdata.org/record/ihme-data/gbd-2019-population-estimates-1950-2019</t>
      </text>
    </comment>
    <comment authorId="0" ref="A35">
      <text>
        <t xml:space="preserve">Global Burden of Disease Study 201 (GBD 2019) Population Estimates 
We have stored this data at: https://givewell.box.com/s/t30v1p3l2lhp32x59puz0fce7ks8eoqy
The original source can be found at: http://ghdx.healthdata.org/record/ihme-data/gbd-2019-population-estimates-1950-2019</t>
      </text>
    </comment>
    <comment authorId="0" ref="A36">
      <text>
        <t xml:space="preserve">Global Burden of Disease Study 201 (GBD 2019) Population Estimates 
We have stored this data at: https://givewell.box.com/s/t30v1p3l2lhp32x59puz0fce7ks8eoqy
The original source can be found at: http://ghdx.healthdata.org/record/ihme-data/gbd-2019-population-estimates-1950-2019</t>
      </text>
    </comment>
    <comment authorId="0" ref="A37">
      <text>
        <t xml:space="preserve">Global Burden of Disease Study 201 (GBD 2019) Population Estimates 
We have stored this data at: https://givewell.box.com/s/t30v1p3l2lhp32x59puz0fce7ks8eoqy
The original source can be found at: http://ghdx.healthdata.org/record/ihme-data/gbd-2019-population-estimates-1950-2019</t>
      </text>
    </comment>
    <comment authorId="0" ref="A46">
      <text>
        <t xml:space="preserve">Estimate of the reduction in incidence for plasmodium falciparum malaria for those receiving nets from the Cochrane 2018 review of ITNs, Pryce et al. 2018. See the Pryce et al. 2018 meta-analysis here: https://www.ncbi.nlm.nih.gov/pmc/articles/PMC6418392/. We decided to use the input for p. falciparum malaria over p. vivax malaria because the incidence estimates we've seen suggest that p. vivax malaria cases are a negligible proportion of total malaria cases in Africa, where we expect AMF to fund net distributions. 
"Insecticide‐treated nets also reduce the incidence of uncomplicated episodes of Plasmodium falciparum malaria by almost a half (rate ratio 0.55, 95% CI 0.48 to 0.64; 5 trials, 35,551 participants, high‐certainty evidence) and probably reduce the incidence of uncomplicated episodes of Plasmodium vivax malaria (risk ratio (RR) 0.61, 95% CI 0.48 to 0.77; 2 trials, 10,967 participants, moderate‐certainty evidence).
Insecticide‐treated nets were also shown to reduce the prevalence of P falciparum malaria by 17% compared to no nets (RR 0.83, 95% CI 0.71 to 0.98; 6 trials, 18,809 participants, high‐certainty evidence) but may have little or no effect on the prevalence of P vivax malaria (RR 1.00, 95% CI 0.75 to 1.34; 2 trials, 10,967 participants, low‐certainty evidence)." Pryce et al. 2018, p. 2. 
Estimated case numbers of Plasmodium vivax, Regional Office for Africa, 2017: 0.67 million. Battle et al. 2019, Table 1. (https://www.thelancet.com/journals/lancet/article/PIIS0140-6736(19)31096-7/fulltext). 
Estimated case incidence count of Plasmodium falciparum, Sub-Saharan Africa, 2017: 182.7 million. Weiss et al. 2019, table on p. 328. (https://www.thelancet.com/journals/lancet/article/PIIS0140-6736(19)31097-9/fulltext). 
We also considered using the relative reduction from analyses of (i) parasite prevalence, and (ii) splenomegaly.
We decided to use the estimate of reduction in incidence for two reasons:
(i) the largest number of trials in Lengeler 2004 collect this outcome
(ii) it is consistent with our approach for estimating prevalence reductions for seasonal malaria chemoprevention.</t>
      </text>
    </comment>
    <comment authorId="0" ref="A48">
      <text>
        <t xml:space="preserve">This adjustment is used to account for the possibility that the summary effect reported in Lengeler's 2004 meta-analysis might not have been the true effect ITNs had on the populations being studied. It's GiveWell's best guess that these trials captured something close to the true effect of nets in the study settings. Although we don't have specific, serious concerns about internal validity, we use a default value below 100% based on our expectation that published studies are more likely to overstate an intervention's efficacy than understate it. 
A new Cochrane meta-analysis, Pryce et al. 2018, evaluated the risk of bias of nets studies and rated the quality of the studies of child mortality as generally high, with the relevant studies scoring as at low risk of bias in most categories.
(Link to Lengeler 2004: https://www.ncbi.nlm.nih.gov/pubmed/15106149; Link to Pryce et al. 2018: https://www.ncbi.nlm.nih.gov/pubmed/30398672)</t>
      </text>
    </comment>
    <comment authorId="0" ref="A49">
      <text>
        <t xml:space="preserve">This parameter takes into account that there may be differences in context between nets trials and current distributions that affect program results. 
This external validity adjustment is relatively small because we have already accounted for the major considerations that we believe drive external validity separately in this model: net usage, country-specific mortality rates, and insecticide resistance.</t>
      </text>
    </comment>
    <comment authorId="0" ref="A50">
      <text>
        <t xml:space="preserve">The adjustments listed here reflect our views on insecticide resistance as of February 2021. 
See GiveWell's analysis of the efficacy reduction due to insecticide resistance: 
https://docs.google.com/spreadsheets/d/1SPPneZ94C0-a7nTVW24cEKUISjdM4c4EHKMymfh-DH4/edit?usp=sharing
Further discussion is at https://www.givewell.org/international/technical/programs/insecticide-treated-nets/insecticide-resistance-malaria-control#How_does_insecticide_resistance_affect_the_expected_cost-effectiveness_of_donations_to_AMF.</t>
      </text>
    </comment>
    <comment authorId="0" ref="A51">
      <text>
        <t xml:space="preserve">Here we assume the ratio of malaria mortality reduction to malaria incidence reduction for LLIN distributions is equal to the ratio we use in our CEA of seasonal malaria chemoprevention (SMC).
From our SMC CEA: "Academic research finds that SMC reduces malaria incidence. A 100% value for this input implies that SMC reduces malaria mortality by the same percent that SMC reduces malaria incidence. An input below 100% indicates that malaria mortality does not drop as much as malaria incidence when children are given SMC treatments. Our best guess is that the reduction in malaria incidence results in a similar reduction in mortality, but we are not aware of high-quality empirical evidence that we can use to test this assumption. More discussion is available at https://www.givewell.org/international/technical/programs/seasonal-malaria-chemoprevention#Does_the_reduction_in_malaria_incidence_cause_a_similar_reduction_in_mortality"</t>
      </text>
    </comment>
    <comment authorId="0" ref="A55">
      <text>
        <t xml:space="preserve">https://docs.google.com/spreadsheets/d/18oe7vHD8POpV4RiEqRlxkEDoxWsfE7qTHWHyopu4FOQ/edit#gid=472490601</t>
      </text>
    </comment>
    <comment authorId="0" ref="A56">
      <text>
        <t xml:space="preserve">Empirical research suggests that malaria control interventions often have a larger effect on all-cause mortality than would be expected exclusively from declines in malaria-specific mortality (see excerpts below). 
We're highly uncertain about the exact value of this input, but we have spoken with malaria experts who told us that it is widely accepted there are roughly 0.5-1 indirect malaria deaths for every direct malaria death. We use a value of 0.75, the midpoint of this range, based on two sets of considerations.
- Based on talking to experts, the estimate of 0.5 seemed to be the estimate that had the most thought and work behind it from researchers with whom we spoke.
- On the other hand, when we back out indirect deaths using reductions in all-cause mortality found in Pryce et al., reductions in incidence found in Pryce et al. and share of deaths due to malaria from IHME from the time of Pryce et al., we estimate a value of 1.5. We have several reasons to be skeptical of this estimate and think it likely overestimates indirect deaths. However, this causes us to move our best guess toward the midpoint of the range given by experts. See our calculations here: https://docs.google.com/spreadsheets/d/1EPmGcfoi3IRzp6poF5soJwn4ZNyoa23fVCQCfDPHo18/edit?usp=sharing
"During randomized controlled intervention trials aimed at reducing the incidence of infection (but not 100 percent protective), the all-cause mortality of children is often reduced more than would be attributed by VA diagnosis of malaria. For example, in Kilifi the proportion of deaths of children under five years attributed to malaria by VA was 34 percent (R. W. Snow, unpublished data). During a randomized controlled trial of insecticide-treated bednets in the same area, the incidence of malaria infection was reduced by 50 percent (Snow et al. 1996), which was sufficient to reduce all-cause mortality by 33 percent (Nevill et al. 1996). More dramatically, in The Gambia, insecticide-treated bednets reduced all-cause mortality by over 60 percent, and yet the VA-diagnosed contribution of malaria to all-cause mortality among control populations was only 16 percent (Alonso et al. 1993). This has led some to speculate that malaria infection is a contributor to broad causes of mortality beyond the direct fatal consequences of infection (Molineaux 1997)."
Disease and Mortality in Sub-Saharan Africa, 2nd Edition, p. 204 https://www.ncbi.nlm.nih.gov/books/NBK2279/pdf/Bookshelf_NBK2279.pdf
"Data on all-cause mortality of children under five from DSS studies undertaken across a broad range of malaria transmission settings in Sub-Saharan Africa were analyzed against the prevalence of P. falciparum infection at each site. Weighted least-squares regression was used to model the contiguous relationships between all-cause mortality and parasite prevalence rates, allowing for the square of parasite prevalence (for possible saturation of parasite prevalence), timing, location, and the sampling precision of each study (Snow, Korenromp, and Gouws 2004). The unadjusted median all-cause child mortality rate for low prevalence areas of childhood infection (less than 25 percent) was 10.9 per year per 1,000 children under five (IQR 7.8–17.6). This rose dramatically to 39.1 per year per 1,000 children (IQR 32.8–52.2) among populations exposed to childhood parasite prevalence risks greater than or equal to 25 percent. In the regression model, mortality increased significantly with parasite prevalence, but this effect leveled off at higher prevalence rates. The model suggested that, in rural DSS sites throughout Sub-Saharan Africa, all-cause mortality increases by more than twofold (25–30 deaths per 1,000 children under five years old) over the prevalences of malaria infection covered by the DSS sites, and parasite prevalence explained 64 percent of the variation between sites in all-cause under-five mortality. By contrast, the direct estimation of malaria-specific mortality presented earlier for children living under stable endemic conditions was only 28.2 percent."
Disease and Mortality in Sub-Saharan Africa, 2nd Edition, p. 206 https://www.ncbi.nlm.nih.gov/books/NBK2279/pdf/Bookshelf_NBK2279.pdf</t>
      </text>
    </comment>
    <comment authorId="0" ref="A58">
      <text>
        <t xml:space="preserve">For a description of this input, see  the 2022 CEA changelog, version 1, change 15: 
https://www.givewell.org/how-we-work/our-criteria/cost-effectiveness/cost-effectiveness-models/changelog-2022#Change_15_Added_an_adjustment_to_account_for_deaths_averted_by_seasonal_malaria_chemoprevention_SMC_delivery_in_our_CEA_of_the_Against_Malaria_Foundation_AMF_for_Nigeria_Chad_and_Togo
See calculations in this separate copy of the CEA: https://docs.google.com/spreadsheets/d/1ZYn90fuLxzpa_yuNwzln6mPoGlbR6RSspZo7t1bDt-w/edit#gid=1364064522</t>
      </text>
    </comment>
    <comment authorId="0" ref="B58">
      <text>
        <t xml:space="preserve">SMC not implemented at large-scale in this country.</t>
      </text>
    </comment>
    <comment authorId="0" ref="C58">
      <text>
        <t xml:space="preserve">SMC is implemented in Guinea, but we have not yet prioritized creating this adjustment for Guinea because AMF does not have near-term funding needs there.</t>
      </text>
    </comment>
    <comment authorId="0" ref="E58">
      <text>
        <t xml:space="preserve">SMC not implemented at large-scale in this country.</t>
      </text>
    </comment>
    <comment authorId="0" ref="A60">
      <text>
        <t xml:space="preserve">https://files.givewell.org/files/DWDA%202009/Malaria_Atlas_Project_ITN_coverage_estimates.pdf</t>
      </text>
    </comment>
    <comment authorId="0" ref="F60">
      <text>
        <t xml:space="preserve">https://docs.google.com/spreadsheets/d/1ZUopvye4AKgXjBVM-g5MmM0i6tVbS-m8PTuLiaaWpOA/edit#gid=0</t>
      </text>
    </comment>
    <comment authorId="0" ref="G60">
      <text>
        <t xml:space="preserve">https://docs.google.com/spreadsheets/d/1ZUopvye4AKgXjBVM-g5MmM0i6tVbS-m8PTuLiaaWpOA/edit#gid=0</t>
      </text>
    </comment>
    <comment authorId="0" ref="A74">
      <text>
        <t xml:space="preserve">The original source of the data is the GBD Results Tool at https://vizhub.healthdata.org/gbd-results?params=gbd-api-2019-permalink/ba62c5ad1650e670d682ec51ba49502d</t>
      </text>
    </comment>
    <comment authorId="0" ref="F74">
      <text>
        <t xml:space="preserve">See calculations in the "Additional calculations" section on this sheet: 
https://docs.google.com/spreadsheets/d/18oe7vHD8POpV4RiEqRlxkEDoxWsfE7qTHWHyopu4FOQ/edit#gid=472490601</t>
      </text>
    </comment>
    <comment authorId="0" ref="G74">
      <text>
        <t xml:space="preserve">See calculations in the "Additional calculations" section on this sheet: 
https://docs.google.com/spreadsheets/d/18oe7vHD8POpV4RiEqRlxkEDoxWsfE7qTHWHyopu4FOQ/edit#gid=472490601</t>
      </text>
    </comment>
    <comment authorId="0" ref="A75">
      <text>
        <t xml:space="preserve">The original source of the data is the GBD Results Tool at https://vizhub.healthdata.org/gbd-results?params=gbd-api-2019-permalink/ba62c5ad1650e670d682ec51ba49502d</t>
      </text>
    </comment>
    <comment authorId="0" ref="F75">
      <text>
        <t xml:space="preserve">See calculations in the "Additional calculations" section on this sheet: 
https://docs.google.com/spreadsheets/d/18oe7vHD8POpV4RiEqRlxkEDoxWsfE7qTHWHyopu4FOQ/edit#gid=472490601</t>
      </text>
    </comment>
    <comment authorId="0" ref="G75">
      <text>
        <t xml:space="preserve">See calculations in the "Additional calculations" section on this sheet: 
https://docs.google.com/spreadsheets/d/18oe7vHD8POpV4RiEqRlxkEDoxWsfE7qTHWHyopu4FOQ/edit#gid=472490601</t>
      </text>
    </comment>
    <comment authorId="0" ref="A78">
      <text>
        <t xml:space="preserve">AMF distributed long-lasting insecticide treated nets (LLINs), which are a type of insecticide-treated net (ITN).
The link between ITN coverage and age 5 and over mortality is not well-established by empirical research. GiveWell has spoken with malaria experts who agreed that there is a solid theoretical basis for believing that ITNs should avert adult deaths. Additional details are available in our writeup at https://www.givewell.org/international/technical/programs/insecticide-treated-nets/malaria-mortality-over-five.
In our model, we consider the ratio of adult malaria deaths to child malaria deaths in countries where AMF works (using estimates from the Global Burden of Disease Project). A value of 100% for this parameter would imply that ITNs avert deaths directly in accordance with that ratio.
For example: Imagine that data suggest there are two under-5 malaria deaths for every age 5+ malaria death in a given setting. An input of 100% for this parameter would suggest that for every two under-5 deaths averted, one age 5+ death is averted. Similarly, in the same situation an input of 50% would indicate that one age 5+ death is averted for every four under-5 deaths averted.  
Note that one might choose a low value for this parameter if he or she believes that Global Burden of Disease estimates overstate malaria mortality in individuals age 5 and older.
We use a suggested value of 80%, but have limited confidence about the appropriate value for this parameter. Our value of 80% is based on the following:
1) Two reasons why bed nets may reduce proportionally less death in adults than children are:
(a) Later sleeping times: ~15% adjustment. Older individuals may go to sleep later in the day than young children. As a result, 5-and-overs may be less likely to be under bed nets during the hours when mosquitoes are most likely to bite. We do not have data on this; the only malaria researcher we spoke to who commented on this said, "We investigated mosquito biting times and the times people are under a bed net, and generally did not find large differences between adults and children, though it did vary substantially from site to site." (See link to notes in above report.) We have very roughly guessed that perhaps children are asleep during ~10 critical hours of mosquito biting time. If older individuals are not under bed nets for ~1.5 of those hours, then we roughly assume the nets are ~15% less effective for them.
(b) Lower net use: ~15% adjustment. Maybe older individuals use nets less than young children. We have not yet investigated this in-depth. The only malaria researcher we spoke to who commented on this said, "Bed net usage rates among adults are quite good overall; they mostly share a sleeping place with young children. Again, there is very little research out there and quite a lot of variability. For example, one study found the lowest usage is often among teenagers as, unlike young children, adolescents often don’t share sleeping spaces with their parents." (See link to notes in above report.) We have adjusted by ~15% for this factor very arbitrarily.
2) One factor going in the other direction is that we'd guess that a substantial portion of bednets' effects are community-level effects that come about from generally killing mosquitoes in a region; since these effects are not based on bed net usage practices for any given individual, we expect them to be similar for children and adults. We add ~10% to the adjustment to account for this factor.
3) Final discount: 100% - 15% - 15% + 10% = 80%</t>
      </text>
    </comment>
    <comment authorId="0" ref="A93">
      <text>
        <t xml:space="preserve">We assume a reduction in incidence will have a similar effect on reduction in prevalence.</t>
      </text>
    </comment>
    <comment authorId="0" ref="A96">
      <text>
        <t xml:space="preserve">The original source of the data is the GBD Results Tool at https://vizhub.healthdata.org/gbd-results?params=gbd-api-2019-permalink/b9af3b390f1060821ff8f97e63e184b4</t>
      </text>
    </comment>
    <comment authorId="0" ref="F96">
      <text>
        <t xml:space="preserve">See state-level calculations on this sheet: 
https://docs.google.com/spreadsheets/d/18oe7vHD8POpV4RiEqRlxkEDoxWsfE7qTHWHyopu4FOQ/edit#gid=472490601</t>
      </text>
    </comment>
    <comment authorId="0" ref="G96">
      <text>
        <t xml:space="preserve">See state-level calculations on this sheet: 
https://docs.google.com/spreadsheets/d/18oe7vHD8POpV4RiEqRlxkEDoxWsfE7qTHWHyopu4FOQ/edit#gid=472490601</t>
      </text>
    </comment>
    <comment authorId="0" ref="H96">
      <text>
        <t xml:space="preserve">Using the weighted average of the malaria prevalence in the regions in Chad in which we expect AMF will counterfactually cause bed nets to be distributed. 
See calculations here: 
https://docs.google.com/spreadsheets/d/1yYHguoki75oBh-ml4MxYroTWnaWzelAJlssEK8GoEdY/edit#gid=0</t>
      </text>
    </comment>
    <comment authorId="0" ref="A97">
      <text>
        <t xml:space="preserve">The original source of the data is the GBD Results Tool at https://vizhub.healthdata.org/gbd-results?params=gbd-api-2019-permalink/1a16fbf4a9d09e3877a3cee20a426db8</t>
      </text>
    </comment>
    <comment authorId="0" ref="F97">
      <text>
        <t xml:space="preserve">This estimate is not needed for our calculations because we have seen direct malaria prevalence estimates for children aged 5-14 (see below).</t>
      </text>
    </comment>
    <comment authorId="0" ref="G97">
      <text>
        <t xml:space="preserve">This estimate is not needed for our calculations because we have seen direct malaria prevalence estimates for children aged 5-14 (see below).</t>
      </text>
    </comment>
    <comment authorId="0" ref="H97">
      <text>
        <t xml:space="preserve">Using the weighted average of the malaria prevalence in the regions in Chad in which we expect AMF will counterfactually cause bed nets to be distributed. 
See calculations here: 
https://docs.google.com/spreadsheets/d/1yYHguoki75oBh-ml4MxYroTWnaWzelAJlssEK8GoEdY/edit#gid=0</t>
      </text>
    </comment>
    <comment authorId="0" ref="A98">
      <text>
        <t xml:space="preserve">The original source of the data is the GBD Results Tool at https://vizhub.healthdata.org/gbd-results?params=gbd-api-2019-permalink/fe02579329d410dc1a97f1bf80810e55</t>
      </text>
    </comment>
    <comment authorId="0" ref="F98">
      <text>
        <t xml:space="preserve">This estimate is not needed for our calculations because we have seen direct malaria prevalence estimates for children aged 5-14 (see below).</t>
      </text>
    </comment>
    <comment authorId="0" ref="G98">
      <text>
        <t xml:space="preserve">This estimate is not needed for our calculations because we have seen direct malaria prevalence estimates for children aged 5-14 (see below).</t>
      </text>
    </comment>
    <comment authorId="0" ref="H98">
      <text>
        <t xml:space="preserve">Using the weighted average of the malaria prevalence in the regions in Chad in which we expect AMF will counterfactually cause bed nets to be distributed. 
See calculations here: 
https://docs.google.com/spreadsheets/d/1yYHguoki75oBh-ml4MxYroTWnaWzelAJlssEK8GoEdY/edit#gid=0</t>
      </text>
    </comment>
    <comment authorId="0" ref="A99">
      <text>
        <t xml:space="preserve">The original source of the data is the GBD Results Tool at https://vizhub.healthdata.org/gbd-results?params=gbd-api-2019-permalink/da70d0fd5b1c8b66f9f5b8e7a6089aea</t>
      </text>
    </comment>
    <comment authorId="0" ref="F99">
      <text>
        <t xml:space="preserve">See state-level calculations on this sheet: 
https://docs.google.com/spreadsheets/d/18oe7vHD8POpV4RiEqRlxkEDoxWsfE7qTHWHyopu4FOQ/edit#gid=472490601</t>
      </text>
    </comment>
    <comment authorId="0" ref="G99">
      <text>
        <t xml:space="preserve">See state-level calculations on this sheet: 
https://docs.google.com/spreadsheets/d/18oe7vHD8POpV4RiEqRlxkEDoxWsfE7qTHWHyopu4FOQ/edit#gid=472490601</t>
      </text>
    </comment>
    <comment authorId="0" ref="H99">
      <text>
        <t xml:space="preserve">Using the weighted average of the malaria prevalence in the regions in Chad in which we expect AMF will counterfactually cause bed nets to be distributed. 
See calculations here: 
https://docs.google.com/spreadsheets/d/1yYHguoki75oBh-ml4MxYroTWnaWzelAJlssEK8GoEdY/edit#gid=0</t>
      </text>
    </comment>
    <comment authorId="0" ref="A100">
      <text>
        <t xml:space="preserve">In the absence of an LLIN distribution, net coverage would likely fall from current levels, leading to an increase in malaria prevalence.
This means the baseline prevalence (in the absence of a distribution) is likely to be higher than current prevalence.
We have attempted to quantify this consideration by calculating how much higher we would expect malaria incidence to be if net coverage dropped to 20% in a region (in line with our assumption of "Percent of all individuals owning nets (in absence of a distribution)"). We assume malaria incidence is roughly proportional to prevalence.
Our current estimate implies that, in the absence of a LLIN distribution, malaria incidence would revert to around 2013 levels.
Full calculations and sources behind this estimate can be found in this spreadsheet: 
https://docs.google.com/spreadsheets/d/1fWIfaVaTKZX53mBrB9_EdT8EUsk1Q58h7XsuNj8YyJE/edit#gid=1052575435</t>
      </text>
    </comment>
    <comment authorId="0" ref="A111">
      <text>
        <t xml:space="preserve">How many fewer children under the age of 5 do we expect to be infected with malaria at a given point in time for the arbitrary donation size given above?</t>
      </text>
    </comment>
    <comment authorId="0" ref="A112">
      <text>
        <t xml:space="preserve">How many fewer children between the ages of 5 and 14 do we expect to be infected with malaria at a given point in time for the arbitrary donation size given above?</t>
      </text>
    </comment>
    <comment authorId="0" ref="A115">
      <text>
        <t xml:space="preserve">This figure represents a midpoint between the findings of two natural experiments (Bleakley 2010, Cutler et al. 2010)
It should be interpreted as the expected increase in lifetime income from reducing the point in time probability of having malaria from 1 to 0 for one year. 
We are uncertain at what age range children would get long term benefits from malaria reduction. We chose ages 0-14 fairly arbitrarily, but do not believe the results are highly sensitive to this assumption. We normalized the results of the studies we relied on to an annual figure by dividing by 15, and then applied this to children aged between 0 and 14. If we had chosen a lower age than 14, the increase in the estimate of the annual effect would have been cancelled out by applying it to a lower proportion of the population.
We have not yet published the full rationale for choosing this figure.
Bleakley 2010: https://www.ncbi.nlm.nih.gov/pmc/articles/PMC3810960/
Cutler et al. 2010: https://scholar.harvard.edu/files/kremer/files/malaria_aej_applied_2010.04_sunday_two.pdf</t>
      </text>
    </comment>
    <comment authorId="0" ref="A116">
      <text>
        <t xml:space="preserve">We apply a downward adjustment to the headline results of the studies for two reasons:
1) The two natural experiments we use to calculate the expected increase in income from reducing malaria have a number of weaknesses and uncertainties. In particular, they study different malaria interventions that operated in different places and time periods and generated larger reductions in malaria prevalence than the programs we are currently modelling. While they support the idea that suffering from malaria can have substantial impacts on long-term income, we are unsure if extrapolating the effect sizes they estimate is externally valid for our model. 
They are also retrospective, quasi-experimental studies, and we cannot entirely rule out the possibility that the observed results are affected by unknown other factor(s) or data quality issues.
We therefore apply a subjective downward adjustment (70%) to the headline results of the studies.
2) The studies primarily report outcomes for males. We would guess that there would also be effects on income for females, but that these would be lower due to females having lower rates of labor force participation. We apply a further discount of 75% to account for this consideration.
70% x 75% gives a replicability adjustment of 52%.
We have not yet published the full rationale for choosing this figure.
Bleakley 2010: https://www.ncbi.nlm.nih.gov/pmc/articles/PMC3810960/
Cutler et al. 2010: https://scholar.harvard.edu/files/kremer/files/malaria_aej_applied_2010.04_sunday_two.pdf</t>
      </text>
    </comment>
    <comment authorId="0" ref="A120">
      <text>
        <t xml:space="preserve">Our best guess is that children are roughly 17 years of age when they begin substantive work (see our justification for the equivalent parameter in our deworming cost-effectiveness analysis https://docs.google.com/document/d/1NxN6SO8GNv1AhpHMy1-IGu-tStT7py29W8AFU0u_bLw/edit?ts=599b4840)
We assume children between the ages of 0 and 14 benefit from the long run effects of reduced childhood exposure to malaria. Taking a simple average, we expect the average beneficiary is ~7 years of age.
Our best guess is therefore that there are ~10 years between receiving nets and starting work.</t>
      </text>
    </comment>
    <comment authorId="0" ref="A123">
      <text>
        <t xml:space="preserve">For consistency, we use the same figure here as we do for our deworming CEA. This is our estimate of the length of an adult's career.</t>
      </text>
    </comment>
    <comment authorId="0" ref="A125">
      <text>
        <t xml:space="preserve">For consistency, we use the same figure here as for deworming. We repeat the cell note from our deworming cost-effectiveness analysis:
"If a person treated for worms earns additional income and supports a family, then multiple people may benefit—not just the person who was dewormed. 
In a multi-person household with one wage earner, a 10% increase in wages could enable every member of the household to consume 10% more. However, many households will have multiple wage earners, and household size may change overtime.
A rough model for estimating a value for this parameter is available at https://docs.google.com/spreadsheets/d/112uuyYt6QLRZuJojwz6fHv4JQ-GHNeIpiT-SauY3kmM/edit#gid=0. The appropriate value for this parameter will depend on many uncertain factors (e.g. household composition and how household composition changes overtime). We currently use a default value of 2.0. Our rough model suggests values close to 2 under a range of reasonable assumptions."</t>
      </text>
    </comment>
    <comment authorId="0" ref="A149">
      <text>
        <t xml:space="preserve">It's often difficult to explicitly model different kinds of wastage or other charity-level issues directly in our cost-effectiveness analysis. This section summarizes rough adjustments to our cost-effectiveness analysis to take into account our best guess of how different charity-level factors affect our best guess of true cost-effectiveness. </t>
      </text>
    </comment>
    <comment authorId="0" ref="A152">
      <text>
        <t xml:space="preserve">Scenario: The program is delivered to people who don't benefit or minimally benefit because they have received the program from another source.
This possibility is captured elsewhere in the cost-effectiveness model.</t>
      </text>
    </comment>
    <comment authorId="0" ref="A153">
      <text>
        <t xml:space="preserve">Scenario: Pills, LLINs, etc. are poorly made, counterfeit, or otherwise largely or fully ineffective at achieving the expected outcome. 
We looked into it this year and now know what brands of nets AMF is buying and in what quantities. The difference in effectiveness of brands is incorporated into the adjustment for effective coverage years.</t>
      </text>
    </comment>
    <comment authorId="0" ref="A154">
      <text>
        <t xml:space="preserve">Our cost per net analysis already accounts for nets that are purchased and do not reach households, so we do not need to adjust for that here.</t>
      </text>
    </comment>
    <comment authorId="0" ref="A158">
      <text>
        <t xml:space="preserve">Scenario: Charity sends money/goods to a country/partner and the country/partner reports back that they carried out the program and reached a certain number of people, but these results are partially or fully fabricated and we do not have monitoring results from those locations.
We have seen results from all large-scale distributions that occurred from 2012-2020 and from one distribution that occurred in 2021, though some PDM rounds have been delayed or skipped. We have not yet seen results from Nigeria, where we expect AMF to spend significant funding in the next few years, because the first distributions it will support there had not occurred at the time of our review.
</t>
      </text>
    </comment>
    <comment authorId="0" ref="A159">
      <text>
        <t xml:space="preserve">Scenario: The monitoring results that we've received are partially or fully fabricated or significantly biased in some way we are unaware of, leading us to believe that results are better than they actually were.
We have conducted a relatively thorough review of AMF's post-distribution monitoring from recent years and have seen a relatively large amount of data beyond headline results; we thus believe we have identified most major risks of bias. AMF's monitoring includes a procedure to audit data collectors' work; this procedure has found lower correspondence on key indicators than we would have expected. In some cases, results for net retention over time are higher than we would have expected compared to the independent literature.</t>
      </text>
    </comment>
    <comment authorId="0" ref="A163">
      <text>
        <t xml:space="preserve">Scenario: Charity decides to use some of the funding we directed to them to fund some research or other work that they see as being related to the program, but we don't find valuable. This would affect our cost per output analyses once it happened, so in many cases, no additional adjustment is needed. We may use a higher adjustment value for charities we have less experience with.
We have enough experience with AMF that our cost per LLIN analysis is capturing our best guess of the proportion of funds we expect AMF to use for other purposes in the future.</t>
      </text>
    </comment>
    <comment authorId="0" ref="A164">
      <text>
        <t xml:space="preserve">Scenario: Charity encounters non-funding bottlenecks to allocating funding and holds funding for a long time. At an extreme, charity is unable to spend money, draws down funding over time on work to identify opportunities to spend money for a time, and then shifts to another program.
AMF has often been slower to spend funding than it has projected, but overall has spent funding within a few years of receiving it.</t>
      </text>
    </comment>
    <comment authorId="0" ref="A165">
      <text>
        <t xml:space="preserve">Scenario: Charity runs multiple programs and shifts funds from non-GiveWell sources or fundraising effort out of the program that we want to fund as a result of receiving GiveWell-directed funding.
Not applicable: single program organization.</t>
      </text>
    </comment>
    <comment authorId="0" ref="A179">
      <text>
        <t xml:space="preserve">We only directly model some of the possible effects of the intervention. Many effects are excluded to keep the model tractable.
This section shows the speculative guesses we use to estimate the impact of outcomes we haven't explicitly modeled on the cost-effectiveness of our charities. The "Supplemental intervention-level adjustments" tab of this spreadsheet includes more details on how these adjustments are calculated and some brief justifications.</t>
      </text>
    </comment>
    <comment authorId="0" ref="A195">
      <text>
        <t xml:space="preserve">See our CEA changelog here for more details: 
https://www.givewell.org/how-we-work/our-criteria/cost-effectiveness/cost-effectiveness-models/changelog-2021#Adjustment_for_marginal_funding_going_to_lower_priority_areas</t>
      </text>
    </comment>
    <comment authorId="0" ref="H195">
      <text>
        <t xml:space="preserve">For Chad, we use a weighted average of subnational-level data on mortality rates and malaria prevalence (see calculations here: https://docs.google.com/spreadsheets/d/1yYHguoki75oBh-ml4MxYroTWnaWzelAJlssEK8GoEdY/edit?usp=sharing). 
Because we are using subnational-level data, an additional adjustment for marginal funding going to lower priority areas isn't necessary. </t>
      </text>
    </comment>
    <comment authorId="0" ref="A207">
      <text>
        <t xml:space="preserve">We cannot share the fraction of costs paid by the Global Fund. Therefore, the full calculations for the AMF leverage/funging adjustment is on a separate workbook, accessible only to GiveWell staff.
"Leverage" refers to our charities causing other entities to spend more on the program than they otherwise would have; "Funging" refers to our charities causing other entities to spend less on the program than they otherwise would have. 
See this blog post for a description of our approach to leverage and funging: https://blog.givewell.org/2018/02/13/revisiting-leverage/
All costs which are incurred by philanthropic entities (e.g. other charities, non-government donors, but not the global fund) are counted the same way as costs to our charities (i.e. we include them in our costs and assume they are not leveraged or funged).
We calculate leverage/funging for three other types of entities: (i) national governments (ii) The Global Fund (iii) pharmaceutical companies donating drugs.
</t>
      </text>
    </comment>
    <comment authorId="0" ref="A210">
      <text>
        <t xml:space="preserve">The government would provide additional funding to fully cover the intervention. The philanthropic donation therefore funges with the government and value of donating is equivalent to the marginal value of government funds.
See this document for more details: https://docs.google.com/document/d/1uiT6New2aXRB9qyrcQODhflnRR8QOZk-g1_9qaRRqjo/edit?usp=sharing
See this spreadsheet for more details on these probability estimates: https://docs.google.com/spreadsheets/d/1yWneQFeOr6uFPa5242u1MrJOUURNpX1WslQcWr-bjXM/edit?usp=sharing</t>
      </text>
    </comment>
    <comment authorId="0" ref="A211">
      <text>
        <t xml:space="preserve">The Global Fund and/or PMI would provide additional funding to fully cover the intervention. The philanthropic donation therefore funges with the Global Fund and/or PMI and value of donating is equivalent to the marginal value of Global Fund and/or PMI money.
See this document for more details: https://docs.google.com/document/d/1uiT6New2aXRB9qyrcQODhflnRR8QOZk-g1_9qaRRqjo/edit?usp=sharing
See this spreadsheet for more details on these probability estimates: https://docs.google.com/spreadsheets/d/1yWneQFeOr6uFPa5242u1MrJOUURNpX1WslQcWr-bjXM/edit?usp=sharing</t>
      </text>
    </comment>
    <comment authorId="0" ref="B211">
      <text>
        <t xml:space="preserve">GiveWell estimate based on projections we have seen for funding gaps and contributions from other funders for LLIN campaigns in DRC in 2024-26. We do not yet have permission to publish this information.</t>
      </text>
    </comment>
    <comment authorId="0" ref="F211">
      <text>
        <t xml:space="preserve">Additional data informing this probability: In 2021-2023, we expect AMF will contribute $39.2m to LLIN campaigns in PMI-supported states in Nigeria. Based on plans as of late 2021 (shared with us by AMF), we expect that PMI will spend -$7.9m on LLINs than it would have without AMF's contributions. $7.9m/$39.2m = 20%, i.e. 20% of AMF's contribution displaced PMI's funding in this period.
This is a simple calculation that doesn't account for longer-term effects of AMF's funding. It's not clear what direction the longer-term effects will go in. On the one hand, AMF's contributions have served to decrease the interval between LLIN campaigns in these states and the government may advocate to PMI to help maintain that schedule in the future, thus crowding in PMI funding. On the other hand, in future cycles less funding may be allocated for LLIN campaigns with the expectation that AMF will continue to contribute funding.
Supporting data [internal to GiveWell]: https://givewell.app.box.com/file/891944657319</t>
      </text>
    </comment>
    <comment authorId="0" ref="G211">
      <text>
        <t xml:space="preserve">See this spreadsheet for details: https://docs.google.com/spreadsheets/d/1vTly3-ywHlTr3K0HXOkyUYoc6Y2wNEgfQgq_-YtBVM8/edit?usp=sharing</t>
      </text>
    </comment>
    <comment authorId="0" ref="I211">
      <text>
        <t xml:space="preserve">See this spreadsheet for details: 
https://docs.google.com/spreadsheets/d/1dsEzePBmXi2Kz3NE4ZtBzfGL6EPzE5pgrQmmG0Mjwi8/edit#gid=0&amp;range=E21</t>
      </text>
    </comment>
    <comment authorId="0" ref="A212">
      <text>
        <t xml:space="preserve">The Global Fund would continue funding the program at the same level they currently do. In-kind government costs are partially leveraged because the program gets smaller in the absence of spending from AMF and other philanthropic actors.
See this document for more details: https://docs.google.com/document/d/1uiT6New2aXRB9qyrcQODhflnRR8QOZk-g1_9qaRRqjo/edit?usp=sharing
See this spreadsheet for more details on these probability estimates: https://docs.google.com/spreadsheets/d/1yWneQFeOr6uFPa5242u1MrJOUURNpX1WslQcWr-bjXM/edit?usp=sharing</t>
      </text>
    </comment>
    <comment authorId="0" ref="A213">
      <text>
        <t xml:space="preserve">The program would not happen without the donation. So the philanthropic funding leverages government costs and the Global Fund's costs.
See this spreadsheet for more details on these probability estimates: https://docs.google.com/spreadsheets/d/1yWneQFeOr6uFPa5242u1MrJOUURNpX1WslQcWr-bjXM/edit?usp=sharing</t>
      </text>
    </comment>
    <comment authorId="0" ref="A217">
      <text>
        <t xml:space="preserve">We cannot share the fraction of costs paid by the Global Fund. Therefore, estimates on this row are imported from a separate workbook, accessible only to GiveWell staff.</t>
      </text>
    </comment>
    <comment authorId="0" ref="A219">
      <text>
        <t xml:space="preserve">How much more cost-effective do we estimate this funding gap to be relative to GiveDirectly cash transfers?</t>
      </text>
    </comment>
    <comment authorId="0" ref="A226">
      <text>
        <t xml:space="preserve">This includes the costs to all actors, not just Against Malaria Foundation.</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A5">
      <text>
        <t xml:space="preserve">This value comes from an analysis of GiveDirectly's spending through February 2018. 
See https://docs.google.com/spreadsheets/d/1L03SQuAeRRfjyuxy20QIJByOx6PEzyJ-x4edz2fSiQ4/edit#gid=537899494 for the calculations that lead to this value.</t>
      </text>
    </comment>
    <comment authorId="0" ref="A7">
      <text>
        <t xml:space="preserve">For additional details about the transfer size and the source of the $1,000 figure, see the "Grant Structure" section of GiveWell's supplementary information about GiveDirectly.
(https://www.givewell.org/charities/give-directly/supplementary-information#GrantStructure)</t>
      </text>
    </comment>
    <comment authorId="0" ref="A8">
      <text>
        <t xml:space="preserve">Default value comes from GiveWell's Analysis of Household Size. 
See http://www.givewell.org/files/DWDA%202009/GiveDirectly/household%20size%20analysis.xls.</t>
      </text>
    </comment>
    <comment authorId="0" ref="A12">
      <text>
        <t xml:space="preserve">"Households invest part of the transfers: the value of non-land assets increased by USD 279 on average; this represents 58 percent of the control group mean USD 478, and 39 percent of the average transfer." Haushofer &amp; Shapiro 2013, Pg 20.
https://files.givewell.org/files/DWDA%202009/Interventions/Cash%20Transfers/haushofer_shapiro_uct_2013.11.16.pdf</t>
      </text>
    </comment>
    <comment authorId="0" ref="A15">
      <text>
        <t xml:space="preserve">http://www.givewell.org/international/technical/programs/cash-transfers#What_return_on_investment_do_cash-transfer_recipients_earn
Notes from former GiveWell Research Analyst Chris Smith: I would guess that roofs are an unusually good investment item. I expect that most other assets GiveDirectly's recipients invest in offer lower returns for fewer years.
It's also important to account for the fact that many items counting as assets (for the sake of the suggested 39% input for "Percentage of transfers invested") aren't interest-bearing (at least in the conventional sense). For example, many people use transfers to buy furniture.
Notes from GiveWell Senior Fellow Caitlin McGugan: 
Taking the conservative side estimate of the return to iron roofs. I agree with Chris that there’s probably a mix of investments, some of which is in durable consumption goods that don’t earn a return, bringing the average rate of return down. But I also think this is partially compensated by people selecting into non-roof investments (such as livestock) because they believe they’ll be more successful than average in that type of investment. </t>
      </text>
    </comment>
    <comment authorId="0" ref="A19">
      <text>
        <t xml:space="preserve">The calculation behind this value can be found in the "Cash" section of the "Parameters" tab at https://www.givewell.org/files/DWDA%202009/Interventions/GiveWell_cost-effectiveness_analysis_2016.xlsx.
In Haushofer and Shapiro 2013, non-durable expenditure in the control group is measured as USD 157.40 PPP per month (p. 49). This value is then multiplied by 12 to put it in annual terms, converted to nominal USD, and divided by the average household size.
(Link to Haushofer and Shapiro 2013: https://files.givewell.org/files/DWDA%202009/Interventions/Cash%20Transfers/haushofer_shapiro_uct_2013.11.16.pdf)</t>
      </text>
    </comment>
    <comment authorId="0" ref="A23">
      <text>
        <t xml:space="preserve">Notes on this input from GiveWell Senior Fellow Caitlin McGugan: 
This input is very uncertain as we lack sufficiently long follow-up evidence for GiveDirectly recipients. I'm choosing a value that I think is relatively optimistic but somewhat below the expected lifespan of a roof or a goat. 
On the one hand, I think the transfers and some investments made using them can help buffer households from income shocks, prolonging the time until they’re forced to consider selling assets. On the other hand, I think negative income shocks are frequent in these populations, and there’s a good chance that households won’t be able to hang onto their investment over the long term. The balance of evidence I'm aware of from other types of transfer programs suggests that it's challenging for households to maintain asset investments over the very long term.
Notes on this input from GiveWell Senior Advisor Michael Eddy:
Recent evidence (from Uganda, Ethiopia &amp; Nairobi) makes me generally pessimistic on the long-term (&gt; 5 year) impacts of GiveDirectly-style cash transfers.
My write-up here: https://docs.google.com/document/d/1-EIu9b7VKS-krLAoBAmIIFlttqku0E0UKFHwyWeKcDE/edit#
</t>
      </text>
    </comment>
    <comment authorId="0" ref="A25">
      <text>
        <t xml:space="preserve">In some cases, items purchased with cash transfers might be resold when they cease providing returns. We are extremely uncertain about the appropriate value for this parameter. It's our best guess that most investment items will not retain much of their original value. We have not prioritized a thorough investigation into possible values for this parameter.</t>
      </text>
    </comment>
    <comment authorId="0" ref="A29">
      <text>
        <t xml:space="preserve">We apply a 5% discount to the benefits of cash (in units of ln(consumption) due to the potential negative spillover effects of cash transfers on consumption. For details on our choice of 5%, see this document: https://docs.google.com/document/d/1C4nX3LWM-TeNMFxmNAKRbi4vtt_4ZaLoIGZzlaHmvuI/edit#.</t>
      </text>
    </comment>
    <comment authorId="0" ref="A45">
      <text>
        <t xml:space="preserve">How much more cost-effective do we estimate this funding gap to be relative to GiveDirectly cash transfers?</t>
      </text>
    </comment>
    <comment authorId="0" ref="A47">
      <text>
        <t xml:space="preserve">It's often difficult to explicitly model different kinds of wastage or other charity-level issues directly in our cost-effectiveness analysis. This section summarizes rough adjustments to our cost-effectiveness analysis to take into account our best guess of how different charity-level factors affect our best guess of true cost-effectiveness. </t>
      </text>
    </comment>
    <comment authorId="0" ref="A50">
      <text>
        <t xml:space="preserve">Scenario: The program is delivered to people who don't benefit or minimally benefit because they have received the program from another source.</t>
      </text>
    </comment>
    <comment authorId="0" ref="B50">
      <text>
        <t xml:space="preserve">Not applicable.</t>
      </text>
    </comment>
    <comment authorId="0" ref="A51">
      <text>
        <t xml:space="preserve">Scenario: Pills, LLINs, etc. are poorly made, counterfeit, or otherwise largely or fully ineffective at achieving the expected outcome. </t>
      </text>
    </comment>
    <comment authorId="0" ref="B51">
      <text>
        <t xml:space="preserve">Not applicable</t>
      </text>
    </comment>
    <comment authorId="0" ref="B52">
      <text>
        <t xml:space="preserve">In our analysis of cost per dollar delivered, we use the amount that GiveDirectly sends to recipients, not adjusted for cash that doesn't ultimately reach recipients through bribery/theft or cases of staff fraud.</t>
      </text>
    </comment>
    <comment authorId="0" ref="A56">
      <text>
        <t xml:space="preserve">Scenario: Charity sends money/goods to a country/partner and the country/partner reports back that they carried out the program and reached a certain number of people, but these results are partially or fully fabricated and we do not have monitoring results from those locations.</t>
      </text>
    </comment>
    <comment authorId="0" ref="B56">
      <text>
        <t xml:space="preserve">We've consistently received comprehensive monitoring results from GiveDirectly. (We chose not to revisit the GiveDirectly's monitoring in 2019 and therefore have not updated this.)</t>
      </text>
    </comment>
    <comment authorId="0" ref="A57">
      <text>
        <t xml:space="preserve">Scenario: The monitoring results that we've received are partially or fully fabricated or significantly biased in some way we are unaware of, leading us to believe that results are better than they actually were.</t>
      </text>
    </comment>
    <comment authorId="0" ref="B57">
      <text>
        <t xml:space="preserve">We have relatively high confidence in GiveDirectly's monitoring, which involves multiple rounds of checks and audits by different teams. (We chose not to revisit the GiveDirectly's monitoring in 2019 and therefore have not updated this.)</t>
      </text>
    </comment>
    <comment authorId="0" ref="A61">
      <text>
        <t xml:space="preserve">Scenario: Charity decides to use some of the funding we directed to them to fund some research or other work that they see as being related to the program, but we don't find valuable. This would affect our cost per output analyses once it happened, so in many cases, no additional adjustment is needed. We may use a higher adjustment value for charities we have less experience with.</t>
      </text>
    </comment>
    <comment authorId="0" ref="B61">
      <text>
        <t xml:space="preserve">Our cost per dollar delivered calculation captures spending on priorities other than delivery of cash transfers.</t>
      </text>
    </comment>
    <comment authorId="0" ref="A62">
      <text>
        <t xml:space="preserve">Scenario: Charity encounters non-funding bottlenecks to allocating funding and holds funding for a long time. At an extreme, charity is unable to spend money, draws down funding over time on work to identify opportunities to spend money for a time, and then shifts to another program.</t>
      </text>
    </comment>
    <comment authorId="0" ref="B62">
      <text>
        <t xml:space="preserve">Has been able to spend funding quickly.</t>
      </text>
    </comment>
    <comment authorId="0" ref="A63">
      <text>
        <t xml:space="preserve">Scenario: Charity runs multiple programs and shifts funds from non-GiveWell sources or fundraising effort out of the program that we want to fund as a result of receiving GiveWell-directed funding.</t>
      </text>
    </comment>
    <comment authorId="0" ref="B63">
      <text>
        <t xml:space="preserve">All funds support cash transfer programs, however some programs may be less cost-effective than the program we model in our cost-effectiveness analysis and there may be some fungibility across programs, particularly in how fundraising staff spend their time.</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s>
  <commentList>
    <comment authorId="0" ref="A7">
      <text>
        <t xml:space="preserve">See the calculation in this spreadsheet: https://docs.google.com/spreadsheets/d/1MNEPqRhIndfpeJT3LxCK1Bvrn-N81n0PlvsXRjc3fb4/edit?usp=sharing. This calculation uses new results from KLPS 4, a 20-year follow-up survey on long-run economic outcomes in the cohort from the original Miguel &amp; Kremer deworming RCT, which have been provided to GiveWell by Prof. Ted Miguel and the Kenya Life Panel Survey Team (see https://files.givewell.org/files/DWDA%202009/Interventions/Deworming/KLPS_4_E_Outcomes_GiveWell_November_2019.pdf). This work on KLPS 4 is ongoing and not yet published, so these results are subject to change. The authors have made these preliminary figures and tables available for transparency. We expect to revisit this input if and when we receive updated information. 
We now have three rounds of measurements for the economic outcomes of deworming from KLPS 2, 3, and 4, which surveyed RCT participants 10, 15, and 20 years after initial deworming treatment, respectively. KLPS 4 is the first survey round that collected data on per capita household consumption for the full sample in addition to individual earnings for the RCT study participant. Now that these results are available, we have chosen to factor both earnings and consumption results into our best-guess input. We include earnings because it is the most comparable measure between all KLPS rounds, and it is isolated to the individual contribution of the study participant. We also include per capita consumption because our impression is that it is likely to be a more comprehensive measure of economic benefits, particularly in developing countries. 
KLPS 4 found positive average treatment group differences on all measurements of economic life: income, consumption, and wealth, which is consistent with deworming boosting economic outcomes over the course of the career. However, the KLPS 4 results are smaller in magnitude (on a percentage increase basis) and higher variance than earlier survey rounds. Consumption benefits are larger than income benefits, although these results are not statistically significantly different from each other. The fall in observed benefits in KLPS 4 was the main driver of a roughly 25% decrease in this input. 
</t>
      </text>
    </comment>
    <comment authorId="0" ref="A8">
      <text>
        <t xml:space="preserve">In Baird et al. 2016, the authors state, "Take-up rates were approximately 75% in the treatment group and 5% in the control group." (p. 8).
https://doi.org/10.1093/qje/qjw022
</t>
      </text>
    </comment>
    <comment authorId="0" ref="A9">
      <text>
        <t xml:space="preserve">In Baird et al. 2016, the authors state, "Take-up rates were approximately 75% in the treatment group and 5% in the control group." (p. 8).
https://doi.org/10.1093/qje/qjw022</t>
      </text>
    </comment>
    <comment authorId="0" ref="A10">
      <text>
        <t xml:space="preserve">This calculation estimates the effect of deworming on treated individuals assuming there were no positive spillovers.
</t>
      </text>
    </comment>
    <comment authorId="0" ref="A11">
      <text>
        <t xml:space="preserve">The consumption increase found by Baird et al. may not accurately represent the true impact deworming had on the population being studied.
Additional details on our adjustment are in this document: https://docs.google.com/document/d/1PZfYXegWco0qrmQnQBjclZeq4uUdWfpE5xdBYx0cAEU/edit?usp=sharing
Further context is available in this document: https://docs.google.com/document/d/1-F5sZBq6FD6E73SWkKFhwMR9gCdKUCTfp9dOe0I-1vw/edit?usp=sharing
</t>
      </text>
    </comment>
    <comment authorId="0" ref="A12">
      <text>
        <t xml:space="preserve">Baird et al. (follow-up to Miguel and Kremer) found benefits to future income from 2.41 additional years of deworming assigned to their study's treatment group. 
Our charities aim to deworm children for up to 10 years. There may be diminishing returns as the total years of treatment increase.
Additionally, children in our charities' programs may be younger on average than children dewormed in Baird's study. We are uncertain how this would affect the value of deworming programs.
Our rationale for our choice of 90% for this input is here: https://docs.google.com/document/d/14PYVAK5_-tacBwHcDQf4m_Rfwz0tOwiBJ9FA8I79O1c/edit </t>
      </text>
    </comment>
    <comment authorId="0" ref="A13">
      <text>
        <t xml:space="preserve">Baird et al. 2016 reports that those in its treatment group were assigned 2.41 additional years of deworming on average. 
"Due to the NGO’s administrative and financial constraints, the schools were phased into deworming treatment during 1998-2001: Group 1 schools began receiving free deworming and health education in 1998, Group 2 schools in 1999, and Group 3 in 2001. Children in Group 1 and 2 schools were thus assigned 2.41 more years of deworming than Group 3 children on average (appendix Table S2), and these early beneficiaries are the treatment group in the analysis." Pgs 7-8.
https://doi.org/10.1093/qje/qjw022</t>
      </text>
    </comment>
    <comment authorId="0" ref="A17">
      <text>
        <t xml:space="preserve">Information about the default value used for this input can be found at https://docs.google.com/document/d/1NxN6SO8GNv1AhpHMy1-IGu-tStT7py29W8AFU0u_bLw/edit?ts=599b4840</t>
      </text>
    </comment>
    <comment authorId="0" ref="A19">
      <text>
        <t xml:space="preserve">The followups to Miguel and Kremer 2004 suggest that childhood deworming causes individuals to earn more as young adults. If this effect on income is real, we expect that it will persist throughout an individual's career. Our best guess is that, on average, individuals will work for about 40 years. However, we have not prioritized substantial research into the appropriate value for this parameter.
</t>
      </text>
    </comment>
    <comment authorId="0" ref="A22">
      <text>
        <t xml:space="preserve">We adjust the modeled benefits of the program downward to account for the possibility that the long-term effects of the program on income could decline over time. This is a rough adjustment that incorporates both our prior assumption that the effects of the program remain constant over time and evidence from three long-term follow-ups to the Miguel and Kremer RCT that could be interpreted as suggesting decaying benefits over time. 
See our full write-up on this topic here: https://docs.google.com/document/d/1Vh-bhYkGteK4z48LpJHIbV_CbsSnp6__gYZRGZSQlfE/edit</t>
      </text>
    </comment>
    <comment authorId="0" ref="A25">
      <text>
        <t xml:space="preserve">If a person treated for worms earns additional income and supports a family, then multiple people may benefit—not just the person who was dewormed. 
In a multi-person household with one wage earner, a 10% increase in wages could enable every member of the household to consume 10% more. However, many households will have multiple wage earners, and household size may change overtime.
A rough model for estimating a value for this parameter is available at https://docs.google.com/spreadsheets/d/112uuyYt6QLRZuJojwz6fHv4JQ-GHNeIpiT-SauY3kmM/edit#gid=0. The appropriate value for this parameter will depend on many uncertain factors (e.g. household composition and how household composition changes overtime). We currently use a default value of 2.0. Our rough model suggests values close to 2 under a range of reasonable assumptions.
</t>
      </text>
    </comment>
    <comment authorId="0" ref="A31">
      <text>
        <t xml:space="preserve">From GiveWell's estimates of Deworm the World's cost per child dewormed per year [2022] https://docs.google.com/spreadsheets/d/1OoKZlBbLR4Nysc5jBdU3Q8JHI1dHaOQRpY7WuH9P-EI/edit?usp=sharing
"Detailed summary" sheet, "Percentage of costs covered by funder" section.</t>
      </text>
    </comment>
    <comment authorId="0" ref="A32">
      <text>
        <t xml:space="preserve">From GiveWell's estimates of Deworm the World's cost per child dewormed per year [2022] https://docs.google.com/spreadsheets/d/1OoKZlBbLR4Nysc5jBdU3Q8JHI1dHaOQRpY7WuH9P-EI/edit?usp=sharing
"Detailed summary" sheet, "Percentage of costs covered by funder" section.</t>
      </text>
    </comment>
    <comment authorId="0" ref="A33">
      <text>
        <t xml:space="preserve">From GiveWell's estimates of Deworm the World's cost per child dewormed per year [2022] https://docs.google.com/spreadsheets/d/1OoKZlBbLR4Nysc5jBdU3Q8JHI1dHaOQRpY7WuH9P-EI/edit?usp=sharing
"Detailed summary" sheet, "Percentage of costs covered by funder" section.</t>
      </text>
    </comment>
    <comment authorId="0" ref="A34">
      <text>
        <t xml:space="preserve">From GiveWell's estimates of Deworm the World's cost per child dewormed per year [2022] https://docs.google.com/spreadsheets/d/1OoKZlBbLR4Nysc5jBdU3Q8JHI1dHaOQRpY7WuH9P-EI/edit?usp=sharing
"Detailed summary" sheet, "Percentage of costs covered by funder" section.</t>
      </text>
    </comment>
    <comment authorId="0" ref="A35">
      <text>
        <t xml:space="preserve">From GiveWell's estimates of Deworm the World's cost per child dewormed per year [2022] https://docs.google.com/spreadsheets/d/1OoKZlBbLR4Nysc5jBdU3Q8JHI1dHaOQRpY7WuH9P-EI/edit?usp=sharing
"Detailed summary" sheet, "Percentage of costs covered by funder" section.</t>
      </text>
    </comment>
    <comment authorId="0" ref="A39">
      <text>
        <t xml:space="preserve">This row assumes a donation of arbitrary size ($100,000) across countries.</t>
      </text>
    </comment>
    <comment authorId="0" ref="A40">
      <text>
        <t xml:space="preserve">Spending by other contributors is proportional to Deworm the World's spending of a donation of an arbitrary size (see row above).</t>
      </text>
    </comment>
    <comment authorId="0" ref="A41">
      <text>
        <t xml:space="preserve">Deworm the World's programs target children. Adults are sometimes treated, but as far as we know, our cost per treatment estimates are based only on the number of children treated and include the total costs (so no further adjustment is needed).</t>
      </text>
    </comment>
    <comment authorId="0" ref="A42">
      <text>
        <t xml:space="preserve">The calculations behind our worm intensity adjustments can be found at 
https://docs.google.com/spreadsheets/d/13KsI-m_jp-SJSbWtqGFc7ESF5_LqjNuC_Ue5mRQe1Ng/edit?usp=sharing
We describe our model in more detail in this document: https://docs.google.com/document/d/18G1ibple0cSP5qk9dCyru_MLe6ghc8qbIqC1ryJCi3o/edit?usp=sharing</t>
      </text>
    </comment>
    <comment authorId="0" ref="A46">
      <text>
        <t xml:space="preserve">Values are drawn from GiveWell's 2022 analysis of Deworm the World's cost per treatment.
See Detailed Summary Sheet, "Total cost per child dewormed per year," row 17:
https://docs.google.com/spreadsheets/d/1OoKZlBbLR4Nysc5jBdU3Q8JHI1dHaOQRpY7WuH9P-EI/edit?usp=sharing</t>
      </text>
    </comment>
    <comment authorId="0" ref="C46">
      <text>
        <t xml:space="preserve">We use a national-level estimate for cost per child dewormed in Pakistan, as most of the data we have on this comes from a single province (Kyber Pakhtunkhwa) and we aren't confident that the cost estimates we've calculated for other provinces are representative of future program costs.</t>
      </text>
    </comment>
    <comment authorId="0" ref="D46">
      <text>
        <t xml:space="preserve">We use a national-level estimate for cost per child dewormed in Pakistan, as most of the data we have on this comes from a single province (Kyber Pakhtunkhwa) and we aren't confident that the cost estimates we've calculated for other provinces are representative of future program costs.</t>
      </text>
    </comment>
    <comment authorId="0" ref="E46">
      <text>
        <t xml:space="preserve">We use a national-level estimate for cost per child dewormed in Pakistan, as most of the data we have on this comes from a single province (Kyber Pakhtunkhwa) and we aren't confident that the cost estimates we've calculated for other provinces are representative of future program costs.</t>
      </text>
    </comment>
    <comment authorId="0" ref="F46">
      <text>
        <t xml:space="preserve">We use a national-level estimate for cost per child dewormed in Pakistan, as most of the data we have on this comes from a single province (Kyber Pakhtunkhwa) and we aren't confident that the cost estimates we've calculated for other provinces are representative of future program costs.</t>
      </text>
    </comment>
    <comment authorId="0" ref="G46">
      <text>
        <t xml:space="preserve">We use a national-level estimate for cost per child dewormed in Pakistan, as most of the data we have on this comes from a single province (Kyber Pakhtunkhwa) and we aren't confident that the cost estimates we've calculated for other provinces are representative of future program costs.</t>
      </text>
    </comment>
    <comment authorId="0" ref="H46">
      <text>
        <t xml:space="preserve">We use a national-level estimate for cost per child dewormed in Pakistan, as most of the data we have on this comes from a single province (Kyber Pakhtunkhwa) and we aren't confident that the cost estimates we've calculated for other provinces are representative of future program costs.</t>
      </text>
    </comment>
    <comment authorId="0" ref="I46">
      <text>
        <t xml:space="preserve">We use a national-level estimate for cost per child dewormed in Pakistan, as most of the data we have on this comes from a single province (Kyber Pakhtunkhwa) and we aren't confident that the cost estimates we've calculated for other provinces are representative of future program costs.</t>
      </text>
    </comment>
    <comment authorId="0" ref="K46">
      <text>
        <t xml:space="preserve">In this state, some children receive one round of treatment per year, while others receive 2 rounds per year. This cost is an average across both groups.</t>
      </text>
    </comment>
    <comment authorId="0" ref="A63">
      <text>
        <t xml:space="preserve">It's often difficult to explicitly model different kinds of wastage or other charity-level issues directly in our cost-effectiveness analysis. This section summarizes rough adjustments to our cost-effectiveness analysis to take into account our best guess of how different charity-level factors affect our best guess of true cost-effectiveness. </t>
      </text>
    </comment>
    <comment authorId="0" ref="A66">
      <text>
        <t xml:space="preserve">Scenario: The program is delivered to people who don't benefit or minimally benefit because they have received the program from another source.
This possibility is captured in the exclusion list of our cost-effectiveness model.</t>
      </text>
    </comment>
    <comment authorId="0" ref="A67">
      <text>
        <t xml:space="preserve">Scenario: Pills, LLINs, etc. are poorly made, counterfeit, or otherwise largely or fully ineffective at achieving the expected outcome. 
Outside of India, drugs are donated by manufacturers in developed countries. Seems very unlikely that drugs are lower quality than in the research studies we have relied on in our cost-effectiveness analysis. Some drugs in India are procured locally and our understanidng is that these manufacturers are not certified by the World Helath Organization.</t>
      </text>
    </comment>
    <comment authorId="0" ref="A68">
      <text>
        <t xml:space="preserve">Not applicable. Our cost/child-treated estimate uses total costs and estimates of children reached.</t>
      </text>
    </comment>
    <comment authorId="0" ref="A72">
      <text>
        <t xml:space="preserve">Scenario: Charity sends money/goods to a country/partner and the country/partner reports back that they carried out the program and reached a certain number of people, but these results are partially or fully fabricated and we do not have monitoring results from those locations.
Deworm the World has generally provided monitoring from all deworming rounds in India, Kenya and Pakistan (with some exceptions because of disruption to their programs during the coronavirus pandemic). The situation is different in Nigeria, where Deworm the World normally conducts a full coverage survey for only 1 of the 2 rounds of deworming it conducts per year (in states where it conducts 2 rounds of deworming). We therefore use a higher value in Nigeria than other countries.</t>
      </text>
    </comment>
    <comment authorId="0" ref="A73">
      <text>
        <t xml:space="preserve">Scenario: The monitoring results that we've received are partially or fully fabricated or significantly biased in some way we are unaware of, leading us to believe that results are better than they actually were.
This value is low because we believe Deworm the World has a strong monitoring procedure. It hires and trains monitors (who are not associated with the government implementing the program) to visit schools during deworming to assess the quality of program implementation ("process monitoring"). It also conducts coverage surveys shortly after deworming campaigns to estimate what proportion of the target population received and swallowed the deworming treatment.</t>
      </text>
    </comment>
    <comment authorId="0" ref="A77">
      <text>
        <t xml:space="preserve">Scenario: Charity decides to use some of the funding we directed to them to fund some research or other work that they see as being related to the program, but we don't find valuable. This would affect our cost per output analyses once it happened, so in many cases, no additional adjustment is needed. We may use a higher adjustment value for charities we have less experience with.
Our cost-per-child-treated analysis uses (a) country- or state-level analysis and (b) an estimate of proportion of costs not captured in the country or state-level analyses (such as costs of exploring new possible programs or conducting research). We have not updated (b) recently so we may not be fully capturing all costs, however, our expectation is that exploration and research will not be significant priorities for Deworm the World in the next few years.</t>
      </text>
    </comment>
    <comment authorId="0" ref="A78">
      <text>
        <t xml:space="preserve">Scenario: Charity encounters non-funding bottlenecks to allocating funding and holds funding for a long time. At an extreme, charity is unable to spend money, draws down funding over time on work to identify opportunities to spend money for a time, and then shifts to another program.
Has at times been slow to spend GiveWell-directed funding, though less so in the last couple of years.</t>
      </text>
    </comment>
    <comment authorId="0" ref="A79">
      <text>
        <t xml:space="preserve">Scenario: Charity runs multiple programs and shifts funds from non-GiveWell sources or fundraising effort out of the program that we want to fund as a result of receiving GiveWell-directed funding.
Evidence Action has limited unrestricted funding relative to the size of this program. Fundraising efforts may be redirected to other programs as a result of more funding being available for this program. On the other hand, Evidence Action has told us that it would like to be less reliant on GiveWell-directed funding and has raised significant other funding for this program.</t>
      </text>
    </comment>
    <comment authorId="0" ref="A90">
      <text>
        <t xml:space="preserve">We only directly model some of the possible effects of the intervention. Many effects are excluded to keep the model tractable.
This section shows the speculative guesses we use to estimate the impact of outcomes we haven't explicitly modeled on the cost-effectiveness of our charities. The "Supplemental intervention-level adjustments" tab of this spreadsheet includes more details on how these adjustments are calculated and some brief justifications.</t>
      </text>
    </comment>
    <comment authorId="0" ref="A116">
      <text>
        <t xml:space="preserve">"Leverage" refers to our charities causing other entities to spend more on the program than they otherwise would have; "Funging" refers to our charities causing other entities to spend less on the program than they otherwise would have. 
We calculate leverage/funging for three other types of entities: (i) national governments (ii) The Global Fund (iii) pharmaceutical companies donating drugs.
All costs which are incurred by philanthropic entities (e.g. other charities, non-government donors, but not the global fund) are counted the same way as costs to our charities (i.e. we include them in our costs and assume they are not leveraged or funged).
For more details on our approach to leverage and funging, see this blog post: https://blog.givewell.org/2018/02/13/revisiting-leverage/</t>
      </text>
    </comment>
    <comment authorId="0" ref="A118">
      <text>
        <t xml:space="preserve">Values are drawn from GiveWell's 2019 analysis of Deworm the World's cost per treatment.
See 
https://docs.google.com/spreadsheets/d/1Usb4HxLTYaxUq77OAJU5NJHKhiIhau8r4GDCBkXKOmQ/edit#gid=1422275365</t>
      </text>
    </comment>
    <comment authorId="0" ref="A136">
      <text>
        <t xml:space="preserve">Upstream costs cause downstream costs. Assumes government financial costs and philanthropic actors are "upstream". The implication of government financial costs being "upstream" is they are not leveraged. We're uncertain whether this assumption is true for government financial costs, but because government financial costs are a small % of total costs it doesn't make much difference.</t>
      </text>
    </comment>
    <comment authorId="0" ref="A137">
      <text>
        <t xml:space="preserve">Upstream costs cause downstream costs. Assumes government staff costs and donated drugs are "downstream". The implication of these costs being "downstream" is if the program shrinks (i.e. we make a smaller donation), less of these costs will go to the intervention. So they are leveraged</t>
      </text>
    </comment>
    <comment authorId="0" ref="A145">
      <text>
        <t xml:space="preserve">It is our impression that there is a trend among major funders of deworming in seeking to encourage governments in sub-Saharan Africa to begin funding deworming programs. The presence of philanthropic funding for deworming could slow progress on that front. Given that this trend had not yet resulted in changes, that we know of, in availability of domestic financing for deworming, we consider it fairly low probability that philanthropic funding is crowding out government funding.</t>
      </text>
    </comment>
    <comment authorId="0" ref="A146">
      <text>
        <t xml:space="preserve">The government would continue funding the program at the same level as it currently does. Government financial costs are neither leveraged nor funged.  Donated drug costs are partially leveraged because the program gets smaller in the absence of philanthropic funding.</t>
      </text>
    </comment>
    <comment authorId="0" ref="A147">
      <text>
        <t xml:space="preserve">The program would not happen without the donation. So the philanthropic funding leverages government costs. </t>
      </text>
    </comment>
    <comment authorId="0" ref="A162">
      <text>
        <t xml:space="preserve">Assumes government staff costs are given as a constant proportion of upstream costs.</t>
      </text>
    </comment>
    <comment authorId="0" ref="A163">
      <text>
        <t xml:space="preserve">Assumes donated drugs are given as a constant proportion of upstream costs</t>
      </text>
    </comment>
    <comment authorId="0" ref="A167">
      <text>
        <t xml:space="preserve">Assumes government staff costs are given as a constant proportion of philanthropic costs (rather than upstream costs).</t>
      </text>
    </comment>
    <comment authorId="0" ref="A168">
      <text>
        <t xml:space="preserve">Assumes donated drugs costs are given as a constant proportion of philanthropic costs (rather than upstream costs).</t>
      </text>
    </comment>
    <comment authorId="0" ref="A220">
      <text>
        <t xml:space="preserve">How much more cost-effective do we estimate this funding gap to be relative to GiveDirectly cash transfers?</t>
      </text>
    </comment>
  </commentList>
</comments>
</file>

<file path=xl/comments5.xml><?xml version="1.0" encoding="utf-8"?>
<comments xmlns:r="http://schemas.openxmlformats.org/officeDocument/2006/relationships" xmlns="http://schemas.openxmlformats.org/spreadsheetml/2006/main" xmlns:xr="http://schemas.microsoft.com/office/spreadsheetml/2014/revision">
  <authors>
    <author/>
  </authors>
  <commentList>
    <comment authorId="0" ref="A7">
      <text>
        <t xml:space="preserve">See GiveWell's room for more funding analysis for Unlimit Health (2020), "Calculation: Marginal spending" sheet, cells J31:J50. 
https://docs.google.com/spreadsheets/d/18qmm7Lj1J8-AM6fe8b55tzVhxRCRDS5JtoptCwY7XFo/edit?usp=sharing
This represents the percentage of funding we expect the charity would allocate to each country if it were to receive additional funding. These are our best guesses based on conversations with the charity.
In cases where we do not have a strong prediction for where a charity will spend marginal donations or the charity has asked us to keep its plans confidential, we may substitute the proportion of funding that a charity has spent in each country over the past few years. 
</t>
      </text>
    </comment>
    <comment authorId="0" ref="A8">
      <text>
        <t xml:space="preserve">From GiveWell's 2020 analysis of Unlimit Health's cost per child dewormed per year: https://docs.google.com/spreadsheets/d/11qABbPZYnPH5NZlngj81sYct_-nS90M5tnkDJVy3w10/edit?usp=sharing</t>
      </text>
    </comment>
    <comment authorId="0" ref="A9">
      <text>
        <t xml:space="preserve">From GiveWell's 2020 analysis of Unlimit Health's cost per child dewormed per year: https://docs.google.com/spreadsheets/d/11qABbPZYnPH5NZlngj81sYct_-nS90M5tnkDJVy3w10/edit?usp=sharing</t>
      </text>
    </comment>
    <comment authorId="0" ref="A10">
      <text>
        <t xml:space="preserve">From GiveWell's 2020 analysis of Unlimit Health's cost per child dewormed per year: https://docs.google.com/spreadsheets/d/11qABbPZYnPH5NZlngj81sYct_-nS90M5tnkDJVy3w10/edit?usp=sharing</t>
      </text>
    </comment>
    <comment authorId="0" ref="A11">
      <text>
        <t xml:space="preserve">From GiveWell's 2020 analysis of Unlimit Health's cost per child dewormed per year: https://docs.google.com/spreadsheets/d/11qABbPZYnPH5NZlngj81sYct_-nS90M5tnkDJVy3w10/edit?usp=sharing</t>
      </text>
    </comment>
    <comment authorId="0" ref="A15">
      <text>
        <t xml:space="preserve">This row includes our estimates of how Unlimit Health would allocate a marginal donation of an arbitrary size ($100,000) across countries. 
We use $0.01 instead of $0 for countries where the percentage of funding to be allocated to each country with marginal donations is 0. This allows us to still calculate the cost-effectiveness of hypothetical spending in that country.</t>
      </text>
    </comment>
    <comment authorId="0" ref="A16">
      <text>
        <t xml:space="preserve">Spending by other contributors is proportional to Unlimit Health's spending of a donation of an arbitrary size (see row above).</t>
      </text>
    </comment>
    <comment authorId="0" ref="A17">
      <text>
        <t xml:space="preserve">See this spreadsheet for more detail: 
https://docs.google.com/spreadsheets/d/1SUXY9ocyO5WE_SXqilVavHWEZOxUx93X4sUbqfiVzCc/edit#gid=176755548</t>
      </text>
    </comment>
    <comment authorId="0" ref="A18">
      <text>
        <t xml:space="preserve">The calculations behind our worm intensity adjustments can be found at 
https://docs.google.com/spreadsheets/d/13KsI-m_jp-SJSbWtqGFc7ESF5_LqjNuC_Ue5mRQe1Ng/edit?usp=sharing
We describe our model in more detail in this document: https://docs.google.com/document/d/18G1ibple0cSP5qk9dCyru_MLe6ghc8qbIqC1ryJCi3o/edit?usp=sharing</t>
      </text>
    </comment>
    <comment authorId="0" ref="A23">
      <text>
        <t xml:space="preserve">From GiveWell's 2020 analysis of Unlimit Health's cost per child dewormed per year: https://docs.google.com/spreadsheets/d/11qABbPZYnPH5NZlngj81sYct_-nS90M5tnkDJVy3w10/edit?usp=sharing</t>
      </text>
    </comment>
    <comment authorId="0" ref="A42">
      <text>
        <t xml:space="preserve">It's often difficult to explicitly model different kinds of wastage or other charity-level issues directly in our cost-effectiveness analysis. This section summarizes rough adjustments to our cost-effectiveness analysis to take into account our best guess of how different charity-level factors affect our best guess of true cost-effectiveness. </t>
      </text>
    </comment>
    <comment authorId="0" ref="A45">
      <text>
        <t xml:space="preserve">Scenario: The program is delivered to people who don't benefit or minimally benefit because they have received the program from another source.
This possibility is captured in the exclusion list of our cost-effectiveness model.</t>
      </text>
    </comment>
    <comment authorId="0" ref="A46">
      <text>
        <t xml:space="preserve">Scenario: Pills, LLINs, etc. are poorly made, counterfeit, or otherwise largely or fully ineffective at achieving the expected outcome. 
Drugs are donated by manufacturers in developed countries. Seems very unlikely that drugs are lower quality than in the  research studies we have relied on in our cost-effectiveness analysis.</t>
      </text>
    </comment>
    <comment authorId="0" ref="A47">
      <text>
        <t xml:space="preserve">Not applicable. Our cost/child-treated estimate uses total costs and estimates of children reached.</t>
      </text>
    </comment>
    <comment authorId="0" ref="A51">
      <text>
        <t xml:space="preserve">Scenario: Charity sends money/goods to a country/partner and the country/partner reports back that they carried out the program and reached a certain number of people, but these results are partially or fully fabricated and we do not have monitoring results from those locations.
We have received monitoring results from a non-random half of Unlimit Health-supported programs over the last few years.</t>
      </text>
    </comment>
    <comment authorId="0" ref="A52">
      <text>
        <t xml:space="preserve">Scenario: The monitoring results that we've received are partially or fully fabricated or significantly biased in some way we are unaware of, leading us to believe that results are better than they actually were.
Unlimit Health has limited oversight of surveyors or ways to triangulate results. We have some concerns about respondent recall.</t>
      </text>
    </comment>
    <comment authorId="0" ref="A56">
      <text>
        <t xml:space="preserve">Scenario: Charity decides to use some of the funding we directed to them to fund some research or other work that they see as being related to the program, but we don't find valuable. This would affect our cost per output analyses once it happened, so in many cases, no additional adjustment is needed. We may use a higher adjustment value for charities we have less experience with.
Unlimit Health has consistently used funds for deworming MDA over a long period. We have incorporated other uses of funds (e.g. research spending) in our cost/child-treated analysis.</t>
      </text>
    </comment>
    <comment authorId="0" ref="A57">
      <text>
        <t xml:space="preserve">Scenario: Charity encounters non-funding bottlenecks to allocating funding and holds funding for a long time. At an extreme, charity is unable to spend money, draws down funding over time on work to identify opportunities to spend money for a time, and then shifts to another program.
Has been able to spend funding quickly.</t>
      </text>
    </comment>
    <comment authorId="0" ref="A58">
      <text>
        <t xml:space="preserve">Scenario: Charity runs multiple programs and shifts funds from non-GiveWell sources or fundraising effort out of the program that we want to fund as a result of receiving GiveWell-directed funding.
Not applicable: single program organization.</t>
      </text>
    </comment>
    <comment authorId="0" ref="A95">
      <text>
        <t xml:space="preserve">"Leverage" refers to our charities causing other entities to spend more on the program than they otherwise would have; "Funging" refers to our charities causing other entities to spend less on the program than they otherwise would have. 
We calculate leverage/funging for three other types of entities: (i) national governments (ii) The Global Fund (iii) pharmaceutical companies donating drugs.
All costs which are incurred by philanthropic entities (e.g. other charities, non-government donors, but not the global fund) are counted the same way as costs to our charities (i.e. we include them in our costs and assume they are not leveraged or funged).</t>
      </text>
    </comment>
    <comment authorId="0" ref="A113">
      <text>
        <t xml:space="preserve">Upstream costs cause downstream costs. Assumes government financial costs and philanthropic actors are "upstream". The implication of government financial costs being "upstream" is they are not leveraged. We're uncertain whether this assumption is true for government financial costs, but because government financial costs are a small % of total costs it doesn't make much difference.</t>
      </text>
    </comment>
    <comment authorId="0" ref="A114">
      <text>
        <t xml:space="preserve">Upstream costs cause downstream costs. Assumes government staff costs and donated drugs are "downstream". The implication of these costs being "downstream" is if the program shrinks (i.e. we make a smaller donation), less of these costs will go to the intervention. So they are leveraged</t>
      </text>
    </comment>
    <comment authorId="0" ref="A122">
      <text>
        <t xml:space="preserve">It is our impression that there is a trend among major funders of deworming in seeking to encourage governments in sub-Saharan Africa to begin funding deworming programs. The presence of philanthropic funding for deworming could slow progress on that front. Given that this trend had not yet resulted in changes, that we know of, in availability of domestic financing for deworming, we consider it fairly low probability that philanthropic funding is crowding out government funding.</t>
      </text>
    </comment>
    <comment authorId="0" ref="A123">
      <text>
        <t xml:space="preserve">The government would continue funding the program at the same level as it currently does. Government financial costs are neither leveraged nor funged.  Donated drug costs are partially leveraged because the program gets smaller in the absence of philanthropic funding.</t>
      </text>
    </comment>
    <comment authorId="0" ref="A124">
      <text>
        <t xml:space="preserve">The program would not happen without the donation. So the philanthropic funding leverages government costs. </t>
      </text>
    </comment>
    <comment authorId="0" ref="A139">
      <text>
        <t xml:space="preserve">Assumes government staff costs are given as a constant proportion of upstream costs.</t>
      </text>
    </comment>
    <comment authorId="0" ref="A140">
      <text>
        <t xml:space="preserve">Assumes donated drugs are given as a constant proportion of upstream costs</t>
      </text>
    </comment>
    <comment authorId="0" ref="A144">
      <text>
        <t xml:space="preserve">Assumes government staff costs are given as a constant proportion of philanthropic costs (rather than upstream costs).</t>
      </text>
    </comment>
    <comment authorId="0" ref="A145">
      <text>
        <t xml:space="preserve">Assumes donated drugs costs are given as a constant proportion of philanthropic costs (rather than upstream costs).</t>
      </text>
    </comment>
    <comment authorId="0" ref="A198">
      <text>
        <t xml:space="preserve">How much more cost-effective do we estimate this funding gap to be relative to GiveDirectly cash transfers?</t>
      </text>
    </comment>
  </commentList>
</comments>
</file>

<file path=xl/comments6.xml><?xml version="1.0" encoding="utf-8"?>
<comments xmlns:r="http://schemas.openxmlformats.org/officeDocument/2006/relationships" xmlns="http://schemas.openxmlformats.org/spreadsheetml/2006/main" xmlns:xr="http://schemas.microsoft.com/office/spreadsheetml/2014/revision">
  <authors>
    <author/>
  </authors>
  <commentList>
    <comment authorId="0" ref="AB1">
      <text>
        <t xml:space="preserve">Nigeria</t>
      </text>
    </comment>
    <comment authorId="0" ref="AC1">
      <text>
        <t xml:space="preserve">Nigeria</t>
      </text>
    </comment>
    <comment authorId="0" ref="AD1">
      <text>
        <t xml:space="preserve">Nigeria</t>
      </text>
    </comment>
    <comment authorId="0" ref="AE1">
      <text>
        <t xml:space="preserve">Nigeria</t>
      </text>
    </comment>
    <comment authorId="0" ref="AF1">
      <text>
        <t xml:space="preserve">Nigeria</t>
      </text>
    </comment>
    <comment authorId="0" ref="AG1">
      <text>
        <t xml:space="preserve">Nigeria</t>
      </text>
    </comment>
    <comment authorId="0" ref="AH1">
      <text>
        <t xml:space="preserve">Nigeria</t>
      </text>
    </comment>
    <comment authorId="0" ref="AI1">
      <text>
        <t xml:space="preserve">Nigeria</t>
      </text>
    </comment>
    <comment authorId="0" ref="AJ1">
      <text>
        <t xml:space="preserve">Nigeria</t>
      </text>
    </comment>
    <comment authorId="0" ref="AK1">
      <text>
        <t xml:space="preserve">Nigeria</t>
      </text>
    </comment>
    <comment authorId="0" ref="AL1">
      <text>
        <t xml:space="preserve">Nigeria</t>
      </text>
    </comment>
    <comment authorId="0" ref="AM1">
      <text>
        <t xml:space="preserve">Nigeria</t>
      </text>
    </comment>
    <comment authorId="0" ref="AN1">
      <text>
        <t xml:space="preserve">Nigeria</t>
      </text>
    </comment>
    <comment authorId="0" ref="A7">
      <text>
        <t xml:space="preserve">From GiveWell's December 2022 analysis of Sightsavers' cost per treatment. 
https://docs.google.com/spreadsheets/d/1e3WHXEGEMWIQ-webAxevNMqBpo6I5zrssmiO7k4xIyY/edit?usp=sharing</t>
      </text>
    </comment>
    <comment authorId="0" ref="A8">
      <text>
        <t xml:space="preserve">From GiveWell's December 2022 analysis of Sightsavers' cost per treatment. 
https://docs.google.com/spreadsheets/d/1e3WHXEGEMWIQ-webAxevNMqBpo6I5zrssmiO7k4xIyY/edit?usp=sharing</t>
      </text>
    </comment>
    <comment authorId="0" ref="A9">
      <text>
        <t xml:space="preserve">From GiveWell's December 2022 analysis of Sightsavers' cost per treatment. 
https://docs.google.com/spreadsheets/d/1e3WHXEGEMWIQ-webAxevNMqBpo6I5zrssmiO7k4xIyY/edit?usp=sharing</t>
      </text>
    </comment>
    <comment authorId="0" ref="A13">
      <text>
        <t xml:space="preserve">This row includes our estimates of how Sightsavers would allocate a marginal donation of an arbitrary size ($100,000) across countries. </t>
      </text>
    </comment>
    <comment authorId="0" ref="A14">
      <text>
        <t xml:space="preserve">Spending by other contributors is proportional to Sightsavers' spending of a donation of an arbitrary size (see row above).</t>
      </text>
    </comment>
    <comment authorId="0" ref="A15">
      <text>
        <t xml:space="preserve">We believe that treatments going to adults have been excluded from our cost per treatment analysis. Accordingly, we assume 100% of Sightsavers treatments go to children.</t>
      </text>
    </comment>
    <comment authorId="0" ref="A16">
      <text>
        <t xml:space="preserve">The calculations behind our worm intensity adjustments can be found at 
https://docs.google.com/spreadsheets/d/13KsI-m_jp-SJSbWtqGFc7ESF5_LqjNuC_Ue5mRQe1Ng/edit?usp=sharing
We describe our model in more detail in this document: https://docs.google.com/document/d/18G1ibple0cSP5qk9dCyru_MLe6ghc8qbIqC1ryJCi3o/edit?usp=sharing</t>
      </text>
    </comment>
    <comment authorId="0" ref="A21">
      <text>
        <t xml:space="preserve">From GiveWell's December 2022 analysis of Sightsavers' cost per treatment. 
https://docs.google.com/spreadsheets/d/1e3WHXEGEMWIQ-webAxevNMqBpo6I5zrssmiO7k4xIyY/edit?usp=sharing</t>
      </text>
    </comment>
    <comment authorId="0" ref="A38">
      <text>
        <t xml:space="preserve">It's often difficult to explicitly model different kinds of wastage or other charity-level issues directly in our cost-effectiveness analysis. This section summarizes rough adjustments to our cost-effectiveness analysis to take into account our best guess of how different charity-level factors affect our best guess of true cost-effectiveness. </t>
      </text>
    </comment>
    <comment authorId="0" ref="A41">
      <text>
        <t xml:space="preserve">Scenario: The program is delivered to people who don't benefit or minimally benefit because they have received the program from another source.
This possibility is captured in the exclusion list of our cost-effectiveness model.</t>
      </text>
    </comment>
    <comment authorId="0" ref="A42">
      <text>
        <t xml:space="preserve">Scenario: Pills, LLINs, etc. are poorly made, counterfeit, or otherwise largely or fully ineffective at achieving the expected outcome. 
Drugs are donated by manufacturers in developed countries. Seems very unlikely that drugs are lower quality than in the research studies we have relied on in our cost-effectiveness analysis.</t>
      </text>
    </comment>
    <comment authorId="0" ref="A43">
      <text>
        <t xml:space="preserve">Not applicable. Our cost/child-treated estimate uses total costs and estimates of children reached.</t>
      </text>
    </comment>
    <comment authorId="0" ref="A47">
      <text>
        <t xml:space="preserve">Scenario: Charity sends money/goods to a country/partner and the country/partner reports back that they carried out the program and reached a certain number of people, but these results are partially or fully fabricated and we do not have monitoring results from those locations.
We have seen monitoring results representing 80% of Sightsavers' spending on relevant programs since 2018. We have seen monitoring results representing nearly all of Sightsavers' spending on relevant programs for its Year 4 (2020-2021) and Year 5 (2021-2022) program years.
See here: https://docs.google.com/spreadsheets/d/1CKJ_0q8FNgr8T3FMq-rrZvImJZsBbpUqLYorklNksHw/edit#gid=968410424&amp;range=E54</t>
      </text>
    </comment>
    <comment authorId="0" ref="A48">
      <text>
        <t xml:space="preserve">Scenario: The monitoring results that we've received are partially or fully fabricated or significantly biased in some way we are unaware of, leading us to believe that results are better than they actually were.
Sightsavers has limited oversight of surveyors or ways to triangulate results. We have some concerns about respondent recall.</t>
      </text>
    </comment>
    <comment authorId="0" ref="A52">
      <text>
        <t xml:space="preserve">Scenario: Charity decides to use some of the funding we directed to them to fund some research or other work that they see as being related to the program, but we don't find valuable. This would affect our cost per output analyses once it happened, so in many cases, no additional adjustment is needed. We may use a higher adjustment value for charities we have less experience with.
Sightsavers has used funding in the way we expected it to be used, but we have a somewhat limited understanding of how Sightsavers might choose to use funding.</t>
      </text>
    </comment>
    <comment authorId="0" ref="A53">
      <text>
        <t xml:space="preserve">Scenario: Charity encounters non-funding bottlenecks to allocating funding and holds funding for a long time. At an extreme, charity is unable to spend money, draws down funding over time on work to identify opportunities to spend money for a time, and then shifts to another program.
Has been able to spend funding quickly.</t>
      </text>
    </comment>
    <comment authorId="0" ref="A54">
      <text>
        <t xml:space="preserve">Scenario: Charity runs multiple programs and shifts funds from non-GiveWell sources or fundraising effort out of the program that we want to fund as a result of receiving GiveWell-directed funding.
Sightsavers has limited unrestricted funding relative to the size of this program. Fundraising efforts may be redirected to other programs as a result of more funding being available for this program.</t>
      </text>
    </comment>
    <comment authorId="0" ref="A64">
      <text>
        <t xml:space="preserve">We only directly model some of the possible effects of the intervention. Many effects are excluded to keep the model tractable.
This section shows the speculative guesses we use to estimate the impact of outcomes we haven't explicitly modeled on the cost-effectiveness of our charities. The "Supplemental intervention-level adjustments" tab of this spreadsheet includes more details on how these adjustments are calculated and some brief justifications.</t>
      </text>
    </comment>
    <comment authorId="0" ref="A89">
      <text>
        <t xml:space="preserve">"Leverage" refers to our charities causing other entities to spend more on the program than they otherwise would have; "Funging" refers to our charities causing other entities to spend less on the program than they otherwise would have. 
We calculate leverage/funging for three other types of entities: (i) national governments (ii) The Global Fund (iii) pharmaceutical companies donating drugs.
All costs which are incurred by philanthropic entities (e.g. other charities, non-government donors, but not the global fund) are counted the same way as costs to our charities (i.e. we include them in our costs and assume they are not leveraged or funged).</t>
      </text>
    </comment>
    <comment authorId="0" ref="A107">
      <text>
        <t xml:space="preserve">Upstream costs cause downstream costs. Assumes government financial costs and philanthropic actors are "upstream". The implication of government financial costs being "upstream" is they are not leveraged. We're uncertain whether this assumption is true for government financial costs, but because government financial costs are a small % of total costs it doesn't make much difference.</t>
      </text>
    </comment>
    <comment authorId="0" ref="A108">
      <text>
        <t xml:space="preserve">Upstream costs cause downstream costs. Assumes government staff costs and donated drugs are "downstream". The implication of these costs being "downstream" is if the program shrinks (i.e. we make a smaller donation), less of these costs will go to the intervention. So they are leveraged</t>
      </text>
    </comment>
    <comment authorId="0" ref="A117">
      <text>
        <t xml:space="preserve">It is our impression that there is a trend among major funders of deworming in seeking to encourage governments in sub-Saharan Africa to begin funding deworming programs. The presence of philanthropic funding for deworming could slow progress on that front. Given that this trend had not yet resulted in changes, that we know of, in availability of domestic financing for deworming, we consider it fairly low probability that philanthropic funding is crowding out government funding.</t>
      </text>
    </comment>
    <comment authorId="0" ref="E118">
      <text>
        <t xml:space="preserve">This 10% funging probability is based on a 5% likelihood of crowding out ESPEN (the WHO Expanded Special Project for Elimination of Neglected Tropical Diseases) funding, and a 5% likelihood of crowding out any other (as yet unidentified) funder.
ESPEN: We summarize past ESPEN funding of deworming MDA in the DRC here: https://docs.google.com/spreadsheets/d/17fKlw7IOlvVEj1ILQhV67e0eajJwP91w0OIYAMlMPVE/edit#gid=0. Based on the average number of implementation units (IUs) ESPEN has historically supported for deworming MDA (we do not take the maximum number supported given the number of IUs supported has been declining over time), we expect ESPEN could support up to ~20 IUs in 2023. Our understanding is that there are ~173 IUs with no funding for 2023, ~106 of which were under consideration for GiveWell funding (see here: https://docs.google.com/spreadsheets/d/1hk_ZDaoEfMEVs5kpU0Xi3aur_kvA9WxK/edit#gid=810931109&amp;range=F20:G20). This suggests up to a 20% overlap (20/106 IUs) between IUs that ESPEN may fund and that GiveWell was considering funding (i.e., if GiveWell and ESPEN prioritized IUs in exactly the same way). However, we have roughly down-adjusted this to 5% because: 1) there are 67 other unfunded IUs that ESPEN could choose to prioritize rather than the 106 IUs under consideration by GiveWell, 2) we do not expect GiveWell and ESPEN to prioritize the exact same set of IUs for support given different priorities (and if we do, ESPEN may still pivot to fund other IUs instead, including those which may have relatively high cost-effectiveness), and 3) ESPEN could easily choose to fund fewer than 20 IUs this year given its very limited support in recent years.
Other funders: While we are not currently aware of any other funders which may step in to support the DRC with deworming MDA in 2023, we are cognizant that the deworming funding landscape is continuing to evolve, and it is possible that another funder may have otherwise increased support for the DRC in 2024 or 2025 in the absence of GiveWell support. However, we have only assigned a 5% risk to this given our understanding that deworming continues to face meaningful funding gaps.</t>
      </text>
    </comment>
    <comment authorId="0" ref="F118">
      <text>
        <t xml:space="preserve">This 10% funging probability is based on a 5% likelihood of crowding out ESPEN (the WHO Expanded Special Project for Elimination of Neglected Tropical Diseases) funding, and a 5% likelihood of crowding out any other (as yet unidentified) funder.
ESPEN: We summarize past ESPEN funding of deworming MDA in the DRC here: https://docs.google.com/spreadsheets/d/17fKlw7IOlvVEj1ILQhV67e0eajJwP91w0OIYAMlMPVE/edit#gid=0. Based on the average number of implementation units (IUs) ESPEN has historically supported for deworming MDA (we do not take the maximum number supported given the number of IUs supported has been declining over time), we expect ESPEN could support up to ~20 IUs in 2023. Our understanding is that there are ~173 IUs with no funding for 2023, ~106 of which were under consideration for GiveWell funding (see here: https://docs.google.com/spreadsheets/d/1hk_ZDaoEfMEVs5kpU0Xi3aur_kvA9WxK/edit#gid=810931109&amp;range=F20:G20). This suggests up to a 20% overlap (20/106 IUs) between IUs that ESPEN may fund and that GiveWell was considering funding (i.e., if GiveWell and ESPEN prioritized IUs in exactly the same way). However, we have roughly down-adjusted this to 5% because: 1) there are 67 other unfunded IUs that ESPEN could choose to prioritize rather than the 106 IUs under consideration by GiveWell, 2) we do not expect GiveWell and ESPEN to prioritize the exact same set of IUs for support given different priorities (and if we do, ESPEN may still pivot to fund other IUs instead, including those which may have relatively high cost-effectiveness), and 3) ESPEN could easily choose to fund fewer than 20 IUs this year given its very limited support in recent years.
Other funders: While we are not currently aware of any other funders which may step in to support the DRC with deworming MDA in 2023, we are cognizant that the deworming funding landscape is continuing to evolve, and it is possible that another funder may have otherwise increased support for the DRC in 2024 or 2025 in the absence of GiveWell support. However, we have only assigned a 5% risk to this given our understanding that deworming continues to face meaningful funding gaps.</t>
      </text>
    </comment>
    <comment authorId="0" ref="G118">
      <text>
        <t xml:space="preserve">This 10% funging probability is based on a 5% likelihood of crowding out ESPEN (the WHO Expanded Special Project for Elimination of Neglected Tropical Diseases) funding, and a 5% likelihood of crowding out any other (as yet unidentified) funder.
ESPEN: We summarize past ESPEN funding of deworming MDA in the DRC here: https://docs.google.com/spreadsheets/d/17fKlw7IOlvVEj1ILQhV67e0eajJwP91w0OIYAMlMPVE/edit#gid=0. Based on the average number of implementation units (IUs) ESPEN has historically supported for deworming MDA (we do not take the maximum number supported given the number of IUs supported has been declining over time), we expect ESPEN could support up to ~20 IUs in 2023. Our understanding is that there are ~173 IUs with no funding for 2023, ~106 of which were under consideration for GiveWell funding (see here: https://docs.google.com/spreadsheets/d/1hk_ZDaoEfMEVs5kpU0Xi3aur_kvA9WxK/edit#gid=810931109&amp;range=F20:G20). This suggests up to a 20% overlap (20/106 IUs) between IUs that ESPEN may fund and that GiveWell was considering funding (i.e., if GiveWell and ESPEN prioritized IUs in exactly the same way). However, we have roughly down-adjusted this to 5% because: 1) there are 67 other unfunded IUs that ESPEN could choose to prioritize rather than the 106 IUs under consideration by GiveWell, 2) we do not expect GiveWell and ESPEN to prioritize the exact same set of IUs for support given different priorities (and if we do, ESPEN may still pivot to fund other IUs instead, including those which may have relatively high cost-effectiveness), and 3) ESPEN could easily choose to fund fewer than 20 IUs this year given its very limited support in recent years.
Other funders: While we are not currently aware of any other funders which may step in to support the DRC with deworming MDA in 2023, we are cognizant that the deworming funding landscape is continuing to evolve, and it is possible that another funder may have otherwise increased support for the DRC in 2024 or 2025 in the absence of GiveWell support. However, we have only assigned a 5% risk to this given our understanding that deworming continues to face meaningful funding gaps.</t>
      </text>
    </comment>
    <comment authorId="0" ref="H118">
      <text>
        <t xml:space="preserve">This 10% funging probability is based on a 5% likelihood of crowding out ESPEN (the WHO Expanded Special Project for Elimination of Neglected Tropical Diseases) funding, and a 5% likelihood of crowding out any other (as yet unidentified) funder.
ESPEN: We summarize past ESPEN funding of deworming MDA in the DRC here: https://docs.google.com/spreadsheets/d/17fKlw7IOlvVEj1ILQhV67e0eajJwP91w0OIYAMlMPVE/edit#gid=0. Based on the average number of implementation units (IUs) ESPEN has historically supported for deworming MDA (we do not take the maximum number supported given the number of IUs supported has been declining over time), we expect ESPEN could support up to ~20 IUs in 2023. Our understanding is that there are ~173 IUs with no funding for 2023, ~106 of which were under consideration for GiveWell funding (see here: https://docs.google.com/spreadsheets/d/1hk_ZDaoEfMEVs5kpU0Xi3aur_kvA9WxK/edit#gid=810931109&amp;range=F20:G20). This suggests up to a 20% overlap (20/106 IUs) between IUs that ESPEN may fund and that GiveWell was considering funding (i.e., if GiveWell and ESPEN prioritized IUs in exactly the same way). However, we have roughly down-adjusted this to 5% because: 1) there are 67 other unfunded IUs that ESPEN could choose to prioritize rather than the 106 IUs under consideration by GiveWell, 2) we do not expect GiveWell and ESPEN to prioritize the exact same set of IUs for support given different priorities (and if we do, ESPEN may still pivot to fund other IUs instead, including those which may have relatively high cost-effectiveness), and 3) ESPEN could easily choose to fund fewer than 20 IUs this year given its very limited support in recent years.
Other funders: While we are not currently aware of any other funders which may step in to support the DRC with deworming MDA in 2023, we are cognizant that the deworming funding landscape is continuing to evolve, and it is possible that another funder may have otherwise increased support for the DRC in 2024 or 2025 in the absence of GiveWell support. However, we have only assigned a 5% risk to this given our understanding that deworming continues to face meaningful funding gaps.</t>
      </text>
    </comment>
    <comment authorId="0" ref="I118">
      <text>
        <t xml:space="preserve">This 10% funging probability is based on a 5% likelihood of crowding out ESPEN (the WHO Expanded Special Project for Elimination of Neglected Tropical Diseases) funding, and a 5% likelihood of crowding out any other (as yet unidentified) funder.
ESPEN: We summarize past ESPEN funding of deworming MDA in the DRC here: https://docs.google.com/spreadsheets/d/17fKlw7IOlvVEj1ILQhV67e0eajJwP91w0OIYAMlMPVE/edit#gid=0. Based on the average number of implementation units (IUs) ESPEN has historically supported for deworming MDA (we do not take the maximum number supported given the number of IUs supported has been declining over time), we expect ESPEN could support up to ~20 IUs in 2023. Our understanding is that there are ~173 IUs with no funding for 2023, ~106 of which were under consideration for GiveWell funding (see here: https://docs.google.com/spreadsheets/d/1hk_ZDaoEfMEVs5kpU0Xi3aur_kvA9WxK/edit#gid=810931109&amp;range=F20:G20). This suggests up to a 20% overlap (20/106 IUs) between IUs that ESPEN may fund and that GiveWell was considering funding (i.e., if GiveWell and ESPEN prioritized IUs in exactly the same way). However, we have roughly down-adjusted this to 5% because: 1) there are 67 other unfunded IUs that ESPEN could choose to prioritize rather than the 106 IUs under consideration by GiveWell, 2) we do not expect GiveWell and ESPEN to prioritize the exact same set of IUs for support given different priorities (and if we do, ESPEN may still pivot to fund other IUs instead, including those which may have relatively high cost-effectiveness), and 3) ESPEN could easily choose to fund fewer than 20 IUs this year given its very limited support in recent years.
Other funders: While we are not currently aware of any other funders which may step in to support the DRC with deworming MDA in 2023, we are cognizant that the deworming funding landscape is continuing to evolve, and it is possible that another funder may have otherwise increased support for the DRC in 2024 or 2025 in the absence of GiveWell support. However, we have only assigned a 5% risk to this given our understanding that deworming continues to face meaningful funding gaps.</t>
      </text>
    </comment>
    <comment authorId="0" ref="J118">
      <text>
        <t xml:space="preserve">This 10% funging probability is based on a 5% likelihood of crowding out ESPEN (the WHO Expanded Special Project for Elimination of Neglected Tropical Diseases) funding, and a 5% likelihood of crowding out any other (as yet unidentified) funder.
ESPEN: We summarize past ESPEN funding of deworming MDA in the DRC here: https://docs.google.com/spreadsheets/d/17fKlw7IOlvVEj1ILQhV67e0eajJwP91w0OIYAMlMPVE/edit#gid=0. Based on the average number of implementation units (IUs) ESPEN has historically supported for deworming MDA (we do not take the maximum number supported given the number of IUs supported has been declining over time), we expect ESPEN could support up to ~20 IUs in 2023. Our understanding is that there are ~173 IUs with no funding for 2023, ~106 of which were under consideration for GiveWell funding (see here: https://docs.google.com/spreadsheets/d/1hk_ZDaoEfMEVs5kpU0Xi3aur_kvA9WxK/edit#gid=810931109&amp;range=F20:G20). This suggests up to a 20% overlap (20/106 IUs) between IUs that ESPEN may fund and that GiveWell was considering funding (i.e., if GiveWell and ESPEN prioritized IUs in exactly the same way). However, we have roughly down-adjusted this to 5% because: 1) there are 67 other unfunded IUs that ESPEN could choose to prioritize rather than the 106 IUs under consideration by GiveWell, 2) we do not expect GiveWell and ESPEN to prioritize the exact same set of IUs for support given different priorities (and if we do, ESPEN may still pivot to fund other IUs instead, including those which may have relatively high cost-effectiveness), and 3) ESPEN could easily choose to fund fewer than 20 IUs this year given its very limited support in recent years.
Other funders: While we are not currently aware of any other funders which may step in to support the DRC with deworming MDA in 2023, we are cognizant that the deworming funding landscape is continuing to evolve, and it is possible that another funder may have otherwise increased support for the DRC in 2024 or 2025 in the absence of GiveWell support. However, we have only assigned a 5% risk to this given our understanding that deworming continues to face meaningful funding gaps.</t>
      </text>
    </comment>
    <comment authorId="0" ref="K118">
      <text>
        <t xml:space="preserve">This 10% funging probability is based on a 5% likelihood of crowding out ESPEN (the WHO Expanded Special Project for Elimination of Neglected Tropical Diseases) funding, and a 5% likelihood of crowding out any other (as yet unidentified) funder.
ESPEN: We summarize past ESPEN funding of deworming MDA in the DRC here: https://docs.google.com/spreadsheets/d/17fKlw7IOlvVEj1ILQhV67e0eajJwP91w0OIYAMlMPVE/edit#gid=0. Based on the average number of implementation units (IUs) ESPEN has historically supported for deworming MDA (we do not take the maximum number supported given the number of IUs supported has been declining over time), we expect ESPEN could support up to ~20 IUs in 2023. Our understanding is that there are ~173 IUs with no funding for 2023, ~106 of which were under consideration for GiveWell funding (see here: https://docs.google.com/spreadsheets/d/1hk_ZDaoEfMEVs5kpU0Xi3aur_kvA9WxK/edit#gid=810931109&amp;range=F20:G20). This suggests up to a 20% overlap (20/106 IUs) between IUs that ESPEN may fund and that GiveWell was considering funding (i.e., if GiveWell and ESPEN prioritized IUs in exactly the same way). However, we have roughly down-adjusted this to 5% because: 1) there are 67 other unfunded IUs that ESPEN could choose to prioritize rather than the 106 IUs under consideration by GiveWell, 2) we do not expect GiveWell and ESPEN to prioritize the exact same set of IUs for support given different priorities (and if we do, ESPEN may still pivot to fund other IUs instead, including those which may have relatively high cost-effectiveness), and 3) ESPEN could easily choose to fund fewer than 20 IUs this year given its very limited support in recent years.
Other funders: While we are not currently aware of any other funders which may step in to support the DRC with deworming MDA in 2023, we are cognizant that the deworming funding landscape is continuing to evolve, and it is possible that another funder may have otherwise increased support for the DRC in 2024 or 2025 in the absence of GiveWell support. However, we have only assigned a 5% risk to this given our understanding that deworming continues to face meaningful funding gaps.</t>
      </text>
    </comment>
    <comment authorId="0" ref="L118">
      <text>
        <t xml:space="preserve">This 10% funging probability is based on a 5% likelihood of crowding out ESPEN (the WHO Expanded Special Project for Elimination of Neglected Tropical Diseases) funding, and a 5% likelihood of crowding out any other (as yet unidentified) funder.
ESPEN: We summarize past ESPEN funding of deworming MDA in the DRC here: https://docs.google.com/spreadsheets/d/17fKlw7IOlvVEj1ILQhV67e0eajJwP91w0OIYAMlMPVE/edit#gid=0. Based on the average number of implementation units (IUs) ESPEN has historically supported for deworming MDA (we do not take the maximum number supported given the number of IUs supported has been declining over time), we expect ESPEN could support up to ~20 IUs in 2023. Our understanding is that there are ~173 IUs with no funding for 2023, ~106 of which were under consideration for GiveWell funding (see here: https://docs.google.com/spreadsheets/d/1hk_ZDaoEfMEVs5kpU0Xi3aur_kvA9WxK/edit#gid=810931109&amp;range=F20:G20). This suggests up to a 20% overlap (20/106 IUs) between IUs that ESPEN may fund and that GiveWell was considering funding (i.e., if GiveWell and ESPEN prioritized IUs in exactly the same way). However, we have roughly down-adjusted this to 5% because: 1) there are 67 other unfunded IUs that ESPEN could choose to prioritize rather than the 106 IUs under consideration by GiveWell, 2) we do not expect GiveWell and ESPEN to prioritize the exact same set of IUs for support given different priorities (and if we do, ESPEN may still pivot to fund other IUs instead, including those which may have relatively high cost-effectiveness), and 3) ESPEN could easily choose to fund fewer than 20 IUs this year given its very limited support in recent years.
Other funders: While we are not currently aware of any other funders which may step in to support the DRC with deworming MDA in 2023, we are cognizant that the deworming funding landscape is continuing to evolve, and it is possible that another funder may have otherwise increased support for the DRC in 2024 or 2025 in the absence of GiveWell support. However, we have only assigned a 5% risk to this given our understanding that deworming continues to face meaningful funding gaps.</t>
      </text>
    </comment>
    <comment authorId="0" ref="M118">
      <text>
        <t xml:space="preserve">This 10% funging probability is based on a 5% likelihood of crowding out ESPEN (the WHO Expanded Special Project for Elimination of Neglected Tropical Diseases) funding, and a 5% likelihood of crowding out any other (as yet unidentified) funder.
ESPEN: We summarize past ESPEN funding of deworming MDA in the DRC here: https://docs.google.com/spreadsheets/d/17fKlw7IOlvVEj1ILQhV67e0eajJwP91w0OIYAMlMPVE/edit#gid=0. Based on the average number of implementation units (IUs) ESPEN has historically supported for deworming MDA (we do not take the maximum number supported given the number of IUs supported has been declining over time), we expect ESPEN could support up to ~20 IUs in 2023. Our understanding is that there are ~173 IUs with no funding for 2023, ~106 of which were under consideration for GiveWell funding (see here: https://docs.google.com/spreadsheets/d/1hk_ZDaoEfMEVs5kpU0Xi3aur_kvA9WxK/edit#gid=810931109&amp;range=F20:G20). This suggests up to a 20% overlap (20/106 IUs) between IUs that ESPEN may fund and that GiveWell was considering funding (i.e., if GiveWell and ESPEN prioritized IUs in exactly the same way). However, we have roughly down-adjusted this to 5% because: 1) there are 67 other unfunded IUs that ESPEN could choose to prioritize rather than the 106 IUs under consideration by GiveWell, 2) we do not expect GiveWell and ESPEN to prioritize the exact same set of IUs for support given different priorities (and if we do, ESPEN may still pivot to fund other IUs instead, including those which may have relatively high cost-effectiveness), and 3) ESPEN could easily choose to fund fewer than 20 IUs this year given its very limited support in recent years.
Other funders: While we are not currently aware of any other funders which may step in to support the DRC with deworming MDA in 2023, we are cognizant that the deworming funding landscape is continuing to evolve, and it is possible that another funder may have otherwise increased support for the DRC in 2024 or 2025 in the absence of GiveWell support. However, we have only assigned a 5% risk to this given our understanding that deworming continues to face meaningful funding gaps.</t>
      </text>
    </comment>
    <comment authorId="0" ref="N118">
      <text>
        <t xml:space="preserve">This 10% funging probability is based on a 5% likelihood of crowding out ESPEN (the WHO Expanded Special Project for Elimination of Neglected Tropical Diseases) funding, and a 5% likelihood of crowding out any other (as yet unidentified) funder.
ESPEN: We summarize past ESPEN funding of deworming MDA in the DRC here: https://docs.google.com/spreadsheets/d/17fKlw7IOlvVEj1ILQhV67e0eajJwP91w0OIYAMlMPVE/edit#gid=0. Based on the average number of implementation units (IUs) ESPEN has historically supported for deworming MDA (we do not take the maximum number supported given the number of IUs supported has been declining over time), we expect ESPEN could support up to ~20 IUs in 2023. Our understanding is that there are ~173 IUs with no funding for 2023, ~106 of which were under consideration for GiveWell funding (see here: https://docs.google.com/spreadsheets/d/1hk_ZDaoEfMEVs5kpU0Xi3aur_kvA9WxK/edit#gid=810931109&amp;range=F20:G20). This suggests up to a 20% overlap (20/106 IUs) between IUs that ESPEN may fund and that GiveWell was considering funding (i.e., if GiveWell and ESPEN prioritized IUs in exactly the same way). However, we have roughly down-adjusted this to 5% because: 1) there are 67 other unfunded IUs that ESPEN could choose to prioritize rather than the 106 IUs under consideration by GiveWell, 2) we do not expect GiveWell and ESPEN to prioritize the exact same set of IUs for support given different priorities (and if we do, ESPEN may still pivot to fund other IUs instead, including those which may have relatively high cost-effectiveness), and 3) ESPEN could easily choose to fund fewer than 20 IUs this year given its very limited support in recent years.
Other funders: While we are not currently aware of any other funders which may step in to support the DRC with deworming MDA in 2023, we are cognizant that the deworming funding landscape is continuing to evolve, and it is possible that another funder may have otherwise increased support for the DRC in 2024 or 2025 in the absence of GiveWell support. However, we have only assigned a 5% risk to this given our understanding that deworming continues to face meaningful funding gaps.</t>
      </text>
    </comment>
    <comment authorId="0" ref="O118">
      <text>
        <t xml:space="preserve">This 10% funging probability is based on a 5% likelihood of crowding out ESPEN (the WHO Expanded Special Project for Elimination of Neglected Tropical Diseases) funding, and a 5% likelihood of crowding out any other (as yet unidentified) funder.
ESPEN: We summarize past ESPEN funding of deworming MDA in the DRC here: https://docs.google.com/spreadsheets/d/17fKlw7IOlvVEj1ILQhV67e0eajJwP91w0OIYAMlMPVE/edit#gid=0. Based on the average number of implementation units (IUs) ESPEN has historically supported for deworming MDA (we do not take the maximum number supported given the number of IUs supported has been declining over time), we expect ESPEN could support up to ~20 IUs in 2023. Our understanding is that there are ~173 IUs with no funding for 2023, ~106 of which were under consideration for GiveWell funding (see here: https://docs.google.com/spreadsheets/d/1hk_ZDaoEfMEVs5kpU0Xi3aur_kvA9WxK/edit#gid=810931109&amp;range=F20:G20). This suggests up to a 20% overlap (20/106 IUs) between IUs that ESPEN may fund and that GiveWell was considering funding (i.e., if GiveWell and ESPEN prioritized IUs in exactly the same way). However, we have roughly down-adjusted this to 5% because: 1) there are 67 other unfunded IUs that ESPEN could choose to prioritize rather than the 106 IUs under consideration by GiveWell, 2) we do not expect GiveWell and ESPEN to prioritize the exact same set of IUs for support given different priorities (and if we do, ESPEN may still pivot to fund other IUs instead, including those which may have relatively high cost-effectiveness), and 3) ESPEN could easily choose to fund fewer than 20 IUs this year given its very limited support in recent years.
Other funders: While we are not currently aware of any other funders which may step in to support the DRC with deworming MDA in 2023, we are cognizant that the deworming funding landscape is continuing to evolve, and it is possible that another funder may have otherwise increased support for the DRC in 2024 or 2025 in the absence of GiveWell support. However, we have only assigned a 5% risk to this given our understanding that deworming continues to face meaningful funding gaps.</t>
      </text>
    </comment>
    <comment authorId="0" ref="P118">
      <text>
        <t xml:space="preserve">This 10% funging probability is based on a 5% likelihood of crowding out ESPEN (the WHO Expanded Special Project for Elimination of Neglected Tropical Diseases) funding, and a 5% likelihood of crowding out any other (as yet unidentified) funder.
ESPEN: We summarize past ESPEN funding of deworming MDA in the DRC here: https://docs.google.com/spreadsheets/d/17fKlw7IOlvVEj1ILQhV67e0eajJwP91w0OIYAMlMPVE/edit#gid=0. Based on the average number of implementation units (IUs) ESPEN has historically supported for deworming MDA (we do not take the maximum number supported given the number of IUs supported has been declining over time), we expect ESPEN could support up to ~20 IUs in 2023. Our understanding is that there are ~173 IUs with no funding for 2023, ~106 of which were under consideration for GiveWell funding (see here: https://docs.google.com/spreadsheets/d/1hk_ZDaoEfMEVs5kpU0Xi3aur_kvA9WxK/edit#gid=810931109&amp;range=F20:G20). This suggests up to a 20% overlap (20/106 IUs) between IUs that ESPEN may fund and that GiveWell was considering funding (i.e., if GiveWell and ESPEN prioritized IUs in exactly the same way). However, we have roughly down-adjusted this to 5% because: 1) there are 67 other unfunded IUs that ESPEN could choose to prioritize rather than the 106 IUs under consideration by GiveWell, 2) we do not expect GiveWell and ESPEN to prioritize the exact same set of IUs for support given different priorities (and if we do, ESPEN may still pivot to fund other IUs instead, including those which may have relatively high cost-effectiveness), and 3) ESPEN could easily choose to fund fewer than 20 IUs this year given its very limited support in recent years.
Other funders: While we are not currently aware of any other funders which may step in to support the DRC with deworming MDA in 2023, we are cognizant that the deworming funding landscape is continuing to evolve, and it is possible that another funder may have otherwise increased support for the DRC in 2024 or 2025 in the absence of GiveWell support. However, we have only assigned a 5% risk to this given our understanding that deworming continues to face meaningful funding gaps.</t>
      </text>
    </comment>
    <comment authorId="0" ref="Q118">
      <text>
        <t xml:space="preserve">This 10% funging probability is based on a 5% likelihood of crowding out ESPEN (the WHO Expanded Special Project for Elimination of Neglected Tropical Diseases) funding, and a 5% likelihood of crowding out any other (as yet unidentified) funder.
ESPEN: We summarize past ESPEN funding of deworming MDA in the DRC here: https://docs.google.com/spreadsheets/d/17fKlw7IOlvVEj1ILQhV67e0eajJwP91w0OIYAMlMPVE/edit#gid=0. Based on the average number of implementation units (IUs) ESPEN has historically supported for deworming MDA (we do not take the maximum number supported given the number of IUs supported has been declining over time), we expect ESPEN could support up to ~20 IUs in 2023. Our understanding is that there are ~173 IUs with no funding for 2023, ~106 of which were under consideration for GiveWell funding (see here: https://docs.google.com/spreadsheets/d/1hk_ZDaoEfMEVs5kpU0Xi3aur_kvA9WxK/edit#gid=810931109&amp;range=F20:G20). This suggests up to a 20% overlap (20/106 IUs) between IUs that ESPEN may fund and that GiveWell was considering funding (i.e., if GiveWell and ESPEN prioritized IUs in exactly the same way). However, we have roughly down-adjusted this to 5% because: 1) there are 67 other unfunded IUs that ESPEN could choose to prioritize rather than the 106 IUs under consideration by GiveWell, 2) we do not expect GiveWell and ESPEN to prioritize the exact same set of IUs for support given different priorities (and if we do, ESPEN may still pivot to fund other IUs instead, including those which may have relatively high cost-effectiveness), and 3) ESPEN could easily choose to fund fewer than 20 IUs this year given its very limited support in recent years.
Other funders: While we are not currently aware of any other funders which may step in to support the DRC with deworming MDA in 2023, we are cognizant that the deworming funding landscape is continuing to evolve, and it is possible that another funder may have otherwise increased support for the DRC in 2024 or 2025 in the absence of GiveWell support. However, we have only assigned a 5% risk to this given our understanding that deworming continues to face meaningful funding gaps.</t>
      </text>
    </comment>
    <comment authorId="0" ref="R118">
      <text>
        <t xml:space="preserve">This 10% funging probability is based on a 5% likelihood of crowding out ESPEN (the WHO Expanded Special Project for Elimination of Neglected Tropical Diseases) funding, and a 5% likelihood of crowding out any other (as yet unidentified) funder.
ESPEN: We summarize past ESPEN funding of deworming MDA in the DRC here: https://docs.google.com/spreadsheets/d/17fKlw7IOlvVEj1ILQhV67e0eajJwP91w0OIYAMlMPVE/edit#gid=0. Based on the average number of implementation units (IUs) ESPEN has historically supported for deworming MDA (we do not take the maximum number supported given the number of IUs supported has been declining over time), we expect ESPEN could support up to ~20 IUs in 2023. Our understanding is that there are ~173 IUs with no funding for 2023, ~106 of which were under consideration for GiveWell funding (see here: https://docs.google.com/spreadsheets/d/1hk_ZDaoEfMEVs5kpU0Xi3aur_kvA9WxK/edit#gid=810931109&amp;range=F20:G20). This suggests up to a 20% overlap (20/106 IUs) between IUs that ESPEN may fund and that GiveWell was considering funding (i.e., if GiveWell and ESPEN prioritized IUs in exactly the same way). However, we have roughly down-adjusted this to 5% because: 1) there are 67 other unfunded IUs that ESPEN could choose to prioritize rather than the 106 IUs under consideration by GiveWell, 2) we do not expect GiveWell and ESPEN to prioritize the exact same set of IUs for support given different priorities (and if we do, ESPEN may still pivot to fund other IUs instead, including those which may have relatively high cost-effectiveness), and 3) ESPEN could easily choose to fund fewer than 20 IUs this year given its very limited support in recent years.
Other funders: While we are not currently aware of any other funders which may step in to support the DRC with deworming MDA in 2023, we are cognizant that the deworming funding landscape is continuing to evolve, and it is possible that another funder may have otherwise increased support for the DRC in 2024 or 2025 in the absence of GiveWell support. However, we have only assigned a 5% risk to this given our understanding that deworming continues to face meaningful funding gaps.</t>
      </text>
    </comment>
    <comment authorId="0" ref="S118">
      <text>
        <t xml:space="preserve">This 10% funging probability is based on a 5% likelihood of crowding out ESPEN (the WHO Expanded Special Project for Elimination of Neglected Tropical Diseases) funding, and a 5% likelihood of crowding out any other (as yet unidentified) funder.
ESPEN: We summarize past ESPEN funding of deworming MDA in the DRC here: https://docs.google.com/spreadsheets/d/17fKlw7IOlvVEj1ILQhV67e0eajJwP91w0OIYAMlMPVE/edit#gid=0. Based on the average number of implementation units (IUs) ESPEN has historically supported for deworming MDA (we do not take the maximum number supported given the number of IUs supported has been declining over time), we expect ESPEN could support up to ~20 IUs in 2023. Our understanding is that there are ~173 IUs with no funding for 2023, ~106 of which were under consideration for GiveWell funding (see here: https://docs.google.com/spreadsheets/d/1hk_ZDaoEfMEVs5kpU0Xi3aur_kvA9WxK/edit#gid=810931109&amp;range=F20:G20). This suggests up to a 20% overlap (20/106 IUs) between IUs that ESPEN may fund and that GiveWell was considering funding (i.e., if GiveWell and ESPEN prioritized IUs in exactly the same way). However, we have roughly down-adjusted this to 5% because: 1) there are 67 other unfunded IUs that ESPEN could choose to prioritize rather than the 106 IUs under consideration by GiveWell, 2) we do not expect GiveWell and ESPEN to prioritize the exact same set of IUs for support given different priorities (and if we do, ESPEN may still pivot to fund other IUs instead, including those which may have relatively high cost-effectiveness), and 3) ESPEN could easily choose to fund fewer than 20 IUs this year given its very limited support in recent years.
Other funders: While we are not currently aware of any other funders which may step in to support the DRC with deworming MDA in 2023, we are cognizant that the deworming funding landscape is continuing to evolve, and it is possible that another funder may have otherwise increased support for the DRC in 2024 or 2025 in the absence of GiveWell support. However, we have only assigned a 5% risk to this given our understanding that deworming continues to face meaningful funding gaps.</t>
      </text>
    </comment>
    <comment authorId="0" ref="T118">
      <text>
        <t xml:space="preserve">This 10% funging probability is based on a 5% likelihood of crowding out ESPEN (the WHO Expanded Special Project for Elimination of Neglected Tropical Diseases) funding, and a 5% likelihood of crowding out any other (as yet unidentified) funder.
ESPEN: We summarize past ESPEN funding of deworming MDA in the DRC here: https://docs.google.com/spreadsheets/d/17fKlw7IOlvVEj1ILQhV67e0eajJwP91w0OIYAMlMPVE/edit#gid=0. Based on the average number of implementation units (IUs) ESPEN has historically supported for deworming MDA (we do not take the maximum number supported given the number of IUs supported has been declining over time), we expect ESPEN could support up to ~20 IUs in 2023. Our understanding is that there are ~173 IUs with no funding for 2023, ~106 of which were under consideration for GiveWell funding (see here: https://docs.google.com/spreadsheets/d/1hk_ZDaoEfMEVs5kpU0Xi3aur_kvA9WxK/edit#gid=810931109&amp;range=F20:G20). This suggests up to a 20% overlap (20/106 IUs) between IUs that ESPEN may fund and that GiveWell was considering funding (i.e., if GiveWell and ESPEN prioritized IUs in exactly the same way). However, we have roughly down-adjusted this to 5% because: 1) there are 67 other unfunded IUs that ESPEN could choose to prioritize rather than the 106 IUs under consideration by GiveWell, 2) we do not expect GiveWell and ESPEN to prioritize the exact same set of IUs for support given different priorities (and if we do, ESPEN may still pivot to fund other IUs instead, including those which may have relatively high cost-effectiveness), and 3) ESPEN could easily choose to fund fewer than 20 IUs this year given its very limited support in recent years.
Other funders: While we are not currently aware of any other funders which may step in to support the DRC with deworming MDA in 2023, we are cognizant that the deworming funding landscape is continuing to evolve, and it is possible that another funder may have otherwise increased support for the DRC in 2024 or 2025 in the absence of GiveWell support. However, we have only assigned a 5% risk to this given our understanding that deworming continues to face meaningful funding gaps.</t>
      </text>
    </comment>
    <comment authorId="0" ref="A119">
      <text>
        <t xml:space="preserve">The government would continue funding the program at the same level as it currently does. Government financial costs are neither leveraged nor funged.  Donated drug costs are partially leveraged because the program gets smaller in the absence of philanthropic funding.</t>
      </text>
    </comment>
    <comment authorId="0" ref="A120">
      <text>
        <t xml:space="preserve">The program would not happen without the donation. So the philanthropic funding leverages government costs.</t>
      </text>
    </comment>
    <comment authorId="0" ref="A143">
      <text>
        <t xml:space="preserve">Assumes government staff costs are given as a constant proportion of upstream costs.</t>
      </text>
    </comment>
    <comment authorId="0" ref="A144">
      <text>
        <t xml:space="preserve">Assumes donated drugs are given as a constant proportion of upstream costs</t>
      </text>
    </comment>
    <comment authorId="0" ref="A149">
      <text>
        <t xml:space="preserve">Assumes government staff costs are given as a constant proportion of philanthropic costs (rather than upstream costs).</t>
      </text>
    </comment>
    <comment authorId="0" ref="A150">
      <text>
        <t xml:space="preserve">Assumes donated drugs costs are given as a constant proportion of philanthropic costs (rather than upstream costs).</t>
      </text>
    </comment>
    <comment authorId="0" ref="A223">
      <text>
        <t xml:space="preserve">How much more cost-effective do we estimate this funding gap to be relative to GiveDirectly cash transfers?</t>
      </text>
    </comment>
  </commentList>
</comments>
</file>

<file path=xl/comments7.xml><?xml version="1.0" encoding="utf-8"?>
<comments xmlns:r="http://schemas.openxmlformats.org/officeDocument/2006/relationships" xmlns="http://schemas.openxmlformats.org/spreadsheetml/2006/main" xmlns:xr="http://schemas.microsoft.com/office/spreadsheetml/2014/revision">
  <authors>
    <author/>
  </authors>
  <commentList>
    <comment authorId="0" ref="A7">
      <text>
        <t xml:space="preserve">GiveWell's October 2022 estimate of MC's cost per treatment, "Summary" sheet. https://docs.google.com/spreadsheets/d/1kSHc9_cwCgGHZVhKkcKsHtMCMX5kDJYp_y11p_AzZzk/edit?usp=sharing</t>
      </text>
    </comment>
    <comment authorId="0" ref="J7">
      <text>
        <t xml:space="preserve">For Togo, we use our overall cost estimates from the "Summary" sheet of our October 2022 estimate of MC's cost per treatment because we think the spending information we've seen for the 2020 and 2021 SMC campaigns in Togo is unlikely to be representative of future program costs.
See here for more details: https://docs.google.com/spreadsheets/d/1kSHc9_cwCgGHZVhKkcKsHtMCMX5kDJYp_y11p_AzZzk/edit?usp=sharing</t>
      </text>
    </comment>
    <comment authorId="0" ref="N7">
      <text>
        <t xml:space="preserve">We use the same percentage of total program costs covered by different actors estimates we do for Chad because we believe the cost profile of SMC in Mozambique is likely to be more comparable to the cost profile of SMC in Chad than other locations in our CEA.
Based on information we've received from Malaria Consortium, we expect costs in Mozambique to be relatively high compared to costs in the other countries we model, primarily due to start-up costs during the first year of scaled-up SMC implementation. Given that the cost per SMC cycle delivered in Chad is higher than in the other countries we model, and given that costs in Mozambique may decrease in future years, it seemed reasonable to use costs in Chad as a rough best guess of average costs in Mozambique in the near term.</t>
      </text>
    </comment>
    <comment authorId="0" ref="A8">
      <text>
        <t xml:space="preserve">GiveWell's October 2022 estimate of MC's cost per treatment, "Summary" sheet. https://docs.google.com/spreadsheets/d/1kSHc9_cwCgGHZVhKkcKsHtMCMX5kDJYp_y11p_AzZzk/edit?usp=sharing</t>
      </text>
    </comment>
    <comment authorId="0" ref="J8">
      <text>
        <t xml:space="preserve">For Togo, we use our overall cost estimates from the "Summary" sheet of our October 2022 estimate of MC's cost per treatment because we think the spending information we've seen for the 2020 and 2021 SMC campaigns in Togo is unlikely to be representative of future program costs.
See here for more details: https://docs.google.com/spreadsheets/d/1kSHc9_cwCgGHZVhKkcKsHtMCMX5kDJYp_y11p_AzZzk/edit?usp=sharing</t>
      </text>
    </comment>
    <comment authorId="0" ref="N8">
      <text>
        <t xml:space="preserve">We use the same percentage of total program costs covered by different actors estimates we do for Chad because we believe the cost profile of SMC in Mozambique is likely to be more comparable to the cost profile of SMC in Chad than other locations in our CEA.
Based on information we've received from Malaria Consortium, we expect costs in Mozambique to be relatively high compared to costs in the other countries we model, primarily due to start-up costs during the first year of scaled-up SMC implementation. Given that the cost per SMC cycle delivered in Chad is higher than in the other countries we model, and given that costs in Mozambique may decrease in future years, it seemed reasonable to use costs in Chad as a rough best guess of average costs in Mozambique in the near term.</t>
      </text>
    </comment>
    <comment authorId="0" ref="A9">
      <text>
        <t xml:space="preserve">GiveWell's October 2022 estimate of MC's cost per treatment, "Summary" sheet. https://docs.google.com/spreadsheets/d/1kSHc9_cwCgGHZVhKkcKsHtMCMX5kDJYp_y11p_AzZzk/edit?usp=sharing</t>
      </text>
    </comment>
    <comment authorId="0" ref="J9">
      <text>
        <t xml:space="preserve">For Togo, we use our overall cost estimates from the "Summary" sheet of our October 2022 estimate of MC's cost per treatment because we think the spending information we've seen for the 2020 and 2021 SMC campaigns in Togo is unlikely to be representative of future program costs.
See here for more details: https://docs.google.com/spreadsheets/d/1kSHc9_cwCgGHZVhKkcKsHtMCMX5kDJYp_y11p_AzZzk/edit?usp=sharing</t>
      </text>
    </comment>
    <comment authorId="0" ref="N9">
      <text>
        <t xml:space="preserve">We use the same percentage of total program costs covered by different actors estimates we do for Chad because we believe the cost profile of SMC in Mozambique is likely to be more comparable to the cost profile of SMC in Chad than other locations in our CEA.
Based on information we've received from Malaria Consortium, we expect costs in Mozambique to be relatively high compared to costs in the other countries we model, primarily due to start-up costs during the first year of scaled-up SMC implementation. Given that the cost per SMC cycle delivered in Chad is higher than in the other countries we model, and given that costs in Mozambique may decrease in future years, it seemed reasonable to use costs in Chad as a rough best guess of average costs in Mozambique in the near term.</t>
      </text>
    </comment>
    <comment authorId="0" ref="A13">
      <text>
        <t xml:space="preserve">This row includes our estimates of how Malaria Consortium would allocate a marginal donation of an arbitrary size ($100,000) across countries. </t>
      </text>
    </comment>
    <comment authorId="0" ref="A14">
      <text>
        <t xml:space="preserve">Spending by other contributors is proportional to Malaria Consortium's spending of a donation of an arbitrary size (see row above).</t>
      </text>
    </comment>
    <comment authorId="0" ref="A15">
      <text>
        <t xml:space="preserve">GiveWell's October 2022 estimate of MC's cost per treatment, "Summary" sheet. https://docs.google.com/spreadsheets/d/1kSHc9_cwCgGHZVhKkcKsHtMCMX5kDJYp_y11p_AzZzk/edit?usp=sharing</t>
      </text>
    </comment>
    <comment authorId="0" ref="J15">
      <text>
        <t xml:space="preserve">For Togo, we use our overall cost estimates from the "Summary" sheet of our October 2022 estimate of MC's cost per treatment because we think the spending information we've seen for the 2020 and 2021 SMC campaigns in Togo is unlikely to be representative of future program costs.
See here for more details: https://docs.google.com/spreadsheets/d/1kSHc9_cwCgGHZVhKkcKsHtMCMX5kDJYp_y11p_AzZzk/edit?usp=sharing</t>
      </text>
    </comment>
    <comment authorId="0" ref="N15">
      <text>
        <t xml:space="preserve">We use the same "cost per SMC cycle delivered" estimate we do for Chad because we believe the cost profile of SMC in Mozambique is likely to be more comparable to the cost profile of SMC in Chad than other locations in our CEA.
Based on information we've received from Malaria Consortium, we expect costs in Mozambique to be relatively high compared to costs in the other countries we model, primarily due to start-up costs during the first year of scaled-up SMC implementation. Given that the cost per SMC cycle delivered in Chad is higher than in the other countries we model, and given that costs in Mozambique may decrease in future years, it seemed reasonable to use costs in Chad as a rough best guess of average costs in Mozambique in the near term.</t>
      </text>
    </comment>
    <comment authorId="0" ref="A16">
      <text>
        <t xml:space="preserve">Malaria Consortium's SMC programs typically deliver four "cycles" of SMC per year. Each cycle includes a four-day distribution period and lasts 28 days, after which a new cycle starts. However, Malaria Consortium supports a fifth SMC cycle per year in some areas.
To calculate the average number of SMC cycles delivered per year in a given country or state, we calculate the proportions of funding we expect will be used in areas receiving 4 cycles and 5 cycles of SMC within each country (or state) supported by SMC. We use those proportions to calculate a weighted average of the number of SMC cycles delivered per year in each location.
For example, if we expected 75% of Malaria Consortium's funding for Burkina Faso would be spent in areas receiving 4 cycles of SMC, and 25% of the funding would be spent in areas receiving 5 cycles of SMC, then the average number of SMC cycles in Burkina Faso would be 4.25.
Calculations: https://docs.google.com/spreadsheets/d/1RouC2tjslAYJjB8Y4iLKAiU_9Zbu6ziZr8hFgAjDZ4k/edit#gid=1916812459</t>
      </text>
    </comment>
    <comment authorId="0" ref="C16">
      <text>
        <t xml:space="preserve">4 SMC cycles are delivered in Bauchi, Nigeria. See page 35 of Malaria Consortium's 2021 coverage survey report:
https://files.givewell.org/files/DWDA%202009/Malaria%20Consortium/Malaria_Consortium_2021_SMC_coverage_report_Burkina_Faso_Chad_Mozambique_Nigeria_Togo_and_Uganda.pdf</t>
      </text>
    </comment>
    <comment authorId="0" ref="D16">
      <text>
        <t xml:space="preserve">4 SMC cycles are delivered in Borno, Nigeria. See page 35 of Malaria Consortium's 2021 coverage survey report:
https://files.givewell.org/files/DWDA%202009/Malaria%20Consortium/Malaria_Consortium_2021_SMC_coverage_report_Burkina_Faso_Chad_Mozambique_Nigeria_Togo_and_Uganda.pdf</t>
      </text>
    </comment>
    <comment authorId="0" ref="E16">
      <text>
        <t xml:space="preserve">4 SMC cycles are delivered in Kebbi, Nigeria. See page 35 of Malaria Consortium's 2021 coverage survey report:
https://files.givewell.org/files/DWDA%202009/Malaria%20Consortium/Malaria_Consortium_2021_SMC_coverage_report_Burkina_Faso_Chad_Mozambique_Nigeria_Togo_and_Uganda.pdf</t>
      </text>
    </comment>
    <comment authorId="0" ref="F16">
      <text>
        <t xml:space="preserve">5 SMC cycles are delivered in Kogi, Nigeria. See page 34 of Malaria Consortium's 2021 coverage survey report:
https://files.givewell.org/files/DWDA%202009/Malaria%20Consortium/Malaria_Consortium_2021_SMC_coverage_report_Burkina_Faso_Chad_Mozambique_Nigeria_Togo_and_Uganda.pdf</t>
      </text>
    </comment>
    <comment authorId="0" ref="G16">
      <text>
        <t xml:space="preserve">5 SMC cycles are delivered in Nasarawa, Nigeria. See page 34 of Malaria Consortium's 2021 coverage survey report:
https://files.givewell.org/files/DWDA%202009/Malaria%20Consortium/Malaria_Consortium_2021_SMC_coverage_report_Burkina_Faso_Chad_Mozambique_Nigeria_Togo_and_Uganda.pdf</t>
      </text>
    </comment>
    <comment authorId="0" ref="H16">
      <text>
        <t xml:space="preserve">5 SMC cycles are delivered in Plateau, Nigeria. See page 34 of Malaria Consortium's 2021 coverage survey report:
https://files.givewell.org/files/DWDA%202009/Malaria%20Consortium/Malaria_Consortium_2021_SMC_coverage_report_Burkina_Faso_Chad_Mozambique_Nigeria_Togo_and_Uganda.pdf</t>
      </text>
    </comment>
    <comment authorId="0" ref="I16">
      <text>
        <t xml:space="preserve">4 SMC cycles are delivered in Sokoto, Nigeria. See page 35 of Malaria Consortium's 2021 coverage survey report:
https://files.givewell.org/files/DWDA%202009/Malaria%20Consortium/Malaria_Consortium_2021_SMC_coverage_report_Burkina_Faso_Chad_Mozambique_Nigeria_Togo_and_Uganda.pdf</t>
      </text>
    </comment>
    <comment authorId="0" ref="L16">
      <text>
        <t xml:space="preserve">We expect Malaria Consortium will support 5 cycles of SMC in all of FCT and Oyo, Nigeria.</t>
      </text>
    </comment>
    <comment authorId="0" ref="M16">
      <text>
        <t xml:space="preserve">We expect Malaria Consortium will support 5 cycles of SMC in all of FCT and Oyo, Nigeria.</t>
      </text>
    </comment>
    <comment authorId="0" ref="A17">
      <text>
        <t xml:space="preserve">Malaria Consortium's SMC programs typically deliver four "cycles" of SMC per year. Each cycle includes a four-day distribution period and lasts 28 days, after which a new cycle starts. However, Malaria Consortium supports a fifth SMC cycle per year in some areas. 
In order to account for this, we estimate the cost per equivalent child treated per cycle of SMC and multiply it by the average number of SMC cycles delivered per year in each country or state.</t>
      </text>
    </comment>
    <comment authorId="0" ref="A22">
      <text>
        <t xml:space="preserve">The default value of 0.25 comes from a meta-analysis performed by GiveWell. This meta-analysis was a modified version of an analysis in Meremikwu et al. 2012, which had a rate ratio of 0.26.
A forest plot from GiveWell's meta-analysis is available at https://drive.google.com/file/d/19C_kTGKeFN3Sn5GIKhpLhwcoLt6sHDSN/view
More details can be found at https://www.givewell.org/international/technical/programs/seasonal-malaria-chemoprevention#Evidence_from_randomized_controlled_trials</t>
      </text>
    </comment>
    <comment authorId="0" ref="N22">
      <text>
        <t xml:space="preserve">See calculations here: https://docs.google.com/spreadsheets/d/1Ye5g2anKNClieC_lJ9YEeVLG6Mi1vBgdYB9zubSOmO4/edit?usp=sharing
This is a rough best guess, rounded to the nearest 5% to reflect our uncertainty about this parameter. This guess balances our skeptical prior that SMC is likely to perform much worse in East Africa (based on high drug resistance and long-time skepticism from the malaria community) with observational results from phase 1 of Malaria Consortium's RCT of SMC in Mozambique. Our rough prior is that SMC is ~half as effective in Mozambique as in the Sahel due to high drug resistance. However, observational results from phase 1 of the trial found that efficacy was similar to the efficacy estimate we use for countries in the Sahel. We put 50% weight on our skeptical prior and 50% weight on the phase 1 RCT results. 
We also put a downward external validity adjustment on the phase 1 RCT results because study areas were selected to maximize the potential impact of SMC, so even if the year 1 results were close to the truth, we wouldn't necessarily expect them to hold in a scaled-up version of the program.</t>
      </text>
    </comment>
    <comment authorId="0" ref="A24">
      <text>
        <t xml:space="preserve">This adjustment is used to account for the possibility that the effect of SMC found in academic research may not have been the true effect SMC had on the populations being studied.
It's GiveWell's best guess that these trials captured something close to the true effect of SMC in the study settings. Although we don't have specific, serious concerns about internal validity, we use a default value below 100% based on our expectation that published studies are more likely to overstate an intervention's efficacy than understate it. 
Additional details about the research assessing SMC efficacy is available at https://www.givewell.org/international/technical/programs/seasonal-malaria-chemoprevention#Does_the_program_have_strong_evidence_of_effectiveness
</t>
      </text>
    </comment>
    <comment authorId="0" ref="A25">
      <text>
        <t xml:space="preserve">This adjustment is used to account for external validity issues not accounted for elsewhere in the CEA. By default, this parameter is set to 100% because we currently do not have serious external validity concerns that are not accounted for elsewhere in the CEA. Additional discussion related to external validity is available at https://www.givewell.org/international/technical/programs/seasonal-malaria-chemoprevention#How_does_the_Malaria_Consortium_SMC_program_compare_to_the_programs_addressed_in_these_studies
</t>
      </text>
    </comment>
    <comment authorId="0" ref="A26">
      <text>
        <t xml:space="preserve">We performed our own meta-analysis with slight deviations from the approach used in Meremikwu et al. 2012. More details can be found in the note on the parameter labeled "Relative risk for malaria cases, intention to treat effect."
Our calculation for the 89.77% coverage level can be found at https://docs.google.com/spreadsheets/d/1ejSZi2yXY180qnKXbslvdSTd_tWtrqB1u-P38Q7sHg8/edit#gid=1395041743. Note that no coverage information from Dicko 2008 is used in this calculation.</t>
      </text>
    </comment>
    <comment authorId="0" ref="A34">
      <text>
        <t xml:space="preserve">These figures are available through the GBD Results Tool at http://ghdx.healthdata.org/gbd-results-tool?params=gbd-api-2019-permalink/81f3089aadf96972f36475e0770c6ed2</t>
      </text>
    </comment>
    <comment authorId="0" ref="C34">
      <text>
        <t xml:space="preserve">Based on GBD 2019 estimates for the states in Nigeria where Malaria Consortium supports SMC (excluding FCT and Oyo). See this spreadsheet:
https://docs.google.com/spreadsheets/d/1sHsQzi0o4LM2VEZSnusgatzbgAHWWbYa7lPPUem5opA/edit?usp=sharing</t>
      </text>
    </comment>
    <comment authorId="0" ref="D34">
      <text>
        <t xml:space="preserve">Based on GBD 2019 estimates for the states in Nigeria where Malaria Consortium supports SMC (excluding FCT and Oyo). See this spreadsheet:
https://docs.google.com/spreadsheets/d/1sHsQzi0o4LM2VEZSnusgatzbgAHWWbYa7lPPUem5opA/edit?usp=sharing</t>
      </text>
    </comment>
    <comment authorId="0" ref="E34">
      <text>
        <t xml:space="preserve">Based on GBD 2019 estimates for the states in Nigeria where Malaria Consortium supports SMC (excluding FCT and Oyo). See this spreadsheet:
https://docs.google.com/spreadsheets/d/1sHsQzi0o4LM2VEZSnusgatzbgAHWWbYa7lPPUem5opA/edit?usp=sharing</t>
      </text>
    </comment>
    <comment authorId="0" ref="F34">
      <text>
        <t xml:space="preserve">Based on GBD 2019 estimates for the states in Nigeria where Malaria Consortium supports SMC (excluding FCT and Oyo). See this spreadsheet:
https://docs.google.com/spreadsheets/d/1sHsQzi0o4LM2VEZSnusgatzbgAHWWbYa7lPPUem5opA/edit?usp=sharing</t>
      </text>
    </comment>
    <comment authorId="0" ref="G34">
      <text>
        <t xml:space="preserve">Based on GBD 2019 estimates for the states in Nigeria where Malaria Consortium supports SMC (excluding FCT and Oyo). See this spreadsheet:
https://docs.google.com/spreadsheets/d/1sHsQzi0o4LM2VEZSnusgatzbgAHWWbYa7lPPUem5opA/edit?usp=sharing</t>
      </text>
    </comment>
    <comment authorId="0" ref="H34">
      <text>
        <t xml:space="preserve">Based on GBD 2019 estimates for the states in Nigeria where Malaria Consortium supports SMC (excluding FCT and Oyo). See this spreadsheet:
https://docs.google.com/spreadsheets/d/1sHsQzi0o4LM2VEZSnusgatzbgAHWWbYa7lPPUem5opA/edit?usp=sharing</t>
      </text>
    </comment>
    <comment authorId="0" ref="I34">
      <text>
        <t xml:space="preserve">Based on GBD 2019 estimates for the states in Nigeria where Malaria Consortium supports SMC (excluding FCT and Oyo). See this spreadsheet:
https://docs.google.com/spreadsheets/d/1sHsQzi0o4LM2VEZSnusgatzbgAHWWbYa7lPPUem5opA/edit?usp=sharing</t>
      </text>
    </comment>
    <comment authorId="0" ref="L34">
      <text>
        <t xml:space="preserve">Source: Institute for Health Metrics and Evaluation (IHME). Used with permission. All rights reserved. Commercial organizations wishing to acquire a license to access and download IHME data should contact services@healthdata.org.</t>
      </text>
    </comment>
    <comment authorId="0" ref="M34">
      <text>
        <t xml:space="preserve">Source: Institute for Health Metrics and Evaluation (IHME). Used with permission. All rights reserved. Commercial organizations wishing to acquire a license to access and download IHME data should contact services@healthdata.org.</t>
      </text>
    </comment>
    <comment authorId="0" ref="N34">
      <text>
        <t xml:space="preserve">See supplemental information here: https://docs.google.com/spreadsheets/d/1spdqAcSoLG3Hzecq69nYz_Y_s53zGbQxKd6EQMLIP74/edit?usp=sharing</t>
      </text>
    </comment>
    <comment authorId="0" ref="A35">
      <text>
        <t xml:space="preserve">These figures are available through the GBD Results Tool at http://ghdx.healthdata.org/gbd-results-tool?params=gbd-api-2019-permalink/0bfba6ba77a8f43ae0de8a2f84d9af23
GBD 2019 does not include estimates of malaria deaths for the "early neonatal" period, so we assume an input of zero for this parameter.</t>
      </text>
    </comment>
    <comment authorId="0" ref="C35">
      <text>
        <t xml:space="preserve">Based on GBD 2019 estimates for the states in Nigeria where Malaria Consortium supports SMC (excluding FCT and Oyo). See this spreadsheet:
https://docs.google.com/spreadsheets/d/1sHsQzi0o4LM2VEZSnusgatzbgAHWWbYa7lPPUem5opA/edit?usp=sharing</t>
      </text>
    </comment>
    <comment authorId="0" ref="D35">
      <text>
        <t xml:space="preserve">Based on GBD 2019 estimates for the states in Nigeria where Malaria Consortium supports SMC (excluding FCT and Oyo). See this spreadsheet:
https://docs.google.com/spreadsheets/d/1sHsQzi0o4LM2VEZSnusgatzbgAHWWbYa7lPPUem5opA/edit?usp=sharing</t>
      </text>
    </comment>
    <comment authorId="0" ref="E35">
      <text>
        <t xml:space="preserve">Based on GBD 2019 estimates for the states in Nigeria where Malaria Consortium supports SMC (excluding FCT and Oyo). See this spreadsheet:
https://docs.google.com/spreadsheets/d/1sHsQzi0o4LM2VEZSnusgatzbgAHWWbYa7lPPUem5opA/edit?usp=sharing</t>
      </text>
    </comment>
    <comment authorId="0" ref="F35">
      <text>
        <t xml:space="preserve">Based on GBD 2019 estimates for the states in Nigeria where Malaria Consortium supports SMC (excluding FCT and Oyo). See this spreadsheet:
https://docs.google.com/spreadsheets/d/1sHsQzi0o4LM2VEZSnusgatzbgAHWWbYa7lPPUem5opA/edit?usp=sharing</t>
      </text>
    </comment>
    <comment authorId="0" ref="G35">
      <text>
        <t xml:space="preserve">Based on GBD 2019 estimates for the states in Nigeria where Malaria Consortium supports SMC (excluding FCT and Oyo). See this spreadsheet:
https://docs.google.com/spreadsheets/d/1sHsQzi0o4LM2VEZSnusgatzbgAHWWbYa7lPPUem5opA/edit?usp=sharing</t>
      </text>
    </comment>
    <comment authorId="0" ref="H35">
      <text>
        <t xml:space="preserve">Based on GBD 2019 estimates for the states in Nigeria where Malaria Consortium supports SMC (excluding FCT and Oyo). See this spreadsheet:
https://docs.google.com/spreadsheets/d/1sHsQzi0o4LM2VEZSnusgatzbgAHWWbYa7lPPUem5opA/edit?usp=sharing</t>
      </text>
    </comment>
    <comment authorId="0" ref="I35">
      <text>
        <t xml:space="preserve">Based on GBD 2019 estimates for the states in Nigeria where Malaria Consortium supports SMC (excluding FCT and Oyo). See this spreadsheet:
https://docs.google.com/spreadsheets/d/1sHsQzi0o4LM2VEZSnusgatzbgAHWWbYa7lPPUem5opA/edit?usp=sharing</t>
      </text>
    </comment>
    <comment authorId="0" ref="L35">
      <text>
        <t xml:space="preserve">Source: Institute for Health Metrics and Evaluation (IHME). Used with permission. All rights reserved. Commercial organizations wishing to acquire a license to access and download IHME data should contact services@healthdata.org.</t>
      </text>
    </comment>
    <comment authorId="0" ref="M35">
      <text>
        <t xml:space="preserve">Source: Institute for Health Metrics and Evaluation (IHME). Used with permission. All rights reserved. Commercial organizations wishing to acquire a license to access and download IHME data should contact services@healthdata.org.</t>
      </text>
    </comment>
    <comment authorId="0" ref="N35">
      <text>
        <t xml:space="preserve">See supplemental information here: https://docs.google.com/spreadsheets/d/1spdqAcSoLG3Hzecq69nYz_Y_s53zGbQxKd6EQMLIP74/edit?usp=sharing</t>
      </text>
    </comment>
    <comment authorId="0" ref="A36">
      <text>
        <t xml:space="preserve">These figures are available through the GBD Results Tool at http://ghdx.healthdata.org/gbd-results-tool?params=gbd-api-2019-permalink/ddbcb7f0f313e34e0389d2d6f563a8d3</t>
      </text>
    </comment>
    <comment authorId="0" ref="C36">
      <text>
        <t xml:space="preserve">Based on GBD 2019 estimates for the states in Nigeria where Malaria Consortium supports SMC (excluding FCT and Oyo). See this spreadsheet:
https://docs.google.com/spreadsheets/d/1sHsQzi0o4LM2VEZSnusgatzbgAHWWbYa7lPPUem5opA/edit?usp=sharing</t>
      </text>
    </comment>
    <comment authorId="0" ref="D36">
      <text>
        <t xml:space="preserve">Based on GBD 2019 estimates for the states in Nigeria where Malaria Consortium supports SMC (excluding FCT and Oyo). See this spreadsheet:
https://docs.google.com/spreadsheets/d/1sHsQzi0o4LM2VEZSnusgatzbgAHWWbYa7lPPUem5opA/edit?usp=sharing</t>
      </text>
    </comment>
    <comment authorId="0" ref="E36">
      <text>
        <t xml:space="preserve">Based on GBD 2019 estimates for the states in Nigeria where Malaria Consortium supports SMC (excluding FCT and Oyo). See this spreadsheet:
https://docs.google.com/spreadsheets/d/1sHsQzi0o4LM2VEZSnusgatzbgAHWWbYa7lPPUem5opA/edit?usp=sharing</t>
      </text>
    </comment>
    <comment authorId="0" ref="F36">
      <text>
        <t xml:space="preserve">Based on GBD 2019 estimates for the states in Nigeria where Malaria Consortium supports SMC (excluding FCT and Oyo). See this spreadsheet:
https://docs.google.com/spreadsheets/d/1sHsQzi0o4LM2VEZSnusgatzbgAHWWbYa7lPPUem5opA/edit?usp=sharing</t>
      </text>
    </comment>
    <comment authorId="0" ref="G36">
      <text>
        <t xml:space="preserve">Based on GBD 2019 estimates for the states in Nigeria where Malaria Consortium supports SMC (excluding FCT and Oyo). See this spreadsheet:
https://docs.google.com/spreadsheets/d/1sHsQzi0o4LM2VEZSnusgatzbgAHWWbYa7lPPUem5opA/edit?usp=sharing</t>
      </text>
    </comment>
    <comment authorId="0" ref="H36">
      <text>
        <t xml:space="preserve">Based on GBD 2019 estimates for the states in Nigeria where Malaria Consortium supports SMC (excluding FCT and Oyo). See this spreadsheet:
https://docs.google.com/spreadsheets/d/1sHsQzi0o4LM2VEZSnusgatzbgAHWWbYa7lPPUem5opA/edit?usp=sharing</t>
      </text>
    </comment>
    <comment authorId="0" ref="I36">
      <text>
        <t xml:space="preserve">Based on GBD 2019 estimates for the states in Nigeria where Malaria Consortium supports SMC (excluding FCT and Oyo). See this spreadsheet:
https://docs.google.com/spreadsheets/d/1sHsQzi0o4LM2VEZSnusgatzbgAHWWbYa7lPPUem5opA/edit?usp=sharing</t>
      </text>
    </comment>
    <comment authorId="0" ref="L36">
      <text>
        <t xml:space="preserve">Source: Institute for Health Metrics and Evaluation (IHME). Used with permission. All rights reserved. Commercial organizations wishing to acquire a license to access and download IHME data should contact services@healthdata.org.</t>
      </text>
    </comment>
    <comment authorId="0" ref="M36">
      <text>
        <t xml:space="preserve">Source: Institute for Health Metrics and Evaluation (IHME). Used with permission. All rights reserved. Commercial organizations wishing to acquire a license to access and download IHME data should contact services@healthdata.org.</t>
      </text>
    </comment>
    <comment authorId="0" ref="N36">
      <text>
        <t xml:space="preserve">See supplemental information here: https://docs.google.com/spreadsheets/d/1spdqAcSoLG3Hzecq69nYz_Y_s53zGbQxKd6EQMLIP74/edit?usp=sharing</t>
      </text>
    </comment>
    <comment authorId="0" ref="A37">
      <text>
        <t xml:space="preserve">These figures are available through the GBD Results Tool at http://ghdx.healthdata.org/gbd-results-tool?params=gbd-api-2019-permalink/6dfd4dd518152f1f182c2c65e2fd4f12</t>
      </text>
    </comment>
    <comment authorId="0" ref="C37">
      <text>
        <t xml:space="preserve">Based on GBD 2019 estimates for the states in Nigeria where Malaria Consortium supports SMC (excluding FCT and Oyo). See this spreadsheet:
https://docs.google.com/spreadsheets/d/1sHsQzi0o4LM2VEZSnusgatzbgAHWWbYa7lPPUem5opA/edit?usp=sharing</t>
      </text>
    </comment>
    <comment authorId="0" ref="D37">
      <text>
        <t xml:space="preserve">Based on GBD 2019 estimates for the states in Nigeria where Malaria Consortium supports SMC (excluding FCT and Oyo). See this spreadsheet:
https://docs.google.com/spreadsheets/d/1sHsQzi0o4LM2VEZSnusgatzbgAHWWbYa7lPPUem5opA/edit?usp=sharing</t>
      </text>
    </comment>
    <comment authorId="0" ref="E37">
      <text>
        <t xml:space="preserve">Based on GBD 2019 estimates for the states in Nigeria where Malaria Consortium supports SMC (excluding FCT and Oyo). See this spreadsheet:
https://docs.google.com/spreadsheets/d/1sHsQzi0o4LM2VEZSnusgatzbgAHWWbYa7lPPUem5opA/edit?usp=sharing</t>
      </text>
    </comment>
    <comment authorId="0" ref="F37">
      <text>
        <t xml:space="preserve">Based on GBD 2019 estimates for the states in Nigeria where Malaria Consortium supports SMC (excluding FCT and Oyo). See this spreadsheet:
https://docs.google.com/spreadsheets/d/1sHsQzi0o4LM2VEZSnusgatzbgAHWWbYa7lPPUem5opA/edit?usp=sharing</t>
      </text>
    </comment>
    <comment authorId="0" ref="G37">
      <text>
        <t xml:space="preserve">Based on GBD 2019 estimates for the states in Nigeria where Malaria Consortium supports SMC (excluding FCT and Oyo). See this spreadsheet:
https://docs.google.com/spreadsheets/d/1sHsQzi0o4LM2VEZSnusgatzbgAHWWbYa7lPPUem5opA/edit?usp=sharing</t>
      </text>
    </comment>
    <comment authorId="0" ref="H37">
      <text>
        <t xml:space="preserve">Based on GBD 2019 estimates for the states in Nigeria where Malaria Consortium supports SMC (excluding FCT and Oyo). See this spreadsheet:
https://docs.google.com/spreadsheets/d/1sHsQzi0o4LM2VEZSnusgatzbgAHWWbYa7lPPUem5opA/edit?usp=sharing</t>
      </text>
    </comment>
    <comment authorId="0" ref="I37">
      <text>
        <t xml:space="preserve">Based on GBD 2019 estimates for the states in Nigeria where Malaria Consortium supports SMC (excluding FCT and Oyo). See this spreadsheet:
https://docs.google.com/spreadsheets/d/1sHsQzi0o4LM2VEZSnusgatzbgAHWWbYa7lPPUem5opA/edit?usp=sharing</t>
      </text>
    </comment>
    <comment authorId="0" ref="L37">
      <text>
        <t xml:space="preserve">Source: Institute for Health Metrics and Evaluation (IHME). Used with permission. All rights reserved. Commercial organizations wishing to acquire a license to access and download IHME data should contact services@healthdata.org.</t>
      </text>
    </comment>
    <comment authorId="0" ref="M37">
      <text>
        <t xml:space="preserve">Source: Institute for Health Metrics and Evaluation (IHME). Used with permission. All rights reserved. Commercial organizations wishing to acquire a license to access and download IHME data should contact services@healthdata.org.</t>
      </text>
    </comment>
    <comment authorId="0" ref="N37">
      <text>
        <t xml:space="preserve">See supplemental information here: https://docs.google.com/spreadsheets/d/1spdqAcSoLG3Hzecq69nYz_Y_s53zGbQxKd6EQMLIP74/edit?usp=sharing</t>
      </text>
    </comment>
    <comment authorId="0" ref="A38">
      <text>
        <t xml:space="preserve">We currently assume that the malaria mortality rate (per person) in 1-2 month olds is the same as for 3-11 month olds.
Our understanding is that this assumption may be overly conservative, and relatively fewer deaths from malaria may occur in 1-2 month olds than later in the post neonatal period. But we assumed an equal mortality rate because it's simple and doesn't make a big difference to the results.</t>
      </text>
    </comment>
    <comment authorId="0" ref="A39">
      <text>
        <t xml:space="preserve">This calculation assumes that malaria deaths are spread evenly across the 11-month post neonatal period. </t>
      </text>
    </comment>
    <comment authorId="0" ref="A40">
      <text>
        <t xml:space="preserve">This calculation is based on an arbitrary assumption about the portion of post-neonatal deaths that occur in 1-2 month-olds. We recommend trying different values.</t>
      </text>
    </comment>
    <comment authorId="0" ref="A41">
      <text>
        <t xml:space="preserve">This calculation is based on an arbitrary assumption about the portion of post-neonatal deaths that occur in 1-2 month-olds. We recommend trying different values.
</t>
      </text>
    </comment>
    <comment authorId="0" ref="A44">
      <text>
        <t xml:space="preserve">These figures are available through the GBD Results Tool at http://ghdx.healthdata.org/gbd-results-tool?params=gbd-api-2019-permalink/26d74596d4dcc2cc3fb2be59eb100e86</t>
      </text>
    </comment>
    <comment authorId="0" ref="C44">
      <text>
        <t xml:space="preserve">Based on GBD 2019 estimates for the states in Nigeria where Malaria Consortium supports SMC (excluding FCT and Oyo). See this spreadsheet:
https://docs.google.com/spreadsheets/d/1sHsQzi0o4LM2VEZSnusgatzbgAHWWbYa7lPPUem5opA/edit?usp=sharing</t>
      </text>
    </comment>
    <comment authorId="0" ref="D44">
      <text>
        <t xml:space="preserve">Based on GBD 2019 estimates for the states in Nigeria where Malaria Consortium supports SMC (excluding FCT and Oyo). See this spreadsheet:
https://docs.google.com/spreadsheets/d/1sHsQzi0o4LM2VEZSnusgatzbgAHWWbYa7lPPUem5opA/edit?usp=sharing</t>
      </text>
    </comment>
    <comment authorId="0" ref="E44">
      <text>
        <t xml:space="preserve">Based on GBD 2019 estimates for the states in Nigeria where Malaria Consortium supports SMC (excluding FCT and Oyo). See this spreadsheet:
https://docs.google.com/spreadsheets/d/1sHsQzi0o4LM2VEZSnusgatzbgAHWWbYa7lPPUem5opA/edit?usp=sharing</t>
      </text>
    </comment>
    <comment authorId="0" ref="F44">
      <text>
        <t xml:space="preserve">Based on GBD 2019 estimates for the states in Nigeria where Malaria Consortium supports SMC (excluding FCT and Oyo). See this spreadsheet:
https://docs.google.com/spreadsheets/d/1sHsQzi0o4LM2VEZSnusgatzbgAHWWbYa7lPPUem5opA/edit?usp=sharing</t>
      </text>
    </comment>
    <comment authorId="0" ref="G44">
      <text>
        <t xml:space="preserve">Based on GBD 2019 estimates for the states in Nigeria where Malaria Consortium supports SMC (excluding FCT and Oyo). See this spreadsheet:
https://docs.google.com/spreadsheets/d/1sHsQzi0o4LM2VEZSnusgatzbgAHWWbYa7lPPUem5opA/edit?usp=sharing</t>
      </text>
    </comment>
    <comment authorId="0" ref="H44">
      <text>
        <t xml:space="preserve">Based on GBD 2019 estimates for the states in Nigeria where Malaria Consortium supports SMC (excluding FCT and Oyo). See this spreadsheet:
https://docs.google.com/spreadsheets/d/1sHsQzi0o4LM2VEZSnusgatzbgAHWWbYa7lPPUem5opA/edit?usp=sharing</t>
      </text>
    </comment>
    <comment authorId="0" ref="I44">
      <text>
        <t xml:space="preserve">Based on GBD 2019 estimates for the states in Nigeria where Malaria Consortium supports SMC (excluding FCT and Oyo). See this spreadsheet:
https://docs.google.com/spreadsheets/d/1sHsQzi0o4LM2VEZSnusgatzbgAHWWbYa7lPPUem5opA/edit?usp=sharing</t>
      </text>
    </comment>
    <comment authorId="0" ref="L44">
      <text>
        <t xml:space="preserve">Source: Institute for Health Metrics and Evaluation (IHME). Used with permission. All rights reserved. Commercial organizations wishing to acquire a license to access and download IHME data should contact services@healthdata.org.
We also add an adjustment to account for expected lower malaria prevalence rates in upcoming years, due to insecticide-treated bed net distribution, equal to our estimate of the decline in malaria prevalence due to AMF's bed net distributions in PMI states in Nigeria (see cell formula). 
Because the most recent insecticide-treated bed net campaign in FCT was in 2011 (Malaria Consortium Net Target Report 2020, Pg 9, https://files.givewell.org/files/DWDA%202009/Malaria%20Consortium/Malaria_Consortium_Net_target_project_report_Nigeria_2020_Redacted.pdf), we expect that the impacts of bed net distributions are not currently reflected in the malaria mortality and prevalence estimates we have seen from IHME.</t>
      </text>
    </comment>
    <comment authorId="0" ref="M44">
      <text>
        <t xml:space="preserve">Source: Institute for Health Metrics and Evaluation (IHME). Used with permission. All rights reserved. Commercial organizations wishing to acquire a license to access and download IHME data should contact services@healthdata.org.</t>
      </text>
    </comment>
    <comment authorId="0" ref="N44">
      <text>
        <t xml:space="preserve">See supplemental information here: https://docs.google.com/spreadsheets/d/1spdqAcSoLG3Hzecq69nYz_Y_s53zGbQxKd6EQMLIP74/edit?usp=sharing</t>
      </text>
    </comment>
    <comment authorId="0" ref="A45">
      <text>
        <t xml:space="preserve">We don't know the population size for 3-59 month olds, so we estimate it based on 
the under-5 malaria mortality rate. 
The GBD defines the under-5 malaria mortality rate as the ratio of the number of annual under-5 deaths from malaria to the mid-year under-5 population divided by 100,000. We use this information to back out the the mid-year under-5 population, and then make the simplifying assumption that the population size is equal across monthly age brackets from 0 to 59 months to estimate the population of 3-59 month olds. </t>
      </text>
    </comment>
    <comment authorId="0" ref="A49">
      <text>
        <t xml:space="preserve">Copied from above.</t>
      </text>
    </comment>
    <comment authorId="0" ref="A50">
      <text>
        <t xml:space="preserve">These figures are available through the GBD Results Tool at http://ghdx.healthdata.org/gbd-results-tool?params=gbd-api-2019-permalink/684982b01794e73c568934bc1ef6bcf0</t>
      </text>
    </comment>
    <comment authorId="0" ref="C50">
      <text>
        <t xml:space="preserve">Based on GBD 2019 estimates for the states in Nigeria where Malaria Consortium supports SMC (excluding FCT and Oyo). See this spreadsheet:
https://docs.google.com/spreadsheets/d/1sHsQzi0o4LM2VEZSnusgatzbgAHWWbYa7lPPUem5opA/edit?usp=sharing</t>
      </text>
    </comment>
    <comment authorId="0" ref="D50">
      <text>
        <t xml:space="preserve">Based on GBD 2019 estimates for the states in Nigeria where Malaria Consortium supports SMC (excluding FCT and Oyo). See this spreadsheet:
https://docs.google.com/spreadsheets/d/1sHsQzi0o4LM2VEZSnusgatzbgAHWWbYa7lPPUem5opA/edit?usp=sharing</t>
      </text>
    </comment>
    <comment authorId="0" ref="E50">
      <text>
        <t xml:space="preserve">Based on GBD 2019 estimates for the states in Nigeria where Malaria Consortium supports SMC (excluding FCT and Oyo). See this spreadsheet:
https://docs.google.com/spreadsheets/d/1sHsQzi0o4LM2VEZSnusgatzbgAHWWbYa7lPPUem5opA/edit?usp=sharing</t>
      </text>
    </comment>
    <comment authorId="0" ref="F50">
      <text>
        <t xml:space="preserve">Based on GBD 2019 estimates for the states in Nigeria where Malaria Consortium supports SMC (excluding FCT and Oyo). See this spreadsheet:
https://docs.google.com/spreadsheets/d/1sHsQzi0o4LM2VEZSnusgatzbgAHWWbYa7lPPUem5opA/edit?usp=sharing</t>
      </text>
    </comment>
    <comment authorId="0" ref="G50">
      <text>
        <t xml:space="preserve">Based on GBD 2019 estimates for the states in Nigeria where Malaria Consortium supports SMC (excluding FCT and Oyo). See this spreadsheet:
https://docs.google.com/spreadsheets/d/1sHsQzi0o4LM2VEZSnusgatzbgAHWWbYa7lPPUem5opA/edit?usp=sharing</t>
      </text>
    </comment>
    <comment authorId="0" ref="H50">
      <text>
        <t xml:space="preserve">Based on GBD 2019 estimates for the states in Nigeria where Malaria Consortium supports SMC (excluding FCT and Oyo). See this spreadsheet:
https://docs.google.com/spreadsheets/d/1sHsQzi0o4LM2VEZSnusgatzbgAHWWbYa7lPPUem5opA/edit?usp=sharing</t>
      </text>
    </comment>
    <comment authorId="0" ref="I50">
      <text>
        <t xml:space="preserve">Based on GBD 2019 estimates for the states in Nigeria where Malaria Consortium supports SMC (excluding FCT and Oyo). See this spreadsheet:
https://docs.google.com/spreadsheets/d/1sHsQzi0o4LM2VEZSnusgatzbgAHWWbYa7lPPUem5opA/edit?usp=sharing</t>
      </text>
    </comment>
    <comment authorId="0" ref="L50">
      <text>
        <t xml:space="preserve">Source: Institute for Health Metrics and Evaluation (IHME). Used with permission. All rights reserved. Commercial organizations wishing to acquire a license to access and download IHME data should contact services@healthdata.org.</t>
      </text>
    </comment>
    <comment authorId="0" ref="M50">
      <text>
        <t xml:space="preserve">Source: Institute for Health Metrics and Evaluation (IHME). Used with permission. All rights reserved. Commercial organizations wishing to acquire a license to access and download IHME data should contact services@healthdata.org.</t>
      </text>
    </comment>
    <comment authorId="0" ref="N50">
      <text>
        <t xml:space="preserve">See supplemental information here: https://docs.google.com/spreadsheets/d/1spdqAcSoLG3Hzecq69nYz_Y_s53zGbQxKd6EQMLIP74/edit?usp=sharing</t>
      </text>
    </comment>
    <comment authorId="0" ref="M52">
      <text>
        <t xml:space="preserve">IHME's state-level malaria mortality estimates imply that the ratio of malaria deaths at all ages to malaria deaths for 3-59-month-olds is higher for Oyo, Nigeria than for other locations we model. It seems strange to us that malaria deaths among 3-59-month-olds would make up a significantly lower percentage of total malaria deaths in Oyo than in other Nigerian states or countries, and we're unsure why this would be the case. We have not further investigated this question because it was unlikely to affect our decision-making at the time we integrated state-level IHME estimates into the CEA. However, we may investigate this question in the future.</t>
      </text>
    </comment>
    <comment authorId="0" ref="A55">
      <text>
        <t xml:space="preserve">We use prevalence estimates for children ages 1-4 from the Global Burden of Disease Project as a proxy for prevalence in children 3-59 months old. See http://ghdx.healthdata.org/gbd-results-tool?params=gbd-api-2019-permalink/1ce2dcd86e7e230f4ae087b8d6087143</t>
      </text>
    </comment>
    <comment authorId="0" ref="C55">
      <text>
        <t xml:space="preserve">Based on GBD 2019 estimates for the states in Nigeria where Malaria Consortium supports SMC (excluding FCT and Oyo). See this spreadsheet:
https://docs.google.com/spreadsheets/d/1sHsQzi0o4LM2VEZSnusgatzbgAHWWbYa7lPPUem5opA/edit?usp=sharing</t>
      </text>
    </comment>
    <comment authorId="0" ref="D55">
      <text>
        <t xml:space="preserve">Based on GBD 2019 estimates for the states in Nigeria where Malaria Consortium supports SMC (excluding FCT and Oyo). See this spreadsheet:
https://docs.google.com/spreadsheets/d/1sHsQzi0o4LM2VEZSnusgatzbgAHWWbYa7lPPUem5opA/edit?usp=sharing</t>
      </text>
    </comment>
    <comment authorId="0" ref="E55">
      <text>
        <t xml:space="preserve">Based on GBD 2019 estimates for the states in Nigeria where Malaria Consortium supports SMC (excluding FCT and Oyo). See this spreadsheet:
https://docs.google.com/spreadsheets/d/1sHsQzi0o4LM2VEZSnusgatzbgAHWWbYa7lPPUem5opA/edit?usp=sharing</t>
      </text>
    </comment>
    <comment authorId="0" ref="F55">
      <text>
        <t xml:space="preserve">Based on GBD 2019 estimates for the states in Nigeria where Malaria Consortium supports SMC (excluding FCT and Oyo). See this spreadsheet:
https://docs.google.com/spreadsheets/d/1sHsQzi0o4LM2VEZSnusgatzbgAHWWbYa7lPPUem5opA/edit?usp=sharing</t>
      </text>
    </comment>
    <comment authorId="0" ref="G55">
      <text>
        <t xml:space="preserve">Based on GBD 2019 estimates for the states in Nigeria where Malaria Consortium supports SMC (excluding FCT and Oyo). See this spreadsheet:
https://docs.google.com/spreadsheets/d/1sHsQzi0o4LM2VEZSnusgatzbgAHWWbYa7lPPUem5opA/edit?usp=sharing</t>
      </text>
    </comment>
    <comment authorId="0" ref="H55">
      <text>
        <t xml:space="preserve">Based on GBD 2019 estimates for the states in Nigeria where Malaria Consortium supports SMC (excluding FCT and Oyo). See this spreadsheet:
https://docs.google.com/spreadsheets/d/1sHsQzi0o4LM2VEZSnusgatzbgAHWWbYa7lPPUem5opA/edit?usp=sharing</t>
      </text>
    </comment>
    <comment authorId="0" ref="I55">
      <text>
        <t xml:space="preserve">Based on GBD 2019 estimates for the states in Nigeria where Malaria Consortium supports SMC (excluding FCT and Oyo). See this spreadsheet:
https://docs.google.com/spreadsheets/d/1sHsQzi0o4LM2VEZSnusgatzbgAHWWbYa7lPPUem5opA/edit?usp=sharing</t>
      </text>
    </comment>
    <comment authorId="0" ref="L55">
      <text>
        <t xml:space="preserve">Source: Institute for Health Metrics and Evaluation (IHME). Used with permission. All rights reserved. Commercial organizations wishing to acquire a license to access and download IHME data should contact services@healthdata.org.
We also add an adjustment to account for expected lower malaria prevalence rates in upcoming years, due to insecticide-treated bed net distribution, equal to our estimate fo the decline in malaria prevalence due to AMF's bed net distributions in PMI states in Nigeria (see cell formula). 
Because the most recent insecticide-treated bed net campaign in FCT was in 2011 (Malaria Consortium Net Target Report 2020, Pg 9, https://files.givewell.org/files/DWDA%202009/Malaria%20Consortium/Malaria_Consortium_Net_target_project_report_Nigeria_2020_Redacted.pdf), we expect that the impacts of bed net distributions are not currently reflected in the malaria mortality and prevalence rate estimates we have seen from IHME.</t>
      </text>
    </comment>
    <comment authorId="0" ref="M55">
      <text>
        <t xml:space="preserve">Source: Institute for Health Metrics and Evaluation (IHME). Used with permission. All rights reserved. Commercial organizations wishing to acquire a license to access and download IHME data should contact services@healthdata.org.</t>
      </text>
    </comment>
    <comment authorId="0" ref="N55">
      <text>
        <t xml:space="preserve">See supplemental information here:
https://docs.google.com/spreadsheets/d/1spdqAcSoLG3Hzecq69nYz_Y_s53zGbQxKd6EQMLIP74/edit?usp=sharing
Our supplemental information spreadsheet draws from Malaria Atlas Project data, which only reports malaria prevalence estimates for 2 to 10 year-olds. For this analysis, we assume that these malaria prevalence estimates apply to 1-14 year-olds.</t>
      </text>
    </comment>
    <comment authorId="0" ref="A56">
      <text>
        <t xml:space="preserve">We use prevalence estimates from the Global Burden of Disease Project. See http://ghdx.healthdata.org/gbd-results-tool?params=gbd-api-2019-permalink/1ce2dcd86e7e230f4ae087b8d6087143</t>
      </text>
    </comment>
    <comment authorId="0" ref="C56">
      <text>
        <t xml:space="preserve">Based on GBD 2019 estimates for the states in Nigeria where Malaria Consortium supports SMC (excluding FCT and Oyo). See this spreadsheet:
https://docs.google.com/spreadsheets/d/1sHsQzi0o4LM2VEZSnusgatzbgAHWWbYa7lPPUem5opA/edit?usp=sharing</t>
      </text>
    </comment>
    <comment authorId="0" ref="D56">
      <text>
        <t xml:space="preserve">Based on GBD 2019 estimates for the states in Nigeria where Malaria Consortium supports SMC (excluding FCT and Oyo). See this spreadsheet:
https://docs.google.com/spreadsheets/d/1sHsQzi0o4LM2VEZSnusgatzbgAHWWbYa7lPPUem5opA/edit?usp=sharing</t>
      </text>
    </comment>
    <comment authorId="0" ref="E56">
      <text>
        <t xml:space="preserve">Based on GBD 2019 estimates for the states in Nigeria where Malaria Consortium supports SMC (excluding FCT and Oyo). See this spreadsheet:
https://docs.google.com/spreadsheets/d/1sHsQzi0o4LM2VEZSnusgatzbgAHWWbYa7lPPUem5opA/edit?usp=sharing</t>
      </text>
    </comment>
    <comment authorId="0" ref="F56">
      <text>
        <t xml:space="preserve">Based on GBD 2019 estimates for the states in Nigeria where Malaria Consortium supports SMC (excluding FCT and Oyo). See this spreadsheet:
https://docs.google.com/spreadsheets/d/1sHsQzi0o4LM2VEZSnusgatzbgAHWWbYa7lPPUem5opA/edit?usp=sharing</t>
      </text>
    </comment>
    <comment authorId="0" ref="G56">
      <text>
        <t xml:space="preserve">Based on GBD 2019 estimates for the states in Nigeria where Malaria Consortium supports SMC (excluding FCT and Oyo). See this spreadsheet:
https://docs.google.com/spreadsheets/d/1sHsQzi0o4LM2VEZSnusgatzbgAHWWbYa7lPPUem5opA/edit?usp=sharing</t>
      </text>
    </comment>
    <comment authorId="0" ref="H56">
      <text>
        <t xml:space="preserve">Based on GBD 2019 estimates for the states in Nigeria where Malaria Consortium supports SMC (excluding FCT and Oyo). See this spreadsheet:
https://docs.google.com/spreadsheets/d/1sHsQzi0o4LM2VEZSnusgatzbgAHWWbYa7lPPUem5opA/edit?usp=sharing</t>
      </text>
    </comment>
    <comment authorId="0" ref="I56">
      <text>
        <t xml:space="preserve">Based on GBD 2019 estimates for the states in Nigeria where Malaria Consortium supports SMC (excluding FCT and Oyo). See this spreadsheet:
https://docs.google.com/spreadsheets/d/1sHsQzi0o4LM2VEZSnusgatzbgAHWWbYa7lPPUem5opA/edit?usp=sharing</t>
      </text>
    </comment>
    <comment authorId="0" ref="L56">
      <text>
        <t xml:space="preserve">Source: Institute for Health Metrics and Evaluation (IHME). Used with permission. All rights reserved. Commercial organizations wishing to acquire a license to access and download IHME data should contact services@healthdata.org.
We also add an adjustment to account for expected lower malaria prevalence rates in upcoming years, due to insecticide-treated bed net distribution, equal to our estimate fo the decline in malaria prevalence due to AMF's bed net distributions in PMI states in Nigeria (see cell formula). 
Because the most recent insecticide-treated bed net campaign in FCT was in 2011 (Malaria Consortium Net Target Report 2020, Pg 9, https://files.givewell.org/files/DWDA%202009/Malaria%20Consortium/Malaria_Consortium_Net_target_project_report_Nigeria_2020_Redacted.pdf), we expect that the impacts of bed net distributions are not currently reflected in the malaria mortality and prevalence rate estimates we have seen from IHME.</t>
      </text>
    </comment>
    <comment authorId="0" ref="M56">
      <text>
        <t xml:space="preserve">Source: Institute for Health Metrics and Evaluation (IHME). Used with permission. All rights reserved. Commercial organizations wishing to acquire a license to access and download IHME data should contact services@healthdata.org.</t>
      </text>
    </comment>
    <comment authorId="0" ref="N56">
      <text>
        <t xml:space="preserve">See supplemental information here:
https://docs.google.com/spreadsheets/d/1spdqAcSoLG3Hzecq69nYz_Y_s53zGbQxKd6EQMLIP74/edit?usp=sharing
Our supplemental information spreadsheet draws from Malaria Atlas Project data, which only reports malaria prevalence estimates for 2 to 10 year-olds. For this analysis, we assume that these malaria prevalence estimates apply to 1-14 year-olds.</t>
      </text>
    </comment>
    <comment authorId="0" ref="A57">
      <text>
        <t xml:space="preserve">We use prevalence estimates from the Global Burden of Disease Project. See http://ghdx.healthdata.org/gbd-results-tool?params=gbd-api-2019-permalink/1ce2dcd86e7e230f4ae087b8d6087143</t>
      </text>
    </comment>
    <comment authorId="0" ref="C57">
      <text>
        <t xml:space="preserve">Based on GBD 2019 estimates for the states in Nigeria where Malaria Consortium supports SMC (excluding FCT and Oyo). See this spreadsheet:
https://docs.google.com/spreadsheets/d/1sHsQzi0o4LM2VEZSnusgatzbgAHWWbYa7lPPUem5opA/edit?usp=sharing</t>
      </text>
    </comment>
    <comment authorId="0" ref="D57">
      <text>
        <t xml:space="preserve">Based on GBD 2019 estimates for the states in Nigeria where Malaria Consortium supports SMC (excluding FCT and Oyo). See this spreadsheet:
https://docs.google.com/spreadsheets/d/1sHsQzi0o4LM2VEZSnusgatzbgAHWWbYa7lPPUem5opA/edit?usp=sharing</t>
      </text>
    </comment>
    <comment authorId="0" ref="E57">
      <text>
        <t xml:space="preserve">Based on GBD 2019 estimates for the states in Nigeria where Malaria Consortium supports SMC (excluding FCT and Oyo). See this spreadsheet:
https://docs.google.com/spreadsheets/d/1sHsQzi0o4LM2VEZSnusgatzbgAHWWbYa7lPPUem5opA/edit?usp=sharing</t>
      </text>
    </comment>
    <comment authorId="0" ref="F57">
      <text>
        <t xml:space="preserve">Based on GBD 2019 estimates for the states in Nigeria where Malaria Consortium supports SMC (excluding FCT and Oyo). See this spreadsheet:
https://docs.google.com/spreadsheets/d/1sHsQzi0o4LM2VEZSnusgatzbgAHWWbYa7lPPUem5opA/edit?usp=sharing</t>
      </text>
    </comment>
    <comment authorId="0" ref="G57">
      <text>
        <t xml:space="preserve">Based on GBD 2019 estimates for the states in Nigeria where Malaria Consortium supports SMC (excluding FCT and Oyo). See this spreadsheet:
https://docs.google.com/spreadsheets/d/1sHsQzi0o4LM2VEZSnusgatzbgAHWWbYa7lPPUem5opA/edit?usp=sharing</t>
      </text>
    </comment>
    <comment authorId="0" ref="H57">
      <text>
        <t xml:space="preserve">Based on GBD 2019 estimates for the states in Nigeria where Malaria Consortium supports SMC (excluding FCT and Oyo). See this spreadsheet:
https://docs.google.com/spreadsheets/d/1sHsQzi0o4LM2VEZSnusgatzbgAHWWbYa7lPPUem5opA/edit?usp=sharing</t>
      </text>
    </comment>
    <comment authorId="0" ref="I57">
      <text>
        <t xml:space="preserve">Based on GBD 2019 estimates for the states in Nigeria where Malaria Consortium supports SMC (excluding FCT and Oyo). See this spreadsheet:
https://docs.google.com/spreadsheets/d/1sHsQzi0o4LM2VEZSnusgatzbgAHWWbYa7lPPUem5opA/edit?usp=sharing</t>
      </text>
    </comment>
    <comment authorId="0" ref="L57">
      <text>
        <t xml:space="preserve">Source: Institute for Health Metrics and Evaluation (IHME). Used with permission. All rights reserved. Commercial organizations wishing to acquire a license to access and download IHME data should contact services@healthdata.org.
We also add an adjustment to account for expected lower malaria prevalence rates in upcoming years, due to insecticide-treated bed net distribution, equal to our estimate fo the decline in malaria prevalence due to AMF's bed net distributions in PMI states in Nigeria (see cell formula). 
Because the most recent insecticide-treated bed net campaign in FCT was in 2011 (Malaria Consortium Net Target Report 2020, Pg 9, https://files.givewell.org/files/DWDA%202009/Malaria%20Consortium/Malaria_Consortium_Net_target_project_report_Nigeria_2020_Redacted.pdf), we expect that the impacts of bed net distributions are not currently reflected in the malaria mortality and prevalence rate estimates we have seen from IHME.</t>
      </text>
    </comment>
    <comment authorId="0" ref="M57">
      <text>
        <t xml:space="preserve">Source: Institute for Health Metrics and Evaluation (IHME). Used with permission. All rights reserved. Commercial organizations wishing to acquire a license to access and download IHME data should contact services@healthdata.org.</t>
      </text>
    </comment>
    <comment authorId="0" ref="N57">
      <text>
        <t xml:space="preserve">See supplemental information here:
https://docs.google.com/spreadsheets/d/1spdqAcSoLG3Hzecq69nYz_Y_s53zGbQxKd6EQMLIP74/edit?usp=sharing
Our supplemental information spreadsheet draws from Malaria Atlas Project data, which only reports malaria prevalence estimates for 2 to 10 year-olds. For this analysis, we assume that these malaria prevalence estimates apply to 1-14 year-olds.</t>
      </text>
    </comment>
    <comment authorId="0" ref="A58">
      <text>
        <t xml:space="preserve">We use prevalence estimates from the Global Burden of Disease Project. See http://ghdx.healthdata.org/gbd-results-tool?params=gbd-api-2019-permalink/1ce2dcd86e7e230f4ae087b8d6087143</t>
      </text>
    </comment>
    <comment authorId="0" ref="C58">
      <text>
        <t xml:space="preserve">Based on GBD 2019 estimates for the states in Nigeria where Malaria Consortium supports SMC (excluding FCT and Oyo). See this spreadsheet:
https://docs.google.com/spreadsheets/d/1sHsQzi0o4LM2VEZSnusgatzbgAHWWbYa7lPPUem5opA/edit?usp=sharing</t>
      </text>
    </comment>
    <comment authorId="0" ref="D58">
      <text>
        <t xml:space="preserve">Based on GBD 2019 estimates for the states in Nigeria where Malaria Consortium supports SMC (excluding FCT and Oyo). See this spreadsheet:
https://docs.google.com/spreadsheets/d/1sHsQzi0o4LM2VEZSnusgatzbgAHWWbYa7lPPUem5opA/edit?usp=sharing</t>
      </text>
    </comment>
    <comment authorId="0" ref="E58">
      <text>
        <t xml:space="preserve">Based on GBD 2019 estimates for the states in Nigeria where Malaria Consortium supports SMC (excluding FCT and Oyo). See this spreadsheet:
https://docs.google.com/spreadsheets/d/1sHsQzi0o4LM2VEZSnusgatzbgAHWWbYa7lPPUem5opA/edit?usp=sharing</t>
      </text>
    </comment>
    <comment authorId="0" ref="F58">
      <text>
        <t xml:space="preserve">Based on GBD 2019 estimates for the states in Nigeria where Malaria Consortium supports SMC (excluding FCT and Oyo). See this spreadsheet:
https://docs.google.com/spreadsheets/d/1sHsQzi0o4LM2VEZSnusgatzbgAHWWbYa7lPPUem5opA/edit?usp=sharing</t>
      </text>
    </comment>
    <comment authorId="0" ref="G58">
      <text>
        <t xml:space="preserve">Based on GBD 2019 estimates for the states in Nigeria where Malaria Consortium supports SMC (excluding FCT and Oyo). See this spreadsheet:
https://docs.google.com/spreadsheets/d/1sHsQzi0o4LM2VEZSnusgatzbgAHWWbYa7lPPUem5opA/edit?usp=sharing</t>
      </text>
    </comment>
    <comment authorId="0" ref="H58">
      <text>
        <t xml:space="preserve">Based on GBD 2019 estimates for the states in Nigeria where Malaria Consortium supports SMC (excluding FCT and Oyo). See this spreadsheet:
https://docs.google.com/spreadsheets/d/1sHsQzi0o4LM2VEZSnusgatzbgAHWWbYa7lPPUem5opA/edit?usp=sharing</t>
      </text>
    </comment>
    <comment authorId="0" ref="I58">
      <text>
        <t xml:space="preserve">Based on GBD 2019 estimates for the states in Nigeria where Malaria Consortium supports SMC (excluding FCT and Oyo). See this spreadsheet:
https://docs.google.com/spreadsheets/d/1sHsQzi0o4LM2VEZSnusgatzbgAHWWbYa7lPPUem5opA/edit?usp=sharing</t>
      </text>
    </comment>
    <comment authorId="0" ref="L58">
      <text>
        <t xml:space="preserve">Source: Institute for Health Metrics and Evaluation (IHME). Used with permission. All rights reserved. Commercial organizations wishing to acquire a license to access and download IHME data should contact services@healthdata.org.
We also add an adjustment to account for expected lower malaria prevalence rates in upcoming years, due to insecticide-treated bed net distribution, equal to our estimate fo the decline in malaria prevalence due to AMF's bed net distributions in PMI states in Nigeria (see cell formula). 
Because the most recent insecticide-treated bed net campaign in FCT was in 2011 (Malaria Consortium Net Target Report 2020, Pg 9, https://files.givewell.org/files/DWDA%202009/Malaria%20Consortium/Malaria_Consortium_Net_target_project_report_Nigeria_2020_Redacted.pdf), we expect that the impacts of bed net distributions are not currently reflected in the malaria mortality and prevalence rate estimates we have seen from IHME.</t>
      </text>
    </comment>
    <comment authorId="0" ref="M58">
      <text>
        <t xml:space="preserve">Source: Institute for Health Metrics and Evaluation (IHME). Used with permission. All rights reserved. Commercial organizations wishing to acquire a license to access and download IHME data should contact services@healthdata.org.</t>
      </text>
    </comment>
    <comment authorId="0" ref="N58">
      <text>
        <t xml:space="preserve">See supplemental information here:
https://docs.google.com/spreadsheets/d/1spdqAcSoLG3Hzecq69nYz_Y_s53zGbQxKd6EQMLIP74/edit?usp=sharing
Our supplemental information spreadsheet draws from Malaria Atlas Project data, which only reports malaria prevalence estimates for 2 to 10 year-olds. For this analysis, we assume that these malaria prevalence estimates apply to 1-14 year-olds.</t>
      </text>
    </comment>
    <comment authorId="0" ref="A63">
      <text>
        <t xml:space="preserve">Empirical research suggests that malaria control interventions often have a larger effect on all-cause mortality than would be expected exclusively from declines in malaria-specific mortality (see excerpts below). 
We're highly uncertain about the exact value of this input, but we have spoken with malaria experts who told us that it is widely accepted there are roughly 0.5-1 indirect malaria deaths for every direct malaria death. We use a value of 0.75, the midpoint of this range, based on two sets of considerations.
- Based on talking to experts, the estimate of 0.5 seemed to be the estimate that had the most thought and work behind it from researchers with whom we spoke.
- On the other hand, when we back out indirect deaths using reductions in all-cause mortality found in Pryce et al., reductions in incidence found in Pryce et al. and share of deaths due to malaria from IHME from the time of Pryce et al., we estimate a value of 1.5. We have several reasons to be skeptical of this estimate and think it likely overestimates indirect deaths. However, this causes us to move our best guess toward the midpoint of the range given by experts. See our calculations here: https://docs.google.com/spreadsheets/d/1uQ4IEMsKPcGo9fF7ifd4bHLuE4jJeEdGxRbnhu7zrkk/edit?usp=sharing
"During randomized controlled intervention trials aimed at reducing the incidence of infection (but not 100 percent protective), the all-cause mortality of children is often reduced more than would be attributed by VA diagnosis of malaria. For example, in Kilifi the proportion of deaths of children under five years attributed to malaria by VA was 34 percent (R. W. Snow, unpublished data). During a randomized controlled trial of insecticide-treated bednets in the same area, the incidence of malaria infection was reduced by 50 percent (Snow et al. 1996), which was sufficient to reduce all-cause mortality by 33 percent (Nevill et al. 1996). More dramatically, in The Gambia, insecticide-treated bednets reduced all-cause mortality by over 60 percent, and yet the VA-diagnosed contribution of malaria to all-cause mortality among control populations was only 16 percent (Alonso et al. 1993). This has led some to speculate that malaria infection is a contributor to broad causes of mortality beyond the direct fatal consequences of infection (Molineaux 1997)."
Disease and Mortality in Sub-Saharan Africa, 2nd Edition, p. 204 https://www.ncbi.nlm.nih.gov/books/NBK2279/pdf/Bookshelf_NBK2279.pdf
"Data on all-cause mortality of children under five from DSS studies undertaken across a broad range of malaria transmission settings in Sub-Saharan Africa were analyzed against the prevalence of P. falciparum infection at each site. Weighted least-squares regression was used to model the contiguous relationships between all-cause mortality and parasite prevalence rates, allowing for the square of parasite prevalence (for possible saturation of parasite prevalence), timing, location, and the sampling precision of each study (Snow, Korenromp, and Gouws 2004). The unadjusted median all-cause child mortality rate for low prevalence areas of childhood infection (less than 25 percent) was 10.9 per year per 1,000 children under five (IQR 7.8–17.6). This rose dramatically to 39.1 per year per 1,000 children (IQR 32.8–52.2) among populations exposed to childhood parasite prevalence risks greater than or equal to 25 percent. In the regression model, mortality increased significantly with parasite prevalence, but this effect leveled off at higher prevalence rates. The model suggested that, in rural DSS sites throughout Sub-Saharan Africa, all-cause mortality increases by more than twofold (25–30 deaths per 1,000 children under five years old) over the prevalences of malaria infection covered by the DSS sites, and parasite prevalence explained 64 percent of the variation between sites in all-cause under-five mortality. By contrast, the direct estimation of malaria-specific mortality presented earlier for children living under stable endemic conditions was only 28.2 percent."
Disease and Mortality in Sub-Saharan Africa, 2nd Edition, p. 206 https://www.ncbi.nlm.nih.gov/books/NBK2279/pdf/Bookshelf_NBK2279.pdf</t>
      </text>
    </comment>
    <comment authorId="0" ref="A64">
      <text>
        <t xml:space="preserve">Empirical research suggests that malaria control interventions often have a larger effect on all-cause mortality than would be expected exclusively from declines in malaria-specific mortality (see excerpts below). 
We're highly uncertain about the exact value of this input, but we have spoken with malaria experts who told us that it is widely accepted there are roughly 0.5-1 indirect malaria deaths for every direct malaria death. We have not carefully vetted the relevant literature, but use 0.5 indirect deaths as our best guess estimate because it seemed to be the estimate that had the most thought and work behind it from researchers with whom we spoke.
"During randomized controlled intervention trials aimed at reducing the incidence of infection (but not 100 percent protective), the all-cause mortality of children is often reduced more than would be attributed by VA diagnosis of malaria. For example, in Kilifi the proportion of deaths of children under five years attributed to malaria by VA was 34 percent (R. W. Snow, unpublished data). During a randomized controlled trial of insecticide-treated bednets in the same area, the incidence of malaria infection was reduced by 50 percent (Snow et al. 1996), which was sufficient to reduce all-cause mortality by 33 percent (Nevill et al. 1996). More dramatically, in The Gambia, insecticide-treated bednets reduced all-cause mortality by over 60 percent, and yet the VA-diagnosed contribution of malaria to all-cause mortality among control populations was only 16 percent (Alonso et al. 1993). This has led some to speculate that malaria infection is a contributor to broad causes of mortality beyond the direct fatal consequences of infection (Molineaux 1997)."
Disease and Mortality in Sub-Saharan Africa, 2nd Edition, p. 204 https://www.ncbi.nlm.nih.gov/books/NBK2279/pdf/Bookshelf_NBK2279.pdf
"Data on all-cause mortality of children under five from DSS studies undertaken across a broad range of malaria transmission settings in Sub-Saharan Africa were analyzed against the prevalence of P. falciparum infection at each site. Weighted least-squares regression was used to model the contiguous relationships between all-cause mortality and parasite prevalence rates, allowing for the square of parasite prevalence (for possible saturation of parasite prevalence), timing, location, and the sampling precision of each study (Snow, Korenromp, and Gouws 2004). The unadjusted median all-cause child mortality rate for low prevalence areas of childhood infection (less than 25 percent) was 10.9 per year per 1,000 children under five (IQR 7.8–17.6). This rose dramatically to 39.1 per year per 1,000 children (IQR 32.8–52.2) among populations exposed to childhood parasite prevalence risks greater than or equal to 25 percent. In the regression model, mortality increased significantly with parasite prevalence, but this effect leveled off at higher prevalence rates. The model suggested that, in rural DSS sites throughout Sub-Saharan Africa, all-cause mortality increases by more than twofold (25–30 deaths per 1,000 children under five years old) over the prevalences of malaria infection covered by the DSS sites, and parasite prevalence explained 64 percent of the variation between sites in all-cause under-five mortality. By contrast, the direct estimation of malaria-specific mortality presented earlier for children living under stable endemic conditions was only 28.2 percent."
Disease and Mortality in Sub-Saharan Africa, 2nd Edition, p. 206 https://www.ncbi.nlm.nih.gov/books/NBK2279/pdf/Bookshelf_NBK2279.pdf</t>
      </text>
    </comment>
    <comment authorId="0" ref="A65">
      <text>
        <t xml:space="preserve">SMC is recommended for deployment in areas...where more than 60% of the annual incidence of malaria occurs within 4 months" Pg. 7, World Health Organization, "Seasonal Malaria Chemoprevention: A Field Guide"; "In sites considered suitable for SMC, the median fraction of incidence occurring in the 4 consecutive months of peak transmission was 77% and the mean 75.7% (Supplementary Table S1,2). We therefore assumed that, on average, 75% of the annual burden occurred in the SMC period, but also explored the impact of SMC, if 60% and 90% of annual incidence occurred in the period when SMC was given." Pg. 9, Cairns et al. 2012. See Supplementary Tables S1 and S2 in Cairns et al. 2012 supplements. Note that we have not vetted the methodology of this study, and most of the data that it is relying on seems to be 10+ years old.
We assume that 70% of malaria mortalities occur within the high transmission season; we have not done substantial research to inform this input.</t>
      </text>
    </comment>
    <comment authorId="0" ref="N65">
      <text>
        <t xml:space="preserve">The minimum value for the proportion of malaria mortality occurring during the four-month period in which SMC is typically delivered is 33% (this would represent no seasonality in malaria cases because 4 months / 12 months = 33%). We estimate a 70% value for the Sahel (see cell note in the first column of this row). We learned from speaking with malaria modelers from Imperial College London that 70% would likely be an overestimate for Mozambique. This is because malaria seasonality tracks rainfall less well in East Africa, as the climate isn't as arid in the non-rainy season, and standing bodies of water ensure continued mosquito presence year-round. Mozambique also contains micro-climates (and presumably some areas are closer to lakes/water bodies than others), so seasonality is variable across the country, and not every area may be suitable for SMC. 
We asked the malaria modelers how they would recommend we estimate the proportion of malaria mortality occurring during the high-transmission season in Mozambique, and they suggested that we take a simple average of the minimum value for this parameter (33%) and the value we use for countries in the Sahel (70%). This is the input we've chosen to use in the CEA. 
Note: this estimate represents our rough best guess for the country of Mozambique overall. We did not investigate rainfall levels in Nampula province specifically.</t>
      </text>
    </comment>
    <comment authorId="0" ref="A67">
      <text>
        <t xml:space="preserve">Academic research finds that SMC reduces malaria incidence. A 100% value for this input implies that SMC reduces malaria mortality by the same percent that SMC reduces malaria incidence. An input below 100% indicates that malaria mortality does not drop as much as malaria incidence when children are given SMC treatments. Our best guess is that the reduction in malaria incidence results in a similar reduction in mortality, but we are not aware of high-quality empirical evidence that we can use to test this assumption. More discussion is available at https://www.givewell.org/international/technical/programs/seasonal-malaria-chemoprevention#Does_the_reduction_in_malaria_incidence_cause_a_similar_reduction_in_mortality</t>
      </text>
    </comment>
    <comment authorId="0" ref="A69">
      <text>
        <t xml:space="preserve">Academic research finds that SMC reduces malaria incidence. A 100% value for this input implies that SMC reduces malaria mortality by the same percent that SMC reduces malaria incidence. An input below 100% indicates that malaria mortality does not drop as much as malaria incidence when children are given SMC treatments. Our best guess is that the reduction in malaria incidence results in a similar reduction in mortality, but we are not aware of high-quality empirical evidence that we can use to test this assumption. More discussion is available at https://www.givewell.org/international/technical/programs/seasonal-malaria-chemoprevention#Does_the_reduction_in_malaria_incidence_cause_a_similar_reduction_in_mortality</t>
      </text>
    </comment>
    <comment authorId="0" ref="A70">
      <text>
        <t xml:space="preserve">This is expressed in units of "an outcome as good as doubling consumption for one person for one year." For example, a value of 50 for this parameter would mean we think that averting the death of a child under 5 years old is 50 times as valuable as doubling consumption for one person for one year. 
For more detail on how our moral weights are calculated, see this entry in our changelog: 
https://www.givewell.org/how-we-work/our-criteria/cost-effectiveness/cost-effectiveness-models/changelog-2019#Version_2_Published_January_25_2019</t>
      </text>
    </comment>
    <comment authorId="0" ref="A72">
      <text>
        <t xml:space="preserve">This is expressed in units of "an outcome as good as doubling consumption for one person for one year." For example, a value of 50 for this parameter would mean we think that averting the death of a child under 5 years old is 50 times as valuable as doubling consumption for one person for one year. 
For more detail on how our moral weights are calculated, see this entry in our changelog: 
https://www.givewell.org/how-we-work/our-criteria/cost-effectiveness/cost-effectiveness-models/changelog-2019#Version_2_Published_January_25_2019</t>
      </text>
    </comment>
    <comment authorId="0" ref="A74">
      <text>
        <t xml:space="preserve">There may be positive externalities that benefit untreated individuals in communities where SMC treatment is delivered. Since SMC is delivered only to young children, untreated individuals will make up a large proportion of populations targeted with SMC. 
We are aware of one trial, Cisse et al. 2016, that assessed how SMC affected untreated individuals in treated communities. This trial found significant benefits for the untreated population. However, we are not confident these benefits will occur in other settings where SMC is delivered. In Cisse et al. 2016, many children between 5 and 10 years old received SMC. ACCESS-SMC primarily targets children under 5.
(Link to Cisse et al. 2016: http://journals.plos.org/plosmedicine/article?id=10.1371/journal.pmed.1002175)
For more information, see the section of our SMC intervention report on the indirect effects of SMC on the untreated population: https://www.givewell.org/international/technical/programs/seasonal-malaria-chemoprevention#Indirect_effects_on_the_untreated_population</t>
      </text>
    </comment>
    <comment authorId="0" ref="A76">
      <text>
        <t xml:space="preserve">"A reduction of 60% (95% CI 54%–64%, p &lt; 0.001) in the incidence of malaria cases confirmed by a rapid diagnostic test (RDT) and a reduction of 69% (95% CI 65%–72%, p &lt; 0.001) in the number of treatments for malaria (confirmed and unconfirmed) was observed in children." 
Cisse et al. 2016 http://journals.plos.org/plosmedicine/article?id=10.1371/journal.pmed.1002175</t>
      </text>
    </comment>
    <comment authorId="0" ref="A77">
      <text>
        <t xml:space="preserve">"In areas where SMC was implemented, incidence of confirmed malaria in adults and in children too old to receive SMC was reduced by 26% (95% CI 18%–33%, p &lt; 0.001) and the total number of treatments for malaria (confirmed and unconfirmed) in these older age groups was reduced by 29% (95% CI 21%–35%, p &lt; 0.001)" Cisse et al. 2016 http://journals.plos.org/plosmedicine/article?id=10.1371/journal.pmed.1002175</t>
      </text>
    </comment>
    <comment authorId="0" ref="A78">
      <text>
        <t xml:space="preserve">"A reduction of 60% (95% CI 54%–64%, p &lt; 0.001) in the incidence of malaria cases confirmed by a rapid diagnostic test (RDT) and a reduction of 69% (95% CI 65%–72%, p &lt; 0.001) in the number of treatments for malaria (confirmed and unconfirmed) was observed in children." 
Cisse et al. 2016 http://journals.plos.org/plosmedicine/article?id=10.1371/journal.pmed.1002175</t>
      </text>
    </comment>
    <comment authorId="0" ref="A82">
      <text>
        <t xml:space="preserve">We apply a downward adjustment to account for (i) Cisse et al. 2016 covering a higher proportion of the population than the typical Malaria Consortium program, and (ii) The lower levels of transmission in Cisse et al. 2016 relative to the typical Malaria Consortium program (our understanding from speaking with a malaria modeler is indirect effects are likely to be smaller as a proportion of total benefits in areas of high transmission).
The calculations for this adjustment are here: https://docs.google.com/spreadsheets/d/1lWE_IQzlX8QfAeUgK1OpcHTxJ7H6uOxRciSK215k9sI
For more details, see the section on indirect effects in our intervention report on seasonal malaria chemoprevention (https://www.givewell.org/international/technical/programs/seasonal-malaria-chemoprevention).</t>
      </text>
    </comment>
    <comment authorId="0" ref="A84">
      <text>
        <t xml:space="preserve">This is expressed in units of "an outcome as good as doubling consumption for one person for one year." For example, a value of 50 for this parameter would mean we think that averting the death of a child 5+ years old is 50 times as valuable as doubling consumption for one person for one year. 
For more detail on how our moral weights are calculated, see this entry in our changelog: 
https://www.givewell.org/how-we-work/our-criteria/cost-effectiveness/cost-effectiveness-models/changelog-2019#Version_2_Published_January_25_2019</t>
      </text>
    </comment>
    <comment authorId="0" ref="A86">
      <text>
        <t xml:space="preserve">This is expressed in units of "an outcome as good as doubling consumption for one person for one year." For example, a value of 50 for this parameter would mean we think that averting the death of a child 5+ years old is 50 times as valuable as doubling consumption for one person for one year. 
For more detail on how our moral weights are calculated, see this entry in our changelog: 
https://www.givewell.org/how-we-work/our-criteria/cost-effectiveness/cost-effectiveness-models/changelog-2019#Version_2_Published_January_25_2019</t>
      </text>
    </comment>
    <comment authorId="0" ref="A93">
      <text>
        <t xml:space="preserve">We use prevalence estimates for children ages 1-4 from the Global Burden of Disease Project as a proxy for prevalence in children 3-59 months old. See the "Country selection" tab for calculations and a source link.</t>
      </text>
    </comment>
    <comment authorId="0" ref="A94">
      <text>
        <t xml:space="preserve">We use prevalence estimates from the Global Burden of Disease Project. See the "Country selection" tab for calculations and a source link.</t>
      </text>
    </comment>
    <comment authorId="0" ref="A95">
      <text>
        <t xml:space="preserve">We assume that the reduction in prevalence from SMC is roughly equal to the reduction in incidence</t>
      </text>
    </comment>
    <comment authorId="0" ref="A96">
      <text>
        <t xml:space="preserve">We assume that the reduction in prevalence from SMC is roughly equal to the reduction in incidence</t>
      </text>
    </comment>
    <comment authorId="0" ref="A97">
      <text>
        <t xml:space="preserve">Global Burden of Disease Study 2019 (GBD 2019) Population Estimates 
We have stored this data at: https://givewell.box.com/s/eyk1q7f2rovlqzjjn23nirkh9fvmw0hm
The original source can be found at: http://ghdx.healthdata.org/record/ihme-data/gbd-2019-population-estimates-1950-2019</t>
      </text>
    </comment>
    <comment authorId="0" ref="A98">
      <text>
        <t xml:space="preserve">Global Burden of Disease Study 2019 (GBD 2019) Population Estimates 
We have stored this data at: https://givewell.box.com/s/eyk1q7f2rovlqzjjn23nirkh9fvmw0hm
The original source can be found at: http://ghdx.healthdata.org/record/ihme-data/gbd-2019-population-estimates-1950-2019</t>
      </text>
    </comment>
    <comment authorId="0" ref="A103">
      <text>
        <t xml:space="preserve">This figure represents a midpoint between the findings of two natural experiments (Bleakley 2010, Cutler et al. 2010)
It should be interpreted as the expected increase in lifetime income from reducing the point in time probability of having malaria from 1 to 0 for one year. 
We are uncertain at what age range children would get long term benefits from malaria reduction. We chose ages 0-14 fairly arbitrarily, but do not believe the results are highly sensitive to this assumption. We normalized the results of the studies we relied on to an annual figure by dividing by 15, and then applied this to children aged between 0 and 14. If we had chosen a lower age than 14, the increase in the estimate of the annual effect would have been cancelled out by applying it to a lower proportion of the population.
We have not yet published the full rationale for choosing this figure.
Bleakley 2010: https://www.ncbi.nlm.nih.gov/pmc/articles/PMC3810960/
Cutler et al. 2010: https://scholar.harvard.edu/files/kremer/files/malaria_aej_applied_2010.04_sunday_two.pdf</t>
      </text>
    </comment>
    <comment authorId="0" ref="A104">
      <text>
        <t xml:space="preserve">We apply a downward adjustment to the headline results of the studies for two reasons:
1) The two natural experiments we use to calculate the expected increase in income from reducing malaria have a number of weaknesses and uncertainties. In particular, they study different malaria interventions that operated in different places and time periods and generated larger reductions in malaria prevalence than the programs we are currently modelling. While they support the idea that suffering from malaria can have substantial impacts on long-term income, we are unsure if extrapolating the effect sizes they estimate is externally valid for our model. 
They are also retrospective, quasi-experimental studies, and we cannot entirely rule out the possibility that the observed results are affected by unknown other factor(s) or data quality issues.
We therefore apply a subjective downward adjustment (70%) to the headline results of the studies.
2) The studies primarily report outcomes for males. We would guess that there would also be effects on income for females, but that these would be lower due to females having lower rates of labor force participation. We apply a further discount of 75% to account for this consideration.
70% x 75% gives a replicability adjustment of 52%.
We have not yet published the full rationale for choosing this figure.
Bleakley 2010: https://www.ncbi.nlm.nih.gov/pmc/articles/PMC3810960/
Cutler et al. 2010: https://scholar.harvard.edu/files/kremer/files/malaria_aej_applied_2010.04_sunday_two.pdf</t>
      </text>
    </comment>
    <comment authorId="0" ref="A106">
      <text>
        <t xml:space="preserve">Our best guess is that children are roughly 17 years of age when they begin substantive work (see our justification for the equivalent parameter in our deworming cost-effectiveness analysis https://docs.google.com/document/d/1NxN6SO8GNv1AhpHMy1-IGu-tStT7py29W8AFU0u_bLw/edit?ts=599b4840)
We assume children between the ages of 0 and 14 benefit from the long run effects of reduced childhood exposure to malaria. Taking a simple average, we expect the average beneficiary is ~7 years of age.
Our best guess is therefore that there are ~10 years between implementation of the program and starting work.</t>
      </text>
    </comment>
    <comment authorId="0" ref="A111">
      <text>
        <t xml:space="preserve">For consistency, we use the same figure here as for deworming. We repeat the cell note from our deworming cost-effectiveness analysis:
"If a person treated for worms earns additional income and supports a family, then multiple people may benefit—not just the person who was dewormed. 
In a multi-person household with one wage earner, a 10% increase in wages could enable every member of the household to consume 10% more. However, many households will have multiple wage earners, and household size may change overtime.
A rough model for estimating a value for this parameter is available at https://docs.google.com/spreadsheets/d/112uuyYt6QLRZuJojwz6fHv4JQ-GHNeIpiT-SauY3kmM/edit#gid=0. The appropriate value for this parameter will depend on many uncertain factors (e.g. household composition and how household composition changes overtime). We currently use a default value of 2.0. Our rough model suggests values close to 2 under a range of reasonable assumptions."</t>
      </text>
    </comment>
    <comment authorId="0" ref="A118">
      <text>
        <t xml:space="preserve">This adjustment is used to account for the possibility that the effect of SMC found in academic research may not have been the true effect SMC had on the populations being studied.
It's GiveWell's best guess that these trials captured something close to the true effect of SMC in the study settings. Although we don't have specific, serious concerns about internal validity, we use a default value below 100% based on our expectation that published studies are more likely to overstate an intervention's efficacy than understate it. 
Additional details about the research assessing SMC efficacy is available at https://www.givewell.org/international/technical/programs/seasonal-malaria-chemoprevention#Does_the_program_have_strong_evidence_of_effectiveness</t>
      </text>
    </comment>
    <comment authorId="0" ref="A119">
      <text>
        <t xml:space="preserve">This adjustment is used to account for external validity issues not accounted for elsewhere in the CEA. By default, this parameter is set to 100% because we currently do not have serious external validity concerns that are not accounted for elsewhere in the CEA. Additional discussion related to external validity is available at https://www.givewell.org/international/technical/programs/seasonal-malaria-chemoprevention#How_does_the_Malaria_Consortium_SMC_program_compare_to_the_programs_addressed_in_these_studies</t>
      </text>
    </comment>
    <comment authorId="0" ref="A123">
      <text>
        <t xml:space="preserve">It's often difficult to account for different kinds of wastage directly in our cost-effectiveness analysis. This section summarizes adjustments to our cost-effectiveness analysis to take into account our best guess of how different factors related to our top charities affect our best guess of true cost-effectiveness. It is separate from the inclusion/exclusion sheet because it reflects organization-level, rather than intervention-level factors.</t>
      </text>
    </comment>
    <comment authorId="0" ref="A134">
      <text>
        <t xml:space="preserve">It's often difficult to explicitly model different kinds of wastage or other charity-level issues directly in our cost-effectiveness analysis. This section summarizes rough adjustments to our cost-effectiveness analysis to take into account our best guess of how different charity-level factors affect our best guess of true cost-effectiveness. </t>
      </text>
    </comment>
    <comment authorId="0" ref="A137">
      <text>
        <t xml:space="preserve">Scenario: The program is delivered to people who don't benefit or minimally benefit because they have received the program from another source.
Intuitively seems unlikely that children are getting preventative treatment from another source.</t>
      </text>
    </comment>
    <comment authorId="0" ref="A138">
      <text>
        <t xml:space="preserve">Scenario: Pills, LLINs, etc. are poorly made, counterfeit, or otherwise largely or fully ineffective at achieving the expected outcome. 
Drugs are purchased from World Health Organization-qualified manufacturers.</t>
      </text>
    </comment>
    <comment authorId="0" ref="A139">
      <text>
        <t xml:space="preserve">Not applicable. Our cost/child-treated estimate uses total costs and estimates of children reached.</t>
      </text>
    </comment>
    <comment authorId="0" ref="A143">
      <text>
        <t xml:space="preserve">Scenario: Charity sends money/goods to a country/partner and the country/partner reports back that they carried out the program and reached a certain number of people, but these results are partially or fully fabricated and we do not have monitoring results from those locations.
We've received coverage survey results from all locations and all years. Malaria Consortium has two types of coverage surveys: post cycle, which are conducted after a cycle of SMC, and post-round, which are conducted after all cycles of SMC are distributed. We have seen either a post-cycle or post-round survey for all locations, but not always both. See here for our review of monitoring results: 
https://docs.google.com/spreadsheets/d/1WqNL0PEA4cT470ALp0nItEEU8gM_IlhVNIJK1GqnFVE/edit#gid=1817130439</t>
      </text>
    </comment>
    <comment authorId="0" ref="A144">
      <text>
        <t xml:space="preserve">Scenario: The monitoring results that we've received are partially or fully fabricated or significantly biased in some way we are unaware of, leading us to believe that results are better than they actually were.
We have conducted a relatively thorough review of Malaria Consortium's coverage surveys from recent years; we thus believe we have identified most major risks of bias. We have limited visibility into the quality of survey implementation due to data collectors' involvement in respondent selection and limited auditing data. In 2021, new auditing procedures were introduced in Nigeria post-cycle and post-round surveys and Mozambique and Uganda post-round surveys. We consider this an improvement in methodology; however, limited visibility into the auditing results led us to not change this adjustment. In some cases, results from post-cycle and post-round surveys for the same campaigns have been substantially different. See here for our review of monitoring results:
https://docs.google.com/spreadsheets/d/1WqNL0PEA4cT470ALp0nItEEU8gM_IlhVNIJK1GqnFVE/edit#gid=1817130439 </t>
      </text>
    </comment>
    <comment authorId="0" ref="A148">
      <text>
        <t xml:space="preserve">Scenario: Charity decides to use some of the funding we directed to them to fund some research or other work that they see as being related to the program, but we don't find valuable. This would affect our cost per output analyses once it happened, so in many cases, no additional adjustment is needed. We may use a higher adjustment value for charities we have less experience with.
Used ~half of funding in 2017 to supplement UNITAID project in ways we didn't expect (primarily supplemental monitoring) but were broadly in-line with our priorities. Used funding it received that was very likely a result of GiveWell's recommendation but had been sent without restriction to SMC on non-SMC-related projects; this was a very small amount of the total SMC budget.
2022 update: 2017 funding is now a very small portion of total spending and nothing similar has happened since then. There have been several examples of Malaria Consortium explicitly checking in with GiveWell to get our feedback on opportunities to redirect funding to a different purpose or on decisions it is making on how to use its discretionary research budget.</t>
      </text>
    </comment>
    <comment authorId="0" ref="A149">
      <text>
        <t xml:space="preserve">Scenario: Charity encounters non-funding bottlenecks to allocating funding and holds funding for a long time. At an extreme, charity is unable to spend money, draws down funding over time on work to identify opportunities to spend money for a time, and then shifts to another program.
Has been able to spend funding quickly.</t>
      </text>
    </comment>
    <comment authorId="0" ref="A150">
      <text>
        <t xml:space="preserve">Scenario: Charity runs multiple programs and shifts funds from non-GiveWell sources or fundraising effort out of the program that we want to fund as a result of receiving GiveWell-directed funding.
Malaria Consortium has limited unrestricted funding relative to the size of this program. Fundraising efforts may be redirected to other programs as a result of more funding being available for this program. We know of one example where Malaria Consortium had the option of applying for funding for SMC and choose to apply for a different program because SMC is relatively well funded.</t>
      </text>
    </comment>
    <comment authorId="0" ref="A163">
      <text>
        <t xml:space="preserve">We only directly model some of the possible effects of the intervention. Many effects are excluded to keep the model tractable.
This section shows the speculative guesses we use to estimate the impact of outcomes we haven't explicitly modeled on the cost-effectiveness of our charities. The "Supplemental intervention-level adjustments" tab of this spreadsheet includes more details on how these adjustments are calculated and some brief justifications.</t>
      </text>
    </comment>
    <comment authorId="0" ref="B178">
      <text>
        <t xml:space="preserve">GiveWell-funded work by Malaria Consortium made up roughly 50% of total SMC funding in Burkina Faso in 2021, targeting 2 million children out of a total target population of 4.2 million. See https://files.givewell.org/files/DWDA%202009/Malaria%20Consortium/Malaria_Consortium_seasonal_malaria_chemoprevention_program_Philanthropy_report_2021.pdf, page 18. 
This implies that there would be significant scope to prioritize some areas over others in the absence of GiveWell-directed funding. There appears to be moderate variation in malaria rates across Burkina Faso: https://malariaatlas.org/explorer/#/</t>
      </text>
    </comment>
    <comment authorId="0" ref="C178">
      <text>
        <t xml:space="preserve">GiveWell is the only major funder of SMC in this state.</t>
      </text>
    </comment>
    <comment authorId="0" ref="D178">
      <text>
        <t xml:space="preserve">GiveWell is the only major funder of SMC in this state.</t>
      </text>
    </comment>
    <comment authorId="0" ref="E178">
      <text>
        <t xml:space="preserve">GiveWell is the only major funder of SMC in this state.</t>
      </text>
    </comment>
    <comment authorId="0" ref="F178">
      <text>
        <t xml:space="preserve">GiveWell is the only major funder of SMC in this state.</t>
      </text>
    </comment>
    <comment authorId="0" ref="G178">
      <text>
        <t xml:space="preserve">GiveWell is the only major funder of SMC in this state.</t>
      </text>
    </comment>
    <comment authorId="0" ref="H178">
      <text>
        <t xml:space="preserve">GiveWell is the only major funder of SMC in this state.</t>
      </text>
    </comment>
    <comment authorId="0" ref="I178">
      <text>
        <t xml:space="preserve">GiveWell is the only major funder of SMC in this state.</t>
      </text>
    </comment>
    <comment authorId="0" ref="J178">
      <text>
        <t xml:space="preserve">While SMC in Togo was fully funded in 2020 and 2021, the national malaria program in Togo has a history of choosing to implement fewer SMC cycles across all eligible areas rather than prioritizing higher-risk areas when faced with underfunding. See https://files.givewell.org/files/DWDA%202009/Malaria%20Consortium/Malaria_Consortium_seasonal_malaria_chemoprevention_program_Philanthropy_report_2021.pdf, page 36. This leads us to believe that the national malaria program in Togo would likely do something similar if SMC were underfunded again in the future. In addition, there appears to be relatively little variation in malaria rates across the regions in Togo where SMC is delivered: https://malariaatlas.org/explorer/#/</t>
      </text>
    </comment>
    <comment authorId="0" ref="K178">
      <text>
        <t xml:space="preserve">GiveWell-funded work by Malaria Consortium made up roughly 50% of total SMC funding in Chad, targeting 1.1 million children out of a total target population of 2.2 million in 2021. See https://files.givewell.org/files/DWDA%202009/Malaria%20Consortium/Malaria_Consortium_seasonal_malaria_chemoprevention_program_Philanthropy_report_2021.pdf, page 21. 
This implies that there would be significant scope to prioritize some areas over others in the absence of GiveWell-directed funding. There appears to be fairly low variation in malaria rates in the populated areas of Chad: https://malariaatlas.org/explorer/#/</t>
      </text>
    </comment>
    <comment authorId="0" ref="L178">
      <text>
        <t xml:space="preserve">This column estimates cost-effectiveness in a specific state, so an additional adjustment for marginal funding going to lower-priority areas within a country is not necessary.</t>
      </text>
    </comment>
    <comment authorId="0" ref="M178">
      <text>
        <t xml:space="preserve">This column estimates cost-effectiveness in a specific state, so an additional adjustment for marginal funding going to lower-priority areas within a country is not necessary.</t>
      </text>
    </comment>
    <comment authorId="0" ref="N178">
      <text>
        <t xml:space="preserve">This column estimates cost-effectiveness in a specific state, so an additional adjustment for marginal funding going to lower-priority areas within a country is not necessary.</t>
      </text>
    </comment>
    <comment authorId="0" ref="C182">
      <text>
        <t xml:space="preserve">We use data from the Institute of Health Metrics and Evaluation (IHME)'s Global Burden of Disease (GBD) project to inform our estimates of malaria mortality and prevalence rates in Nigeria. Our understanding is that IHME's malaria modeling factors the expected impact of past LLIN distributions into its malaria mortality and prevalence estimates. The most recent GBD data available is for the year 2019. 
Our understanding is that LLIN coverage in Nigeria has been increasing relatively rapidly year-to-year, as a result of increased funding for LLINs compared to other countries in the region. As a result, we think it's likely that the LLIN coverage estimates informing GBD's malaria modeling for Nigeria have become somewhat outdated since 2019, such that true malaria mortality and prevalence rates in Nigeria may be lower than GBD estimates would suggest.
We therefore apply a rough downward adjustment of 5% to our cost-effectiveness estimate of SMC in Nigeria.</t>
      </text>
    </comment>
    <comment authorId="0" ref="D182">
      <text>
        <t xml:space="preserve">We use data from the Institute of Health Metrics and Evaluation (IHME)'s Global Burden of Disease (GBD) project to inform our estimates of malaria mortality and prevalence rates in Nigeria. Our understanding is that IHME's malaria modeling factors the expected impact of past LLIN distributions into its malaria mortality and prevalence estimates. The most recent GBD data available is for the year 2019. 
Our understanding is that LLIN coverage in Nigeria has been increasing relatively rapidly year-to-year, as a result of increased funding for LLINs compared to other countries in the region. As a result, we think it's likely that the LLIN coverage estimates informing GBD's malaria modeling for Nigeria have become somewhat outdated since 2019, such that true malaria mortality and prevalence rates in Nigeria may be lower than GBD estimates would suggest.
We therefore apply a rough downward adjustment of 5% to our cost-effectiveness estimate of SMC in Nigeria.</t>
      </text>
    </comment>
    <comment authorId="0" ref="E182">
      <text>
        <t xml:space="preserve">We use data from the Institute of Health Metrics and Evaluation (IHME)'s Global Burden of Disease (GBD) project to inform our estimates of malaria mortality and prevalence rates in Nigeria. Our understanding is that IHME's malaria modeling factors the expected impact of past LLIN distributions into its malaria mortality and prevalence estimates. The most recent GBD data available is for the year 2019. 
Our understanding is that LLIN coverage in Nigeria has been increasing relatively rapidly year-to-year, as a result of increased funding for LLINs compared to other countries in the region. As a result, we think it's likely that the LLIN coverage estimates informing GBD's malaria modeling for Nigeria have become somewhat outdated since 2019, such that true malaria mortality and prevalence rates in Nigeria may be lower than GBD estimates would suggest.
We therefore apply a rough downward adjustment of 5% to our cost-effectiveness estimate of SMC in Nigeria.</t>
      </text>
    </comment>
    <comment authorId="0" ref="F182">
      <text>
        <t xml:space="preserve">We use data from the Institute of Health Metrics and Evaluation (IHME)'s Global Burden of Disease (GBD) project to inform our estimates of malaria mortality and prevalence rates in Nigeria. Our understanding is that IHME's malaria modeling factors the expected impact of past LLIN distributions into its malaria mortality and prevalence estimates. The most recent GBD data available is for the year 2019. 
Our understanding is that LLIN coverage in Nigeria has been increasing relatively rapidly year-to-year, as a result of increased funding for LLINs compared to other countries in the region. As a result, we think it's likely that the LLIN coverage estimates informing GBD's malaria modeling for Nigeria have become somewhat outdated since 2019, such that true malaria mortality and prevalence rates in Nigeria may be lower than GBD estimates would suggest.
We therefore apply a rough downward adjustment of 5% to our cost-effectiveness estimate of SMC in Nigeria.</t>
      </text>
    </comment>
    <comment authorId="0" ref="G182">
      <text>
        <t xml:space="preserve">We use data from the Institute of Health Metrics and Evaluation (IHME)'s Global Burden of Disease (GBD) project to inform our estimates of malaria mortality and prevalence rates in Nigeria. Our understanding is that IHME's malaria modeling factors the expected impact of past LLIN distributions into its malaria mortality and prevalence estimates. The most recent GBD data available is for the year 2019. 
Our understanding is that LLIN coverage in Nigeria has been increasing relatively rapidly year-to-year, as a result of increased funding for LLINs compared to other countries in the region. As a result, we think it's likely that the LLIN coverage estimates informing GBD's malaria modeling for Nigeria have become somewhat outdated since 2019, such that true malaria mortality and prevalence rates in Nigeria may be lower than GBD estimates would suggest.
We therefore apply a rough downward adjustment of 5% to our cost-effectiveness estimate of SMC in Nigeria.</t>
      </text>
    </comment>
    <comment authorId="0" ref="H182">
      <text>
        <t xml:space="preserve">We use data from the Institute of Health Metrics and Evaluation (IHME)'s Global Burden of Disease (GBD) project to inform our estimates of malaria mortality and prevalence rates in Nigeria. Our understanding is that IHME's malaria modeling factors the expected impact of past LLIN distributions into its malaria mortality and prevalence estimates. The most recent GBD data available is for the year 2019. 
Our understanding is that LLIN coverage in Nigeria has been increasing relatively rapidly year-to-year, as a result of increased funding for LLINs compared to other countries in the region. As a result, we think it's likely that the LLIN coverage estimates informing GBD's malaria modeling for Nigeria have become somewhat outdated since 2019, such that true malaria mortality and prevalence rates in Nigeria may be lower than GBD estimates would suggest.
We therefore apply a rough downward adjustment of 5% to our cost-effectiveness estimate of SMC in Nigeria.</t>
      </text>
    </comment>
    <comment authorId="0" ref="I182">
      <text>
        <t xml:space="preserve">We use data from the Institute of Health Metrics and Evaluation (IHME)'s Global Burden of Disease (GBD) project to inform our estimates of malaria mortality and prevalence rates in Nigeria. Our understanding is that IHME's malaria modeling factors the expected impact of past LLIN distributions into its malaria mortality and prevalence estimates. The most recent GBD data available is for the year 2019. 
Our understanding is that LLIN coverage in Nigeria has been increasing relatively rapidly year-to-year, as a result of increased funding for LLINs compared to other countries in the region. As a result, we think it's likely that the LLIN coverage estimates informing GBD's malaria modeling for Nigeria have become somewhat outdated since 2019, such that true malaria mortality and prevalence rates in Nigeria may be lower than GBD estimates would suggest.
We therefore apply a rough downward adjustment of 5% to our cost-effectiveness estimate of SMC in Nigeria.</t>
      </text>
    </comment>
    <comment authorId="0" ref="A188">
      <text>
        <t xml:space="preserve">This is expressed in units of "an outcome as good as doubling consumption for one person for one year." 
For more detail on how our moral weights are calculated, see this entry in our changelog: 
https://www.givewell.org/how-we-work/our-criteria/cost-effectiveness/cost-effectiveness-models/changelog-2019#Version_2_Published_January_25_2019</t>
      </text>
    </comment>
    <comment authorId="0" ref="A193">
      <text>
        <t xml:space="preserve">"Leverage" refers to our charities causing other entities to spend more on the program than they otherwise would have; "Funging" refers to our charities causing other entities to spend less on the program than they otherwise would have. 
We calculate leverage/funging for three other types of entities: (i) national governments (ii) The Global Fund (iii) pharmaceutical companies donating drugs.
All costs which are incurred by philanthropic entities (e.g. other charities, non-government donors, but not the global fund) are counted the same way as costs to our charities (i.e. we include them in our costs and assume they are not leveraged or funged).</t>
      </text>
    </comment>
    <comment authorId="0" ref="A196">
      <text>
        <t xml:space="preserve">GiveWell's 2022 estimate of MC's cost per treatment, "Summary" sheet. https://docs.google.com/spreadsheets/d/111o2a9qvi-VOzWuxujCodWEqSbpiRnKKVZ1LFNlAZcw/edit?usp=sharing</t>
      </text>
    </comment>
    <comment authorId="0" ref="A197">
      <text>
        <t xml:space="preserve">GiveWell's 2022 estimate of MC's cost per treatment, "Summary" sheet. https://docs.google.com/spreadsheets/d/111o2a9qvi-VOzWuxujCodWEqSbpiRnKKVZ1LFNlAZcw/edit?usp=sharing</t>
      </text>
    </comment>
    <comment authorId="0" ref="A198">
      <text>
        <t xml:space="preserve">GiveWell's 2022 estimate of MC's cost per treatment, "Summary" sheet. https://docs.google.com/spreadsheets/d/111o2a9qvi-VOzWuxujCodWEqSbpiRnKKVZ1LFNlAZcw/edit?usp=sharing</t>
      </text>
    </comment>
    <comment authorId="0" ref="A213">
      <text>
        <t xml:space="preserve">The government would provide additional funding to fully cover the intervention. The philanthropic donation therefore funges with the government and value of donating is equivalent to the marginal value of government funds.
See this document for more details: https://docs.google.com/document/d/1uiT6New2aXRB9qyrcQODhflnRR8QOZk-g1_9qaRRqjo/edit?usp=sharing
See this spreadsheet for more details on these probability estimates: https://docs.google.com/spreadsheets/d/1yWneQFeOr6uFPa5242u1MrJOUURNpX1WslQcWr-bjXM/edit?usp=sharing</t>
      </text>
    </comment>
    <comment authorId="0" ref="A214">
      <text>
        <t xml:space="preserve">The Global Fund and/or PMI would provide additional funding to fully cover the intervention. The philanthropic donation therefore funges with the Global Fund and/or PMI and value of donating is equivalent to the marginal value of Global Fund and/or PMI money.
See this document for more details: https://docs.google.com/document/d/1uiT6New2aXRB9qyrcQODhflnRR8QOZk-g1_9qaRRqjo/edit?usp=sharing
See this spreadsheet for more details on these probability estimates: https://docs.google.com/spreadsheets/d/15o_-wl_wkqioHpWufcnfBFAZaKswrHOSAt5YB6ec4DM/edit?usp=sharing</t>
      </text>
    </comment>
    <comment authorId="0" ref="N214">
      <text>
        <t xml:space="preserve">We think it is unlikely that these funders would support the work this grant will support. SMC is a new program in Mozambique, and its effectiveness has not yet been demonstrated in an RCT. The PNCM told us that it does not expect other funders to contribute to SMC at this time, though it expects that they will do so in the future.</t>
      </text>
    </comment>
    <comment authorId="0" ref="A215">
      <text>
        <t xml:space="preserve">The government would continue funding the program at the same level as it currently does. Government financial costs are neither leveraged nor funged.
See this document for more details: https://docs.google.com/document/d/1uiT6New2aXRB9qyrcQODhflnRR8QOZk-g1_9qaRRqjo/edit?usp=sharing
See this spreadsheet for more details on these probability estimates: https://docs.google.com/spreadsheets/d/1yWneQFeOr6uFPa5242u1MrJOUURNpX1WslQcWr-bjXM/edit?usp=sharing</t>
      </text>
    </comment>
    <comment authorId="0" ref="A216">
      <text>
        <t xml:space="preserve">The program would not happen without the donation. So the philanthropic funding leverages government costs.
See this document for more details: https://docs.google.com/document/d/1uiT6New2aXRB9qyrcQODhflnRR8QOZk-g1_9qaRRqjo/edit?usp=sharing
See this spreadsheet for more details on these probability estimates: https://docs.google.com/spreadsheets/d/1yWneQFeOr6uFPa5242u1MrJOUURNpX1WslQcWr-bjXM/edit?usp=sharing</t>
      </text>
    </comment>
    <comment authorId="0" ref="A256">
      <text>
        <t xml:space="preserve">How much more cost-effective do we estimate this funding gap to be relative to GiveDirectly cash transfers?</t>
      </text>
    </comment>
    <comment authorId="0" ref="A263">
      <text>
        <t xml:space="preserve">This includes the costs to all actors, not just Malaria Consortium.</t>
      </text>
    </comment>
  </commentList>
</comments>
</file>

<file path=xl/comments8.xml><?xml version="1.0" encoding="utf-8"?>
<comments xmlns:r="http://schemas.openxmlformats.org/officeDocument/2006/relationships" xmlns="http://schemas.openxmlformats.org/spreadsheetml/2006/main" xmlns:xr="http://schemas.microsoft.com/office/spreadsheetml/2014/revision">
  <authors>
    <author/>
  </authors>
  <commentList>
    <comment authorId="0" ref="K1">
      <text>
        <t xml:space="preserve">Nigeria</t>
      </text>
    </comment>
    <comment authorId="0" ref="L1">
      <text>
        <t xml:space="preserve">Nigeria</t>
      </text>
    </comment>
    <comment authorId="0" ref="M1">
      <text>
        <t xml:space="preserve">Nigeria</t>
      </text>
    </comment>
    <comment authorId="0" ref="N1">
      <text>
        <t xml:space="preserve">Nigeria</t>
      </text>
    </comment>
    <comment authorId="0" ref="O1">
      <text>
        <t xml:space="preserve">Nigeria</t>
      </text>
    </comment>
    <comment authorId="0" ref="P1">
      <text>
        <t xml:space="preserve">Nigeria</t>
      </text>
    </comment>
    <comment authorId="0" ref="Q1">
      <text>
        <t xml:space="preserve">Nigeria</t>
      </text>
    </comment>
    <comment authorId="0" ref="R1">
      <text>
        <t xml:space="preserve">Nigeria</t>
      </text>
    </comment>
    <comment authorId="0" ref="S1">
      <text>
        <t xml:space="preserve">Nigeria</t>
      </text>
    </comment>
    <comment authorId="0" ref="T1">
      <text>
        <t xml:space="preserve">Nigeria</t>
      </text>
    </comment>
    <comment authorId="0" ref="U1">
      <text>
        <t xml:space="preserve">Nigeria</t>
      </text>
    </comment>
    <comment authorId="0" ref="V1">
      <text>
        <t xml:space="preserve">Nigeria</t>
      </text>
    </comment>
    <comment authorId="0" ref="W1">
      <text>
        <t xml:space="preserve">Nigeria</t>
      </text>
    </comment>
    <comment authorId="0" ref="X1">
      <text>
        <t xml:space="preserve">Nigeria</t>
      </text>
    </comment>
    <comment authorId="0" ref="Y1">
      <text>
        <t xml:space="preserve">Nigeria</t>
      </text>
    </comment>
    <comment authorId="0" ref="A7">
      <text>
        <t xml:space="preserve">From GiveWell's 2022 cost per supplement analysis: https://docs.google.com/spreadsheets/d/1niDtlwcTi2YAxzoyOIXwPCT1N26Zo0hTmR1jUXqqbDc/edit?usp=sharing</t>
      </text>
    </comment>
    <comment authorId="0" ref="H7">
      <text>
        <t xml:space="preserve">We use the "overall" cost estimates from our cost per supplement analysis here because we do not have direct cost information for Madagascar. Because our "overall" cost estimates are averages across countries, they assume that about 13% of program costs, on average, will be covered by philanthropic actors other than Helen Keller. However, in reality, we think it's unlikely that other philanthropic actors will contribute to VAS in Madagascar, so we have instead added this 13% to the proportion of costs covered by Helen Keller and assumed that costs covered by other philanthropic actors will be 0%.</t>
      </text>
    </comment>
    <comment authorId="0" ref="A8">
      <text>
        <t xml:space="preserve">From GiveWell's 2022 cost per supplement analysis: https://docs.google.com/spreadsheets/d/1niDtlwcTi2YAxzoyOIXwPCT1N26Zo0hTmR1jUXqqbDc/edit?usp=sharing</t>
      </text>
    </comment>
    <comment authorId="0" ref="H8">
      <text>
        <t xml:space="preserve">We use the "overall" estimate from our cost per supplement analysis here because we do not have direct cost information for Madagascar.</t>
      </text>
    </comment>
    <comment authorId="0" ref="A9">
      <text>
        <t xml:space="preserve">From GiveWell's 2022 cost per supplement analysis: https://docs.google.com/spreadsheets/d/1niDtlwcTi2YAxzoyOIXwPCT1N26Zo0hTmR1jUXqqbDc/edit?usp=sharing</t>
      </text>
    </comment>
    <comment authorId="0" ref="H9">
      <text>
        <t xml:space="preserve">We use the "overall" cost estimates from our cost per supplement analysis here because we do not have direct cost information for Madagascar. Because our "overall" cost estimates are averages across countries, they assume that about 13% of program costs, on average, will be covered by philanthropic actors other than Helen Keller. However, in reality, we think it's unlikely that other philanthropic actors will contribute to VAS in Madagascar, so we have instead added this 13% to the proportion of costs covered by Helen Keller and assumed that costs covered by other philanthropic actors will be 0%.</t>
      </text>
    </comment>
    <comment authorId="0" ref="A10">
      <text>
        <t xml:space="preserve">From GiveWell's 2022 cost per supplement analysis: https://docs.google.com/spreadsheets/d/1niDtlwcTi2YAxzoyOIXwPCT1N26Zo0hTmR1jUXqqbDc/edit?usp=sharing</t>
      </text>
    </comment>
    <comment authorId="0" ref="H10">
      <text>
        <t xml:space="preserve">We use the "overall" estimate from our cost per supplement analysis here because we do not have direct cost information for Madagascar.</t>
      </text>
    </comment>
    <comment authorId="0" ref="A11">
      <text>
        <t xml:space="preserve">From GiveWell's 2022 cost per supplement analysis: https://docs.google.com/spreadsheets/d/1niDtlwcTi2YAxzoyOIXwPCT1N26Zo0hTmR1jUXqqbDc/edit?usp=sharing</t>
      </text>
    </comment>
    <comment authorId="0" ref="H11">
      <text>
        <t xml:space="preserve">We use the "overall" estimate from our cost per supplement analysis here because we do not have direct cost information for Madagascar.</t>
      </text>
    </comment>
    <comment authorId="0" ref="A15">
      <text>
        <t xml:space="preserve">This row assumes a donation of arbitrary size ($100,000) across countries.</t>
      </text>
    </comment>
    <comment authorId="0" ref="A16">
      <text>
        <t xml:space="preserve">Spending by other contributors is proportional to HKI's spending of a donation of an arbitrary size (see row above).</t>
      </text>
    </comment>
    <comment authorId="0" ref="A17">
      <text>
        <t xml:space="preserve">From GiveWell's 2022 cost per supplement analysis: https://docs.google.com/spreadsheets/d/1niDtlwcTi2YAxzoyOIXwPCT1N26Zo0hTmR1jUXqqbDc/edit?usp=sharing</t>
      </text>
    </comment>
    <comment authorId="0" ref="H17">
      <text>
        <t xml:space="preserve">We use the "overall" estimate from our cost per supplement analysis here because we do not have direct cost information for Madagascar.</t>
      </text>
    </comment>
    <comment authorId="0" ref="A18">
      <text>
        <t xml:space="preserve">HKI plans to support two rounds of VAS distribution per year.</t>
      </text>
    </comment>
    <comment authorId="0" ref="A24">
      <text>
        <t xml:space="preserve">Imdad et al. 2017 is a meta-analysis of vitamin A supplementation trials in young children. A fixed-effect model suggests a relative risk (RR) of all-cause mortality of 0.88 with vitamin A supplementation. A random-effects model suggests a RR of 0.76. 
The studies in Imdad et al. 2017 involve different locations, populations, doses, time periods, etc. GiveWell finds it plausible that variations in these factors may lead to meaningful differences in vitamin A efficacy in different studies. As a result, vitamin A trials may be better suited for analysis with a random-effects model than a fixed-effect model.  
The large difference between the random-effects and fixed-effect results is primarily driven by how the two models handle the results of the DEVTA trial. DEVTA was a very large trial, and it receives the majority of the weight in the fixed-effect meta-analysis. 
Our decision to rely on the random-effects model is strongly supported by an unpublished work that we have not discussed publicly.
Additional discussion about the research on the efficacy of Vitamin A supplementation programs is available at https://www.givewell.org/international/technical/programs/vitamin-A
Link to Imdad et al. 2017: http://onlinelibrary.wiley.com/doi/10.1002/14651858.CD008524.pub3/full</t>
      </text>
    </comment>
    <comment authorId="0" ref="A26">
      <text>
        <t xml:space="preserve">Coverage estimates from RCTs of vitamin A supplementation included in Imdad et al 2017 meta-analysis https://docs.google.com/spreadsheets/d/1J997Om048dWrI-H9QskHeCkcgq8FA6xff6MNlhYS6TA/edit?usp=sharing</t>
      </text>
    </comment>
    <comment authorId="0" ref="A31">
      <text>
        <t xml:space="preserve">Global Burden of Disease study 2019.
The calculations behind this figure can be found in a workbook at https://docs.google.com/spreadsheets/d/1k2OwWwa9F4RtY_7mEwjoDtq2TeZvR_SHDW216T9TVis/edit?usp=sharing</t>
      </text>
    </comment>
    <comment authorId="0" ref="C31">
      <text>
        <t xml:space="preserve">Weighted average of regions in Cameroon where HKI plans to work. See calculations here: https://docs.google.com/spreadsheets/d/1q_MGExF4eUI5DdgOSb1Yvul2NeTyt341YE6E7r8N1C8/edit?usp=sharing</t>
      </text>
    </comment>
    <comment authorId="0" ref="A34">
      <text>
        <t xml:space="preserve">The calculations behind this figure can be found in a workbook at: https://docs.google.com/spreadsheets/d/1nteTTCE5SSB_SkdBzOjcad2xeepIEasENqGhVHP9cVw/edit?usp=sharing
We think the confidence we have in the point estimate for VAS from the meta-analysis is meaningfully but not hugely lower than for nets or SMC. This is in part because we are more unsure about what causes of death VAS averts, in comparison to bed net and SMC programs focused on malaria. See the final bullet point in this section of our review of Helen Keller International for more details: https://www.givewell.org/charities/helen-keller-international#How_high_are_child_mortality_rates_in_areas_where_Helen_Keller_works 
We also note that the majority of the randomized controlled trials included in the meta-analysis we rely on for our estimate of the relative risk of all cause mortality for children aged 6- to 59-months participating in VAS programs took place in the 1980s and 1990s. Our rough guess is that RCTs that took place several decades ago generally have more methodological limitations than more recent trials. 
See publication dates of trials included in "Analysis 1.1. Comparison 1 Vitamin A versus Control, Outcome 1 All-cause mortality at longest follow-up" in Imdad et al. 2017, Pg 90.
https://www.cochranelibrary.com/cdsr/doi/10.1002/14651858.CD008524.pub3/full
</t>
      </text>
    </comment>
    <comment authorId="0" ref="A35">
      <text>
        <t xml:space="preserve">The calculations behind this figure can be found in a workbook at https://docs.google.com/spreadsheets/d/1k2OwWwa9F4RtY_7mEwjoDtq2TeZvR_SHDW216T9TVis/edit#gid=58273032
Our external validity adjustment for HKI takes changes in the prevalence of VAD between the VAS trials and areas where HKI works today and changes in the composition of causes of child mortality into account.
For more discussion, see the following two sections of our review of HKI:
https://www.givewell.org/charities/helen-keller-international#How_prevalent_is_vitamin_A_deficiency_in_areas_where_HKI_works
https://www.givewell.org/charities/helen-keller-international#How_prevalent_is_vitamin_A_deficiency_in_areas_where_HKI_works</t>
      </text>
    </comment>
    <comment authorId="0" ref="A36">
      <text>
        <t xml:space="preserve">See this document for an explanation for this adjustment: https://docs.google.com/document/d/1ipob4tRFLBpGFSnGWChDO8tSZrOcfwMYxaAaYfZU6t0/edit?usp=sharing</t>
      </text>
    </comment>
    <comment authorId="0" ref="A39">
      <text>
        <t xml:space="preserve">This is expressed in units of "an outcome as good as doubling consumption for one person for one year." For example, a value of 50 for this parameter would mean we think that averting the death of a child under 5 years old is 50 times as valuable as doubling consumption for one person for one year. 
For more detail on how our moral weights are calculated, see this entry in our changelog: 
https://www.givewell.org/how-we-work/our-criteria/cost-effectiveness/cost-effectiveness-models/changelog-2019#Version_2_Published_January_25_2019</t>
      </text>
    </comment>
    <comment authorId="0" ref="A40">
      <text>
        <t xml:space="preserve">This is expressed in units of "an outcome as good as doubling consumption for one person for one year." 
For more detail on how our moral weights are calculated, see this entry in our changelog: 
https://www.givewell.org/how-we-work/our-criteria/cost-effectiveness/cost-effectiveness-models/changelog-2019#Version_2_Published_January_25_2019</t>
      </text>
    </comment>
    <comment authorId="0" ref="A43">
      <text>
        <t xml:space="preserve">In order to consistently compare the cost-effectiveness of vitamin A supplementation (VAS) with deworming and malaria interventions, we need to estimate the effect of vitamin A supplementation on long run income / consumption ("development effects"). However, we have not found any studies directly estimating the effect of vitamin A supplementation, or vitamin A deficiency on long-run income / consumption. 
Calculations for this input are in this spreadsheet: https://docs.google.com/spreadsheets/d/1hReua9ndl-39rRIj3wVpCZXTq4lhFsghFurYoqlv_t0/edit?usp=sharing 
A description of our methodology is in this write-up: 
https://docs.google.com/document/d/1tvmbf36_RUSx_FmWoAO8mWnwgGMv-S4bQWBf8P2TCpU/edit?usp=sharing</t>
      </text>
    </comment>
    <comment authorId="0" ref="A44">
      <text>
        <t xml:space="preserve">We previously used our SMC CEA for Nigeria as a proxy for SMC overall because it had roughly average cost-effectiveness compared to other countries in our CEA. However, we have since updated our SMC CEA to break out Nigeria into separate states, which makes it less practical to use Nigeria as a proxy. To solve this issue, we have decided to use the average across all locations in our SMC CEA as a proxy instead.</t>
      </text>
    </comment>
    <comment authorId="0" ref="A45">
      <text>
        <t xml:space="preserve">In order to consistently compare the cost-effectiveness of vitamin A supplementation (VAS) with deworming and malaria interventions, we need to estimate the effect of vitamin A supplementation on long run income / consumption ("development effects"). However, we have not found any studies directly estimating the effect of vitamin A supplementation, or vitamin A deficiency on long-run income / consumption. 
Calculations for this input are in this spreadsheet: https://docs.google.com/spreadsheets/d/1hReua9ndl-39rRIj3wVpCZXTq4lhFsghFurYoqlv_t0/edit?usp=sharing 
A description of our methodology is in this write-up: 
https://docs.google.com/document/d/1tvmbf36_RUSx_FmWoAO8mWnwgGMv-S4bQWBf8P2TCpU/edit?usp=sharing</t>
      </text>
    </comment>
    <comment authorId="0" ref="A59">
      <text>
        <t xml:space="preserve">It's often difficult to explicitly model different kinds of wastage or other charity-level issues directly in our cost-effectiveness analysis. This section summarizes rough adjustments to our cost-effectiveness analysis to take into account our best guess of how different charity-level factors affect our best guess of true cost-effectiveness. </t>
      </text>
    </comment>
    <comment authorId="0" ref="A62">
      <text>
        <t xml:space="preserve">Scenario: The program is delivered to people who don't benefit or minimally benefit because they have received the program from another source.
Vitamin A supplementation may be delivered through both routine (facility-based) systems and mass campaigns. We have heard of cases where coverage may be relatively high for 6-12 month-olds who may receive vitamin A supplementation when they visit clinics for routine vaccinations. This rough value is attempting to account for the possibilities that (a) some children receive vitamin A through campaigns supported by Helen Keller International despite having recently received it through visits to clinics; and (b) that the children most likely to receive double treatment are the youngest in the age range (because 6-12 month-olds are more likely to visit clinics as part of receiving routine vaccinations) and this may be a group where vitamin A supplementation has a higher than average impact on mortality (since mortality tends to be highest in the youngest children). Examples:
- Helen Keller International notes, 'Vitamin A supplements in Kenya are administered to children aged 6-59 months through various delivery approaches. Throughout the year, children can access VAS in primary health care facilities, but this routine coverage only accounts for around 20 percent of children, essentially children below 12 months, as many caregivers do not bring their children to the health facilities after the end of the immunization contact points at one year of age.' (Helen Keller International, Room for More Funding Report, 2021: https://files.givewell.org/files/DWDA%202009/Helen_Keller_International/Helen_Keller_Room_for_More_Funding_Report_July_2021.pdf)
- The 2021 Demographic and Health Survey in Madagascar reports (translated by Google), "Among last-born children aged 6–23 months living with their mother, 40% have received vitamin A supplements in the last 6 months [...] Between 2008–09 and 2021, the percentage of children aged 6–59 months who received vitamin A supplements decreased significantly, from 72% to 40%. This is mainly due to the change in mode of distribution of vitamin A, which went from 'campaign' mode to routine mode since 2021." https://dhsprogram.com/pubs/pdf/FR376/FR376.pdf, page 224.
- In 2022, Helen Keller conducted coverage surveys in parts of three countries where there was no external support for VAS campaigns and where Helen Keller may support in the future. These were locations that GiveWell had not yet funded because they were thought to have stronger routine delivery of VAS—they are therefore not representative of all countries supported by Helen Keller. Coverage found in these surveys was 42%, 46%, and 52%. We have not yet asked Helen Keller for permission to publish the names of these countries.
Our understanding from Helen Keller is that most of the countries it works in to deliver VAS through campaigns have particularly weak health systems, so may have lower rates of health facility-delivered VAS than the examples above.</t>
      </text>
    </comment>
    <comment authorId="0" ref="H62">
      <text>
        <t xml:space="preserve">https://docs.google.com/spreadsheets/d/1ORZc3mD_2o9HpIquGqDQTqJq83_yzAtgnhiGYSfp9dM/edit#gid=0</t>
      </text>
    </comment>
    <comment authorId="0" ref="A63">
      <text>
        <t xml:space="preserve">Scenario: Pills, LLINs, etc. are poorly made, counterfeit, or otherwise largely or fully ineffective at achieving the expected outcome. 
Our understanding is that drugs are donated by manufacturers in developed countries. Seems very unlikely that drugs are lower quality than in the research studies we have relied on in our cost-effectiveness analysis.</t>
      </text>
    </comment>
    <comment authorId="0" ref="A64">
      <text>
        <t xml:space="preserve">Not applicable. Our cost/child-treated estimate uses total costs and estimates of children reached.</t>
      </text>
    </comment>
    <comment authorId="0" ref="A68">
      <text>
        <t xml:space="preserve">Scenario: Charity sends money/goods to a country/partner and the country/partner reports back that they carried out the program and reached a certain number of people, but these results are partially or fully fabricated and we do not have monitoring results from those locations.
The monitoring results we have seen from Helen Keller are less comprehensive than those from GiveWell’s other top charities. We have seen monitoring results for campaigns representing 64% of Helen Keller’s VAS spending in 2019, 52% in 2020 and 29% in 2021. In part, our understanding is that this fall has been because of temporary disruption resulting from the coronavirus pandemic. For more information, see our monitoring analysis here: https://docs.google.com/spreadsheets/d/1Jo0ZnCNLljWVnmwngaCnXex3aZNyYqWli1P29PTfJ58/edit#gid=389966275
We also have a concern that the monitoring results we see may not be fully reflective of the results achieved across Helen Keller’s VAS campaigns. That is because Helen Keller usually conducts monitoring for only one of the two campaign rounds it delivers per country per year, and in some cases only some regions or districts are surveyed. If VAS implementers know in advance which rounds and locations will be surveyed, they may have less incentive to ensure high coverage in other rounds and locations, as these have less oversight. 
Finally, we have heard feedback from Helen Keller that its monitoring surveys tend to take place in the non-rainy season. This raises a concern that, if coverage is lower during campaigns conducted in the rainy season, the results we see may be systematically overestimating coverage. 
These concerns mean that we use a relatively high value for this parameter compared to GiveWell’s other top charities. A detailed write up of our reasoning, accessible to GiveWell staff only, is available here: https://docs.google.com/document/d/1QNrFUhL9rFoOelHo0muvK-jBh8o-M2fFaP5hzyizU54/edit#</t>
      </text>
    </comment>
    <comment authorId="0" ref="A69">
      <text>
        <t xml:space="preserve">Scenario: The monitoring results that we've received are partially or fully fabricated or significantly biased in some way we are unaware of, leading us to believe that results are better than they actually were.
Overall, we believe that Helen Keller's coverage surveys are designed to measure key indicators of the success of VAS campaigns and to achieve samples that are generally representative of target populations. Helen Keller’s surveys use an audit procedure whereby supervisors re-survey a random sample of participants, and Helen Keller has increasingly begun to report the results from this procedure. This alleviates some of our initial concerns about the quality of Helen Keller's auditing procedure and gives us more confidence in the accuracy of the monitoring data. However, we note that the caregiver-reported nature of responses may produce bias in results. 
For more information on our analysis of Helen Keller’s monitoring, see our grantee review here: https://www.givewell.org/charities/helen-keller-international#Methodology/ 
A detailed write up of our reasoning, accessible to GiveWell staff only, is available here: https://docs.google.com/document/d/1QNrFUhL9rFoOelHo0muvK-jBh8o-M2fFaP5hzyizU54/edit#</t>
      </text>
    </comment>
    <comment authorId="0" ref="A73">
      <text>
        <t xml:space="preserve">Scenario: Charity decides to use some of the funding we directed to them to fund some research or other work that they see as being related to the program, but we don't find valuable. This would affect our cost per output analyses once it happened, so in many cases, no additional adjustment is needed. We may use a higher adjustment value for charities we have less experience with.
As of February 2023: Over the last couple of years, Helen Keller has consistently used GiveWell grants to support VAS campaigns.</t>
      </text>
    </comment>
    <comment authorId="0" ref="A74">
      <text>
        <t xml:space="preserve">Scenario: Charity encounters non-funding bottlenecks to allocating funding and holds funding for a long time. At an extreme, charity is unable to spend money, draws down funding over time on work to identify opportunities to spend money for a time, and then shifts to another program.
Has been able to spend funding quickly.</t>
      </text>
    </comment>
    <comment authorId="0" ref="A75">
      <text>
        <t xml:space="preserve">Scenario: Charity runs multiple programs and shifts funds from non-GiveWell sources or fundraising effort out of the program that we want to fund as a result of receiving GiveWell-directed funding.
HKI has limited unrestricted funding relative to the size of this program. Fundraising efforts may be redirected to other programs as a result of more funding being available for this program.</t>
      </text>
    </comment>
    <comment authorId="0" ref="A88">
      <text>
        <t xml:space="preserve">We only directly model some of the possible effects of the intervention. Many effects are excluded to keep the model tractable.
This section shows the speculative guesses we use to estimate the impact of outcomes we haven't explicitly modeled on the cost-effectiveness of our charities. The "Supplemental intervention-level adjustments" tab of this spreadsheet includes more details on how these adjustments are calculated and some brief justifications.</t>
      </text>
    </comment>
    <comment authorId="0" ref="H102">
      <text>
        <t xml:space="preserve">We estimate that child mortality rates are 17% higher in the areas Helen Keller's program would support than in Madagascar as a whole. See our calculations here:
https://docs.google.com/spreadsheets/d/1WQNDtnAQDinXKPI9JGOdXVr8h1HBIcPEuUna5WO1aoA/edit#gid=0</t>
      </text>
    </comment>
    <comment authorId="0" ref="A113">
      <text>
        <t xml:space="preserve">"Leverage" refers to our charities causing other entities to spend more on the program than they otherwise would have; "Funging" refers to our charities causing other entities to spend less on the program than they otherwise would have. 
We calculate leverage/funging for three other types of entities: (i) national governments (ii) The Global Fund (iii) pharmaceutical companies donating drugs.
All costs which are incurred by philanthropic entities (e.g. other charities, non-government donors, but not the global fund) are counted the same way as costs to our charities (i.e. we include them in our costs and assume they are not leveraged or funged).</t>
      </text>
    </comment>
    <comment authorId="0" ref="A133">
      <text>
        <t xml:space="preserve">Upstream costs cause downstream costs. Assumes government financial costs and philanthropic actors are "upstream". The implication of government financial costs being "upstream" is they are not leveraged. We're uncertain whether this assumption is true for government financial costs, but because government financial costs are a small % of total costs it doesn't make much difference.</t>
      </text>
    </comment>
    <comment authorId="0" ref="A134">
      <text>
        <t xml:space="preserve">Upstream costs cause downstream costs. Assumes government staff costs and procured vitamin A capsules are "downstream". The implication of these costs being "downstream" is if the program shrinks (i.e. we make a smaller donation), less of these costs will go to the intervention. So they are leveraged</t>
      </text>
    </comment>
    <comment authorId="0" ref="A138">
      <text>
        <t xml:space="preserve">We use a nonstandard value for this parameter for VAS programs in Burkina Faso, Cameroon, Cote d'Ivoire, DRC, and Guinea. For our full reasoning, see here:
https://docs.google.com/spreadsheets/d/1bmmBhyVDeUJPKc6PRj1WztoCu_717yZYwbaB7RUo-2g/edit#gid=1158468609&amp;range=A45:D45</t>
      </text>
    </comment>
    <comment authorId="0" ref="A143">
      <text>
        <t xml:space="preserve">The government would provide additional funding to fully cover the intervention. The philanthropic donation therefore funges with the government and value of donating is equivalent to the marginal value of government funds.
On rough guess is is based on many conversations with Helen Keller International, ministries of health, UNICEF, and Nutrition International.</t>
      </text>
    </comment>
    <comment authorId="0" ref="C143">
      <text>
        <t xml:space="preserve">We estimate a modestly lower chance that the government would crowd out GiveWell funding in Cameroon compared to other countries where Helen Keller supports VAS. This is based on feedback we have previously received from Helen Keller, that “There is no funding available from the government to support VAS campaigns." Source: Helen Keller International Room for more funding report to GiveWell 2021, p. 15
https://files.givewell.org/files/DWDA%202009/Helen_Keller_International/Helen_Keller_Room_for_More_Funding_Report_July_2021.pdf</t>
      </text>
    </comment>
    <comment authorId="0" ref="H143">
      <text>
        <t xml:space="preserve">Our understanding is that VAS in the regions Helen Keller would support has not received external funding for several years. The government provides support for VAS in Madagascar through the health system (we account for the impact of government support on baseline coverage in our "double treatment" adjustment above), which may sometimes be delivered through community outreach programs. However, given the fairly longstanding status quo of lack of external funding, we think it's very unlikely that the government would increase its support for VAS in Helen Keller's absence to a level that is similar to what Helen Keller typically provides.</t>
      </text>
    </comment>
    <comment authorId="0" ref="A144">
      <text>
        <t xml:space="preserve">Other philanthropic actors would provide additional funding to fully cover the intervention. A donation to HKI therefore funges with other philanthropic actors and the value of donating is equivalent to the marginal value of funding contributed by other philanthropic actors.</t>
      </text>
    </comment>
    <comment authorId="0" ref="B144">
      <text>
        <t xml:space="preserve">UNICEF and Helen Keller have been the main philanthropic organizations supporting VAS in Burkina Faso in recent years. In 2018-2019, UNICEF supported VAS in 10 of 13 regions in Burkina Faso while Helen Keller supported 3 regions. Since then, Helen Keller has begun to support an increasing number of regions. It supported all 13 regions in 2021 due to a UNICEF funding shortage. Our understanding is that UNICEF has since secured more funding for Burkina Faso, and from 2022 onwards Helen Keller plans to support VAS in 5 regions with UNICEF supporting the other 8 (source: Helen Keller International Room for more funding report to GiveWell 2022, p. 8 https://files.givewell.org/files/DWDA%202009/Helen_Keller_International/Helen_Keller_Intl_Room_for_More_Funding_Report_to_GiveWell_2022_Narrative_Report.pdf). 
Our best guess is that in the absence of GiveWell funding, UNICEF could support 1 additional region from the 5 where Helen Keller is planning to support VAS, for 9 regions in total (but not the full 10 it used to support). This implies a risk of crowding out 20% of this grant (1 of 5 regions).</t>
      </text>
    </comment>
    <comment authorId="0" ref="C144">
      <text>
        <t xml:space="preserve">UNICEF, Nutrition International and Helen Keller have all contributed to supporting VAS in Cameroon in recent years. In the first round of 2022, VAS was delivered alongside a polio campaign. Helen Keller supported VAS in 6 regions, UNICEF in 4 regions, Nutrition International covered all costs related to central level supervision and the WHO covered all costs relating to Polio. Helen Keller expects that UNICEF and Nutrition International support from 2023 - 2025 will remain unchanged (source: Helen Keller International Room for more funding report to GiveWell 2022, p. 9 https://files.givewell.org/files/DWDA%202009/Helen_Keller_International/Helen_Keller_Intl_Room_for_More_Funding_Report_to_GiveWell_2022_Narrative_Report.pdf)).
We assume a modestly higher risk that GiveWell funding might crowd out other actors compared to most other countries where Helen Keller delivers VAS. This is because of the relatively crowded funding landscape and because all regions in Cameroon are covered for VAS.</t>
      </text>
    </comment>
    <comment authorId="0" ref="D144">
      <text>
        <t xml:space="preserve">In 2022, Helen Keller supported all operational costs for VAS in 63 districts, Nutrition International 9 districts and UNICEF 41 districts. According to Helen Keller, the funding capacity for other actors for the coming years is unclear (Helen Keller International Room for more funding report to GiveWell 2022, p. 11 https://files.givewell.org/files/DWDA%202009/Helen_Keller_International/Helen_Keller_Intl_Room_for_More_Funding_Report_to_GiveWell_2022_Narrative_Report.pdf)). 
We use a modestly higher crowding out value here to reflect that there have not been unsupported regions in Côte d’Ivoire recently and because of the relatively crowded funding landscape in recent years.</t>
      </text>
    </comment>
    <comment authorId="0" ref="E144">
      <text>
        <t xml:space="preserve">In 2023, Helen Keller is planning to expand from the 3 provinces where it supported VAS to 13 provinces, following a request from the National Program for Nutrition (PRONANUT). Our understanding is that support for VAS campaigns in DRC has been limited in recent years and that many provinces have been unsupported. We therefore assume a lower risk of crowding out in DRC. (Source: Helen Keller International Room for more funding report to GiveWell 2022, p. 12; Helen Keller International Room for more funding report to GiveWell 2021, p. 18: https://files.givewell.org/files/DWDA%202009/Helen_Keller_International/Helen_Keller_Room_for_More_Funding_Report_July_2021.pdf).</t>
      </text>
    </comment>
    <comment authorId="0" ref="F144">
      <text>
        <t xml:space="preserve">In 2022, Helen Keller supported VAS in 5 of Guinea’s 8 regions and UNICEF supported 3 regions. Helen Keller expects to continue supporting 5 regions from 2023 to 2025, although it notes that UNICEF “intends to continue to support at least 3 out of the 8 regions in the country.” (Source: Source: Helen Keller International Room for more funding report to GiveWell 2022, p. 13 https://files.givewell.org/files/DWDA%202009/Helen_Keller_International/Helen_Keller_Intl_Room_for_More_Funding_Report_to_GiveWell_2022_Narrative_Report.pdf)). 
We use a modestly higher value here compared to other countries to reflect that there have not been unsupported regions in Guinea recently and because UNICEF may be able to support “at least” 3 regions.</t>
      </text>
    </comment>
    <comment authorId="0" ref="G144">
      <text>
        <t xml:space="preserve">80% of children reached by the grant currently under consideration would be in counties that have been supported by Helen Keller International in the last few rounds. 20% would be in counties that, according to Helen Keller International, "have demonstrated low coverage over the years and are not supported consistently by UNICEF or [Nutrition International]." (Helen Keller International, Room for More Funding Report, 2021)
In one case in the past, we learned of a funding gap in Kenya that we believe was filled by another funder (see https://www.givewell.org/sources/blog-post/q1-q2-2020-discretionary-funding-allocation#11).
We'd roughly guess that 20% of Helen Keller's funding would be replaced in currently supported countries, while 50% would be replaced in the three additional counties. This yields an estimate of about 25% overall.</t>
      </text>
    </comment>
    <comment authorId="0" ref="H144">
      <text>
        <t xml:space="preserve">To start, Helen Keller is proposing to support only a portion of the regions that lack external support. Funding gaps will continue so it's relatively unlikely that Helen Keller is crowding out other funders.</t>
      </text>
    </comment>
    <comment authorId="0" ref="I144">
      <text>
        <t xml:space="preserve">In 2021, Helen Keller told us that UNICEF funding for VAS in Mali was uncertain and so Helen Keller proposed supporting VAS in more regions (5 of 11). By 2022, UNICEF had found more funding and was planning to support VAS in 8 of the 11 regions from 2023 - 2025 (with Helen Keller taking 3). 
We assume a 25% chance that GiveWell funding could crowd out other actors. That takes two considerations into account: (1) All regions in Mali are currently supported for VAS, implying higher risk of crowding out; (2) UNICEF recently increased the number of regions it is supporting, so may not be able to support any new additional regions. 
Sources: Helen Keller International Room for more funding report to GiveWell 2022, p. 15 https://files.givewell.org/files/DWDA%202009/Helen_Keller_International/Helen_Keller_Intl_Room_for_More_Funding_Report_to_GiveWell_2022_Narrative_Report.pdf); Helen Keller International Room for more funding report to GiveWell 2021, p. 23.</t>
      </text>
    </comment>
    <comment authorId="0" ref="J144">
      <text>
        <t xml:space="preserve">In 2022, Helen Keller was planning to support 6 of Niger’s 8 regions with UNICEF supporting 2 regions. From 2023 onwards, Helen Keller has told us that UNICEF has no more funding to support VAS in Niger. (Source: Helen Keller International Room for more funding report to GiveWell 2022, p. 16 https://files.givewell.org/files/DWDA%202009/Helen_Keller_International/Helen_Keller_Intl_Room_for_More_Funding_Report_to_GiveWell_2022_Narrative_Report.pdf)). 
Our understanding from previous discussions with Helen Keller is that Helen Keller does not receive funding from Global Affairs Canada for Niger. We therefore assume a modestly lower risk that GiveWell funding for Helen Keller could crowd out UNICEF funding.</t>
      </text>
    </comment>
    <comment authorId="0" ref="K144">
      <text>
        <t xml:space="preserve">Helen Keller has been expanding in Nigeria in recent years and supported VAS in 7 states in 2022. But it is planning to stop supporting VAS in 2 of these states (Akwa Ibom and Ekiti) from 2023 because of low cost effectiveness. (Source: Helen Keller International Room for more funding report to GiveWell 2022, p. 17). 
We have assumed a lower risk of crowding out in Nigeria than other countries because Helen Keller's decision to fund fewer states leaves other gaps in VAS support that other funders might fill instead.</t>
      </text>
    </comment>
    <comment authorId="0" ref="L144">
      <text>
        <t xml:space="preserve">Helen Keller has been expanding in Nigeria in recent years and supported VAS in 7 states in 2022. But it is planning to stop supporting VAS in 2 of these states (Akwa Ibom and Ekiti) from 2023 because of low cost effectiveness. (Source: Helen Keller International Room for more funding report to GiveWell 2022, p. 17 https://files.givewell.org/files/DWDA%202009/Helen_Keller_International/Helen_Keller_Intl_Room_for_More_Funding_Report_to_GiveWell_2022_Narrative_Report.pdf)). 
We have assumed a lower risk of crowding out in Nigeria than other countries because this implies there are other gaps in VAS support that other funders might fill instead.</t>
      </text>
    </comment>
    <comment authorId="0" ref="M144">
      <text>
        <t xml:space="preserve">Helen Keller has been expanding in Nigeria in recent years and supported VAS in 7 states in 2022. But it is planning to stop supporting VAS in 2 of these states (Akwa Ibom and Ekiti) from 2023 because of low cost effectiveness. (Source: Helen Keller International Room for more funding report to GiveWell 2022, p. 17 https://files.givewell.org/files/DWDA%202009/Helen_Keller_International/Helen_Keller_Intl_Room_for_More_Funding_Report_to_GiveWell_2022_Narrative_Report.pdf)). 
We have assumed a lower risk of crowding out in Nigeria than other countries because this implies there are other gaps in VAS support that other funders might fill instead.</t>
      </text>
    </comment>
    <comment authorId="0" ref="N144">
      <text>
        <t xml:space="preserve">Helen Keller has been expanding in Nigeria in recent years and supported VAS in 7 states in 2022. But it is planning to stop supporting VAS in 2 of these states (Akwa Ibom and Ekiti) from 2023 because of low cost effectiveness. (Source: Helen Keller International Room for more funding report to GiveWell 2022, p. 17 https://files.givewell.org/files/DWDA%202009/Helen_Keller_International/Helen_Keller_Intl_Room_for_More_Funding_Report_to_GiveWell_2022_Narrative_Report.pdf)). 
We have assumed a lower risk of crowding out in Nigeria than other countries because this implies there are other gaps in VAS support that other funders might fill instead.</t>
      </text>
    </comment>
    <comment authorId="0" ref="O144">
      <text>
        <t xml:space="preserve">Helen Keller has been expanding in Nigeria in recent years and supported VAS in 7 states in 2022. But it is planning to stop supporting VAS in 2 of these states (Akwa Ibom and Ekiti) from 2023 because of low cost effectiveness. (Source: Helen Keller International Room for more funding report to GiveWell 2022, p. 17 https://files.givewell.org/files/DWDA%202009/Helen_Keller_International/Helen_Keller_Intl_Room_for_More_Funding_Report_to_GiveWell_2022_Narrative_Report.pdf)). 
We have assumed a lower risk of crowding out in Nigeria than other countries because this implies there are other gaps in VAS support that other funders might fill instead.</t>
      </text>
    </comment>
    <comment authorId="0" ref="P144">
      <text>
        <t xml:space="preserve">Helen Keller has been expanding in Nigeria in recent years and supported VAS in 7 states in 2022. But it is planning to stop supporting VAS in 2 of these states (Akwa Ibom and Ekiti) from 2023 because of low cost effectiveness. (Source: Helen Keller International Room for more funding report to GiveWell 2022, p. 17 https://files.givewell.org/files/DWDA%202009/Helen_Keller_International/Helen_Keller_Intl_Room_for_More_Funding_Report_to_GiveWell_2022_Narrative_Report.pdf)). 
We have assumed a lower risk of crowding out in Nigeria than other countries because this implies there are other gaps in VAS support that other funders might fill instead.</t>
      </text>
    </comment>
    <comment authorId="0" ref="Q144">
      <text>
        <t xml:space="preserve">Helen Keller has been expanding in Nigeria in recent years and supported VAS in 7 states in 2022. But it is planning to stop supporting VAS in 2 of these states (Akwa Ibom and Ekiti) from 2023 because of low cost effectiveness. (Source: Helen Keller International Room for more funding report to GiveWell 2022, p. 17 https://files.givewell.org/files/DWDA%202009/Helen_Keller_International/Helen_Keller_Intl_Room_for_More_Funding_Report_to_GiveWell_2022_Narrative_Report.pdf)). 
We have assumed a lower risk of crowding out in Nigeria than other countries because this implies there are other gaps in VAS support that other funders might fill instead.</t>
      </text>
    </comment>
    <comment authorId="0" ref="R144">
      <text>
        <t xml:space="preserve">Helen Keller has been expanding in Nigeria in recent years and supported VAS in 7 states in 2022. But it is planning to stop supporting VAS in 2 of these states (Akwa Ibom and Ekiti) from 2023 because of low cost effectiveness. (Source: Helen Keller International Room for more funding report to GiveWell 2022, p. 17 https://files.givewell.org/files/DWDA%202009/Helen_Keller_International/Helen_Keller_Intl_Room_for_More_Funding_Report_to_GiveWell_2022_Narrative_Report.pdf)). 
We have assumed a lower risk of crowding out in Nigeria than other countries because this implies there are other gaps in VAS support that other funders might fill instead.</t>
      </text>
    </comment>
    <comment authorId="0" ref="S144">
      <text>
        <t xml:space="preserve">Helen Keller has been expanding in Nigeria in recent years and supported VAS in 7 states in 2022. But it is planning to stop supporting VAS in 2 of these states (Akwa Ibom and Ekiti) from 2023 because of low cost effectiveness. (Source: Helen Keller International Room for more funding report to GiveWell 2022, p. 17 https://files.givewell.org/files/DWDA%202009/Helen_Keller_International/Helen_Keller_Intl_Room_for_More_Funding_Report_to_GiveWell_2022_Narrative_Report.pdf)). 
We have assumed a lower risk of crowding out in Nigeria than other countries because this implies there are other gaps in VAS support that other funders might fill instead.</t>
      </text>
    </comment>
    <comment authorId="0" ref="T144">
      <text>
        <t xml:space="preserve">Helen Keller has been expanding in Nigeria in recent years and supported VAS in 7 states in 2022. But it is planning to stop supporting VAS in 2 of these states (Akwa Ibom and Ekiti) from 2023 because of low cost effectiveness. (Source: Helen Keller International Room for more funding report to GiveWell 2022, p. 17 https://files.givewell.org/files/DWDA%202009/Helen_Keller_International/Helen_Keller_Intl_Room_for_More_Funding_Report_to_GiveWell_2022_Narrative_Report.pdf)). 
We have assumed a lower risk of crowding out in Nigeria than other countries because this implies there are other gaps in VAS support that other funders might fill instead.</t>
      </text>
    </comment>
    <comment authorId="0" ref="U144">
      <text>
        <t xml:space="preserve">Helen Keller has been expanding in Nigeria in recent years and supported VAS in 7 states in 2022. But it is planning to stop supporting VAS in 2 of these states (Akwa Ibom and Ekiti) from 2023 because of low cost effectiveness. (Source: Helen Keller International Room for more funding report to GiveWell 2022, p. 17 https://files.givewell.org/files/DWDA%202009/Helen_Keller_International/Helen_Keller_Intl_Room_for_More_Funding_Report_to_GiveWell_2022_Narrative_Report.pdf)). 
We have assumed a lower risk of crowding out in Nigeria than other countries because this implies there are other gaps in VAS support that other funders might fill instead.</t>
      </text>
    </comment>
    <comment authorId="0" ref="V144">
      <text>
        <t xml:space="preserve">Helen Keller has been expanding in Nigeria in recent years and supported VAS in 7 states in 2022. But it is planning to stop supporting VAS in 2 of these states (Akwa Ibom and Ekiti) from 2023 because of low cost effectiveness. (Source: Helen Keller International Room for more funding report to GiveWell 2022, p. 17). 
We have assumed a lower risk of crowding out in Nigeria than other countries because this implies there are other gaps in VAS support that other funders might fill instead.</t>
      </text>
    </comment>
    <comment authorId="0" ref="W144">
      <text>
        <t xml:space="preserve">Helen Keller has been expanding in Nigeria in recent years and supported VAS in 7 states in 2022. But it is planning to stop supporting VAS in 2 of these states (Akwa Ibom and Ekiti) from 2023 because of low cost effectiveness. (Source: Helen Keller International Room for more funding report to GiveWell 2022, p. 17 https://files.givewell.org/files/DWDA%202009/Helen_Keller_International/Helen_Keller_Intl_Room_for_More_Funding_Report_to_GiveWell_2022_Narrative_Report.pdf)). 
We have assumed a lower risk of crowding out in Nigeria than other countries because this implies there are other gaps in VAS support that other funders might fill instead.</t>
      </text>
    </comment>
    <comment authorId="0" ref="X144">
      <text>
        <t xml:space="preserve">Helen Keller has been expanding in Nigeria in recent years and supported VAS in 7 states in 2022. But it is planning to stop supporting VAS in 2 of these states (Akwa Ibom and Ekiti) from 2023 because of low cost effectiveness. (Source: Helen Keller International Room for more funding report to GiveWell 2022, p. 17 https://files.givewell.org/files/DWDA%202009/Helen_Keller_International/Helen_Keller_Intl_Room_for_More_Funding_Report_to_GiveWell_2022_Narrative_Report.pdf)). 
We have assumed a lower risk of crowding out in Nigeria than other countries because this implies there are other gaps in VAS support that other funders might fill instead.</t>
      </text>
    </comment>
    <comment authorId="0" ref="Y144">
      <text>
        <t xml:space="preserve">Helen Keller has been expanding in Nigeria in recent years and supported VAS in 7 states in 2022. But it is planning to stop supporting VAS in 2 of these states (Akwa Ibom and Ekiti) from 2023 because of low cost effectiveness. (Source: Helen Keller International Room for more funding report to GiveWell 2022, p. 17 https://files.givewell.org/files/DWDA%202009/Helen_Keller_International/Helen_Keller_Intl_Room_for_More_Funding_Report_to_GiveWell_2022_Narrative_Report.pdf)). 
We have assumed a lower risk of crowding out in Nigeria than other countries because this implies there are other gaps in VAS support that other funders might fill instead.</t>
      </text>
    </comment>
    <comment authorId="0" ref="A145">
      <text>
        <t xml:space="preserve">The government (financial costs) and other philanthropic actors would continue funding the program at the same level they currently do. Government financial costs and other philanthropic actors are neither leveraged nor funged.  Vitamin A capsule procurement and in-kind government costs are partially leveraged because the program gets smaller in the absence of HKI's funding.</t>
      </text>
    </comment>
    <comment authorId="0" ref="A146">
      <text>
        <t xml:space="preserve">The program would not happen without the donation. So HKI's funding leverages all other actors' funding.</t>
      </text>
    </comment>
    <comment authorId="0" ref="A247">
      <text>
        <t xml:space="preserve">How much more cost-effective do we estimate this funding gap to be relative to GiveDirectly cash transfers?</t>
      </text>
    </comment>
    <comment authorId="0" ref="A254">
      <text>
        <t xml:space="preserve">This includes the costs to all actors, not just Helen Keller International.</t>
      </text>
    </comment>
  </commentList>
</comments>
</file>

<file path=xl/comments9.xml><?xml version="1.0" encoding="utf-8"?>
<comments xmlns:r="http://schemas.openxmlformats.org/officeDocument/2006/relationships" xmlns="http://schemas.openxmlformats.org/spreadsheetml/2006/main" xmlns:xr="http://schemas.microsoft.com/office/spreadsheetml/2014/revision">
  <authors>
    <author/>
  </authors>
  <commentList>
    <comment authorId="0" ref="A5">
      <text>
        <t xml:space="preserve">We estimate baseline vaccination coverage by state in a supplemental spreadsheet, see calculations here: 
https://docs.google.com/spreadsheets/d/1a-RBH0SSbL6tUPmOum6FGTvLFTM9NAY6cW6ntoyZoqg/edit#gid=417675057&amp;range=O87:O124 
We refer to these as "aggregate" coverage estimates because we aggregate estimates of coverage of individual vaccine doses to get one overall estimate for each state. In the aggregation process, we weight coverage of each vaccine dose by that dose's contribution to the primary benefit of New Incentives' program (averting mortality from vaccine-preventable diseases).
For an explanation of our approach to estimating baseline vaccination coverage, see this write-up: 
https://docs.google.com/document/d/1fq9eEn6IRMyB2_xdE2wpGqP6DXe8u3SsB3KVtIbdFWc/edit</t>
      </text>
    </comment>
    <comment authorId="0" ref="A7">
      <text>
        <t xml:space="preserve">We estimate the effect of New Incentives' program on vaccination rates based on data from a randomized controlled trial (RCT) of the program in Jigawa, Katsina, and Zamfara. 
We estimate that, on average, the program led to a 21 percentage point increase in vaccination rates during the RCT. Based on our estimates of baseline vaccine coverage at the time of the RCT, we estimate this increase in vaccination rates corresponded to a 33% reduction in the percent of unvaccinated infants in those states. 
We assume that reduction in the percent of unvaccinated infants will be consistent across all states where New Incentives operates. 
See our calculations here:
https://docs.google.com/spreadsheets/d/1a-RBH0SSbL6tUPmOum6FGTvLFTM9NAY6cW6ntoyZoqg/edit#gid=1036955228&amp;range=C97:G101
For a discussion of our approach to estimating the treatment effect of the program, see this write-up: 
https://docs.google.com/document/d/1fq9eEn6IRMyB2_xdE2wpGqP6DXe8u3SsB3KVtIbdFWc/edit</t>
      </text>
    </comment>
    <comment authorId="0" ref="A13">
      <text>
        <t xml:space="preserve">See our "New Incentives cost per infant immunized [May 2023]" spreadsheet here: 
https://docs.google.com/spreadsheets/d/1bX-KY6EScTdCgQDHkcP1keuCJeQzQINGz9Brg5mjGBw/edit#gid=1951973175&amp;range=C28</t>
      </text>
    </comment>
    <comment authorId="0" ref="A14">
      <text>
        <t xml:space="preserve">See our "New Incentives cost per infant immunized [August 2022]" spreadsheet here: 
https://docs.google.com/spreadsheets/d/1DN10TWUK0-GdnG7jq6NKm_pDRktJKV5itlHwxzh1H3w/edit?usp=sharing
See this section of our review of New Incentives for more information: 
https://www.givewell.org/charities/new-incentives#What_is_the_cost_per_child_immunized?</t>
      </text>
    </comment>
    <comment authorId="0" ref="A15">
      <text>
        <t xml:space="preserve">See our "New Incentives cost per infant immunized [August 2022]" spreadsheet here: 
https://docs.google.com/spreadsheets/d/1DN10TWUK0-GdnG7jq6NKm_pDRktJKV5itlHwxzh1H3w/edit?usp=sharing
See this section of our review of New Incentives for more information: 
https://www.givewell.org/charities/new-incentives#What_is_the_cost_per_child_immunized?</t>
      </text>
    </comment>
    <comment authorId="0" ref="A19">
      <text>
        <t xml:space="preserve">"We estimate that 95% of vaccinated infants were enrolled in New Incentives' program. Infants who were vaccinated as part of periodic campaigns, rather than routine immunization activities, might not be enrolled in New Incentives, but we guess that this proportion of infants is low, based on IDinsight's analysis of the percentage of households that report receiving vaccinations through routine immunizations (which would have been part of New Incentives' program)."
https://www.givewell.org/international/technical/programs/new-incentives#Costs_to_New_Incentives</t>
      </text>
    </comment>
    <comment authorId="0" ref="A20">
      <text>
        <t xml:space="preserve">Note that this cohort includes infants expected to be vaccinated and infants not expected to be vaccinated (see calculations in next two rows). </t>
      </text>
    </comment>
    <comment authorId="0" ref="A31">
      <text>
        <t xml:space="preserve">We calculate the percent of all under 5 vaccine-preventable deaths from diseases targeted by each vaccine on a supplemental spreadsheet. Those calculations were made based on preliminary estimates from the 2021 Global Burden of Disease project, which we do not have permission to publish. We plan to publish our supplemental calculations once the 2021 GBD data is made public.
You can see the previous version of these calculations here: 
https://docs.google.com/spreadsheets/d/1WaqYfYWve4VsAde8swxsZvnl5VUsKkxBxKQ-W_UEgKE/edit#gid=1336430465&amp;range=A49:V55
See "Meta-analyses of vaccines' effects on disease for children under five" for further discussion:  
https://www.givewell.org/international/technical/programs/new-incentives#Vaccine_efficacy
</t>
      </text>
    </comment>
    <comment authorId="0" ref="A32">
      <text>
        <t xml:space="preserve">We calculate the percent of all under 5 vaccine-preventable deaths from diseases targeted by each vaccine on a supplemental spreadsheet. Those calculations were made based on preliminary estimates from the 2021 Global Burden of Disease project, which we do not have permission to publish. We plan to publish our supplemental calculations once the 2021 GBD data is made public.
You can see the previous version of these calculations here: 
https://docs.google.com/spreadsheets/d/1WaqYfYWve4VsAde8swxsZvnl5VUsKkxBxKQ-W_UEgKE/edit#gid=1336430465&amp;range=A49:V55
See "Meta-analyses of vaccines' effects on disease for children under five" for further discussion:  
https://www.givewell.org/international/technical/programs/new-incentives#Vaccine_efficacy
</t>
      </text>
    </comment>
    <comment authorId="0" ref="A33">
      <text>
        <t xml:space="preserve">We calculate the percent of all under 5 vaccine-preventable deaths from diseases targeted by each vaccine on a supplemental spreadsheet. Those calculations were made based on preliminary estimates from the 2021 Global Burden of Disease project, which we do not have permission to publish. We plan to publish our supplemental calculations once the 2021 GBD data is made public.
You can see the previous version of these calculations here: 
https://docs.google.com/spreadsheets/d/1WaqYfYWve4VsAde8swxsZvnl5VUsKkxBxKQ-W_UEgKE/edit#gid=1336430465&amp;range=A49:V55
See "Meta-analyses of vaccines' effects on disease for children under five" for further discussion:  
https://www.givewell.org/international/technical/programs/new-incentives#Vaccine_efficacy
</t>
      </text>
    </comment>
    <comment authorId="0" ref="A34">
      <text>
        <t xml:space="preserve">We calculate the percent of all under 5 vaccine-preventable deaths from diseases targeted by each vaccine on a supplemental spreadsheet. Those calculations were made based on preliminary estimates from the 2021 Global Burden of Disease project, which we do not have permission to publish. We plan to publish our supplemental calculations once the 2021 GBD data is made public.
You can see the previous version of these calculations here: 
https://docs.google.com/spreadsheets/d/1WaqYfYWve4VsAde8swxsZvnl5VUsKkxBxKQ-W_UEgKE/edit#gid=1336430465&amp;range=A49:V55
See "Meta-analyses of vaccines' effects on disease for children under five" for further discussion:  
https://www.givewell.org/international/technical/programs/new-incentives#Vaccine_efficacy
</t>
      </text>
    </comment>
    <comment authorId="0" ref="A35">
      <text>
        <t xml:space="preserve">We calculate the percent of all under 5 vaccine-preventable deaths from diseases targeted by each vaccine on a supplemental spreadsheet. Those calculations were made based on preliminary estimates from the 2021 Global Burden of Disease project, which we do not have permission to publish. We plan to publish our supplemental calculations once the 2021 GBD data is made public.
You can see the previous version of these calculations here: 
https://docs.google.com/spreadsheets/d/1WaqYfYWve4VsAde8swxsZvnl5VUsKkxBxKQ-W_UEgKE/edit#gid=1336430465&amp;range=A49:V55
See "Meta-analyses of vaccines' effects on disease for children under five" for further discussion:  
https://www.givewell.org/international/technical/programs/new-incentives#Vaccine_efficacy
</t>
      </text>
    </comment>
    <comment authorId="0" ref="A36">
      <text>
        <t xml:space="preserve">We calculate the percent of all under 5 vaccine-preventable deaths from diseases targeted by each vaccine on a supplemental spreadsheet. Those calculations were made based on preliminary estimates from the 2021 Global Burden of Disease project, which we do not have permission to publish. We plan to publish our supplemental calculations once the 2021 GBD data is made public.
You can see the previous version of these calculations here:  
https://docs.google.com/spreadsheets/d/1WaqYfYWve4VsAde8swxsZvnl5VUsKkxBxKQ-W_UEgKE/edit#gid=1336430465&amp;range=A49:V55
See "Meta-analyses of vaccines' effects on disease for children under five" for further discussion:  
https://www.givewell.org/international/technical/programs/new-incentives#Vaccine_efficacy
</t>
      </text>
    </comment>
    <comment authorId="0" ref="A38">
      <text>
        <t xml:space="preserve">These vaccine efficacy numbers correspond to 1 minus the relative risk of disease incidence. See here for further discussion: https://www.givewell.org/international/technical/programs/new-incentives#Efficacy_analysis</t>
      </text>
    </comment>
    <comment authorId="0" ref="A39">
      <text>
        <t xml:space="preserve">Based on meta-analyses from the Lives Saved Tool (LiST). See here for more information: https://www.givewell.org/international/technical/programs/new-incentives#Efficacy_analysis</t>
      </text>
    </comment>
    <comment authorId="0" ref="A40">
      <text>
        <t xml:space="preserve">Based on meta-analyses from the Lives Saved Tool (LiST). See here for more information: https://www.givewell.org/international/technical/programs/new-incentives#Efficacy_analysis</t>
      </text>
    </comment>
    <comment authorId="0" ref="A41">
      <text>
        <t xml:space="preserve">Based on meta-analyses from the Lives Saved Tool (LiST). See here for more information: https://www.givewell.org/international/technical/programs/new-incentives#Efficacy_analysis</t>
      </text>
    </comment>
    <comment authorId="0" ref="A42">
      <text>
        <t xml:space="preserve">Based on meta-analyses from the Lives Saved Tool (LiST). See here for more information: https://www.givewell.org/international/technical/programs/new-incentives#Efficacy_analysis</t>
      </text>
    </comment>
    <comment authorId="0" ref="A43">
      <text>
        <t xml:space="preserve">Mangtani et al. 2013, Figure 5, p. 24 https://researchonline.lshtm.ac.uk/id/eprint/1440348/1/Protection%20by%20BCG%20against%20tuberculosis_GREEN%20AAM.pdf
See here for more information: https://www.givewell.org/international/technical/programs/new-incentives#Efficacy_analysis</t>
      </text>
    </comment>
    <comment authorId="0" ref="A44">
      <text>
        <t xml:space="preserve">Based on meta-analyses from the Lives Saved Tool (LiST). See here for more information: https://www.givewell.org/international/technical/programs/new-incentives#Efficacy_analysis</t>
      </text>
    </comment>
    <comment authorId="0" ref="A45">
      <text>
        <t xml:space="preserve">Our estimates of vaccine efficacy are based on vaccines' effects on incidence of vaccine-preventable disease. A 100% value for this input implies that vaccines reduce vaccine-preventable disease mortality by the same percent that vaccines reduce vaccine-preventable disease incidence. An input below 100% indicates that vaccine-preventable disease mortality does not drop as much as vaccine-preventable disease incidence when infants are vaccinated. Our best guess is that the reduction in vaccine-preventable disease incidence results in a similar reduction in mortality, but we are not aware of high-quality empirical evidence that we can use to test this assumption.</t>
      </text>
    </comment>
    <comment authorId="0" ref="A47">
      <text>
        <t xml:space="preserve">Calculations are available on the "Vaccine efficacy data" sheet here: 
https://docs.google.com/spreadsheets/d/1WaqYfYWve4VsAde8swxsZvnl5VUsKkxBxKQ-W_UEgKE/edit#gid=1336430465&amp;range=A49:M55
See this section of our intervention report on New Incentives' programs for more details: https://www.givewell.org/international/technical/programs/new-incentives#Vaccine_efficacy
</t>
      </text>
    </comment>
    <comment authorId="0" ref="A49">
      <text>
        <t xml:space="preserve">"Imperfect coverage. We include a 95% coverage adjustment to account for less than 100% coverage of all doses of vaccines in trials. This is a rough guess" https://www.givewell.org/international/technical/programs/new-incentives#Vaccine_efficacy</t>
      </text>
    </comment>
    <comment authorId="0" ref="A51">
      <text>
        <t xml:space="preserve">Our adjustment for expected lower vaccine efficacy in Nigeria takes into account: 
-Results from studies of biomarkers of measles immunity in Nigeria
-Seroconversion studies of measles immunity in Nigeria
-Meta-analyses of vaccine efficacy in low-income countries
See this section of our intervention report on New Incentives' program for further discussion: https://www.givewell.org/international/technical/programs/new-incentives#Low-income_efficacy </t>
      </text>
    </comment>
    <comment authorId="0" ref="A52">
      <text>
        <t xml:space="preserve">"IDinsight conducted two operational pilots to test the feasibility of using oral fluid biomarkers to validate caregiver-reported vaccination status. Both of these pilots found low agreement between the oral fluid test and caregiver-reported vaccination status as well as administrative records (e.g. child health cards)." https://www.givewell.org/international/technical/programs/new-incentives#Biomarkers</t>
      </text>
    </comment>
    <comment authorId="0" ref="A53">
      <text>
        <t xml:space="preserve">This estimate is a rough best guess. For further discussion, see: https://www.givewell.org/international/technical/programs/new-incentives#Biomarkers
A spreadsheet exploring some hypotheses about the explanations for the biomarkers results is here: https://docs.google.com/spreadsheets/d/1U3p32ESwVSws37TIAGjxCl9B6i0htEjOm1qeqbKRoCw/edit?usp=sharing</t>
      </text>
    </comment>
    <comment authorId="0" ref="A54">
      <text>
        <t xml:space="preserve">This estimate is a rough best guess. For further discussion, see: https://www.givewell.org/international/technical/programs/new-incentives#Biomarkers
A spreadsheet exploring some hypotheses about the explanations for the biomarkers results is here: https://docs.google.com/spreadsheets/d/1U3p32ESwVSws37TIAGjxCl9B6i0htEjOm1qeqbKRoCw/edit?usp=sharing</t>
      </text>
    </comment>
    <comment authorId="0" ref="A56">
      <text>
        <t xml:space="preserve">"1 (i.e., 0% reduction in effect): This adjustment assumes that the biomarkers result is explained solely by testing inaccuracy or that we expect any drivers of low vaccine efficacy to be resolved in New Incentives' implementation for all vaccines." https://www.givewell.org/international/technical/programs/new-incentives#Biomarkers</t>
      </text>
    </comment>
    <comment authorId="0" ref="A57">
      <text>
        <t xml:space="preserve">"0.3 (i.e., 70% reduction in efficacy): This adjustment assumes that the biomarkers result is explained entirely by low vaccine efficacy, and that we should expect the drivers of low vaccine efficacy to be present in New Incentives' implementation for all vaccines." https://www.givewell.org/international/technical/programs/new-incentives#Biomarkers</t>
      </text>
    </comment>
    <comment authorId="0" ref="A60">
      <text>
        <t xml:space="preserve">We use a vaccine efficacy estimate of 85% for measles vaccines. (See "Vaccine efficacy from meta-analyses" section above). See here for more information: https://www.givewell.org/international/technical/programs/new-incentives#Efficacy_analysis
We use this as the benchmark for weighting the effect size, so it is set to 1 by definition.
</t>
      </text>
    </comment>
    <comment authorId="0" ref="A61">
      <text>
        <t xml:space="preserve">"The seroconversion pattern showed that 196 (68.6%) of the infants developed protective antibody titers."
https://www.ncbi.nlm.nih.gov/pubmed/24825255</t>
      </text>
    </comment>
    <comment authorId="0" ref="A62">
      <text>
        <t xml:space="preserve">Table 2. By WHO Region: AFR, Median, p.S145.
https://pubmed.ncbi.nlm.nih.gov/21666154/</t>
      </text>
    </comment>
    <comment authorId="0" ref="A64">
      <text>
        <t xml:space="preserve">These weights are our rough best guess at the relevance of each source of evidence to New Incentives' program.</t>
      </text>
    </comment>
    <comment authorId="0" ref="A65">
      <text>
        <t xml:space="preserve">These weights are our rough best guess at the relevance of each source of evidence to New Incentives' program.</t>
      </text>
    </comment>
    <comment authorId="0" ref="A66">
      <text>
        <t xml:space="preserve">These weights are our rough best guess at the relevance of each source of evidence to New Incentives' program.</t>
      </text>
    </comment>
    <comment authorId="0" ref="A67">
      <text>
        <t xml:space="preserve">These weights are our rough best guess at the relevance of each source of evidence to New Incentives' program.</t>
      </text>
    </comment>
    <comment authorId="0" ref="A72">
      <text>
        <t xml:space="preserve">This estimate is our rough best guess about the extent to which poor measles vaccine efficacy would imply problems with other vaccines.</t>
      </text>
    </comment>
    <comment authorId="0" ref="A77">
      <text>
        <t xml:space="preserve">Vaccines may have mortality impacts beyond impacts on targeted diseases. See this section of our intervention report on New Incentives' program: https://www.givewell.org/international/technical/programs/new-incentives#All_cause</t>
      </text>
    </comment>
    <comment authorId="0" ref="A78">
      <text>
        <t xml:space="preserve">These calculations were made based on preliminary estimates from the 2021 Global Burden of Disease project, which we do not have permission to publish. We plan to publish our supplemental calculations once the 2021 GBD data is made public.
You can see the previous version of these calculations in the "Probability of death" sheet here: 
https://docs.google.com/spreadsheets/d/1WaqYfYWve4VsAde8swxsZvnl5VUsKkxBxKQ-W_UEgKE/edit#gid=1898938765&amp;range=A91:U95
For more details, see this section of our intervention report on New Incentives' program: https://www.givewell.org/international/technical/programs/new-incentives#Prevalence</t>
      </text>
    </comment>
    <comment authorId="0" ref="A79">
      <text>
        <t xml:space="preserve">These calculations were made based on preliminary estimates from the 2021 Global Burden of Disease project, which we do not have permission to publish. We plan to publish our supplemental calculations once the 2021 GBD data is made public.
You can see the previous version of these calculations in the "Baseline vaccination coverage" sheet here: 
https://docs.google.com/spreadsheets/d/1WaqYfYWve4VsAde8swxsZvnl5VUsKkxBxKQ-W_UEgKE/edit#gid=2030031784&amp;range=A88:V88
For more details, see this section of our intervention report on New Incentives' program: https://www.givewell.org/international/technical/programs/new-incentives#Adjustment_for_proportion_of_vaccinated_children_in_IHME_data</t>
      </text>
    </comment>
    <comment authorId="0" ref="A80">
      <text>
        <t xml:space="preserve">"Our best guess is that vaccination prevents 0.5 deaths indirectly (i.e., via indirect effects on non-directly vaccine-preventable diseases) for every death prevented directly (i.e., for directly vaccine-preventable diseases)."
See this section of our intervention report on New Incentives' program for more details: https://www.givewell.org/international/technical/programs/new-incentives#All_cause</t>
      </text>
    </comment>
    <comment authorId="0" ref="A82">
      <text>
        <t xml:space="preserve">This estimate is calculated using a goal-seek function, based on an input of 0.5 indirect deaths averted per direct death averted.
We used this Google Sheets add-on for the goal seek function: https://gsuite.google.com/marketplace/app/goal_seek/583737146763</t>
      </text>
    </comment>
    <comment authorId="0" ref="A90">
      <text>
        <t xml:space="preserve">In this row, we check that our calculated indirect deaths averted estimate (which relies on the adjustment calculated with goal-seek in the "Adjustment for all-cause mortality effect (goal-seek based on indirect deaths averted per direct death averted estimate)" row above matches our original assumption in the "Indirect deaths averted per direct death averted from vaccination" row above, to a precison of three decimal places. </t>
      </text>
    </comment>
    <comment authorId="0" ref="A91">
      <text>
        <t xml:space="preserve">See "All-cause mortality effects" section in our intervention report on New Incentives' program: https://www.givewell.org/international/technical/programs/new-incentives#Vaccine_efficacy</t>
      </text>
    </comment>
    <comment authorId="0" ref="A98">
      <text>
        <t xml:space="preserve">Our estimates of vaccine efficacy are based on vaccines' effects on incidence of vaccine-preventable disease. A 100% value for this input implies that vaccines reduce vaccine-preventable disease mortality by the same percent that vaccines reduce vaccine-preventable disease incidence. An input below 100% indicates that vaccine-preventable disease mortality does not drop as much as vaccine-preventable disease incidence when infants are vaccinated. Our best guess is that the reduction in vaccine-preventable disease incidence results in a similar reduction in mortality, but we are not aware of high-quality empirical evidence that we can use to test this assumption.</t>
      </text>
    </comment>
    <comment authorId="0" ref="A103">
      <text>
        <t xml:space="preserve">"Risk of vaccine-preventable diseases also occurs at ages beyond five. Vaccines may confer immunity beyond the age of five, reducing risk of mortality as vaccinated infants age."
https://www.givewell.org/international/technical/programs/new-incentives#Effects_on_deaths_above_age_five</t>
      </text>
    </comment>
    <comment authorId="0" ref="A105">
      <text>
        <t xml:space="preserve">This discount factor is intended to reflect a higher relative value on deaths averted now vs. deaths averted in the future and potentially that there are fundamental changes that render the program ineffective.
See this section of our intervention report for more information on our reasoning for applying this discount rate: 
https://www.givewell.org/international/technical/programs/new-incentives#Effects_on_deaths_above_age_five</t>
      </text>
    </comment>
    <comment authorId="0" ref="A108">
      <text>
        <t xml:space="preserve">These calculations were made based on preliminary estimates from the 2021 Global Burden of Disease project, which we do not have permission to publish. We plan to publish our supplemental calculations once the 2021 GBD data is made public.
You can see the previous version of these calculations in the "Probability of death" sheet here: 
https://docs.google.com/spreadsheets/d/1WaqYfYWve4VsAde8swxsZvnl5VUsKkxBxKQ-W_UEgKE/edit#gid=1898938765&amp;range=A93:U93</t>
      </text>
    </comment>
    <comment authorId="0" ref="A109">
      <text>
        <t xml:space="preserve">These calculations were made based on preliminary estimates from the 2021 Global Burden of Disease project, which we do not have permission to publish. We plan to publish our supplemental calculations once the 2021 GBD data is made public.
You can see the previous version of these calculations in the "Vaccine efficacy in older age groups" sheet here: 
https://docs.google.com/spreadsheets/d/1WaqYfYWve4VsAde8swxsZvnl5VUsKkxBxKQ-W_UEgKE/edit#gid=1627274160&amp;range=B60:U60</t>
      </text>
    </comment>
    <comment authorId="0" ref="A111">
      <text>
        <t xml:space="preserve">We guess that vaccination rates have increased over time in Nigeria, so percent vaccinated is lower for older cohorts in the current IHME data. Our specific estimate (0.5x the current IHME data) is a rough best guess.</t>
      </text>
    </comment>
    <comment authorId="0" ref="A113">
      <text>
        <t xml:space="preserve">Probability of death from diseases addressed by vaccines may fall over time. This would lower the baseline mortality rate for individuals once they enter into older age groups.
Current parameters are highly speculative.</t>
      </text>
    </comment>
    <comment authorId="0" ref="A114">
      <text>
        <t xml:space="preserve">The meta-analyses we use are based on short-term vaccine effects. We guess effects are muted in the long-term. Current parameters are highly speculative.</t>
      </text>
    </comment>
    <comment authorId="0" ref="A124">
      <text>
        <t xml:space="preserve">These calculations were made based on preliminary estimates from the 2021 Global Burden of Disease project, which we do not have permission to publish. We plan to publish our supplemental calculations once the 2021 GBD data is made public.
You can see the previous version of these calculations in the "Probability of death" sheet here:
https://docs.google.com/spreadsheets/d/1WaqYfYWve4VsAde8swxsZvnl5VUsKkxBxKQ-W_UEgKE/edit#gid=1898938765&amp;range=A94:U94</t>
      </text>
    </comment>
    <comment authorId="0" ref="A125">
      <text>
        <t xml:space="preserve">These calculations were made based on preliminary estimates from the 2021 Global Burden of Disease project, which we do not have permission to publish. We plan to publish our supplemental calculations once the 2021 GBD data is made public.
You can see the previous version of these calculations in the "Vaccine efficacy in older age groups" sheet here: 
https://docs.google.com/spreadsheets/d/1WaqYfYWve4VsAde8swxsZvnl5VUsKkxBxKQ-W_UEgKE/edit#gid=1627274160&amp;range=B61:U61</t>
      </text>
    </comment>
    <comment authorId="0" ref="A127">
      <text>
        <t xml:space="preserve">We guess that vaccination rates have increased over time in Nigeria, so percent vaccinated is lower for older cohorts in the current IHME data. Our specific estimate (0.2x the current IHME data) is a rough best guess.</t>
      </text>
    </comment>
    <comment authorId="0" ref="A129">
      <text>
        <t xml:space="preserve">Probability of death from diseases addressed by vaccines may fall over time. This would lower the baseline mortality rate for individuals once they enter into older age groups.
Current parameters are highly speculative.</t>
      </text>
    </comment>
    <comment authorId="0" ref="A130">
      <text>
        <t xml:space="preserve">The meta-analyses we use are based on short-term vaccine effects. We guess effects are muted in the long-term. Current parameters are highly speculative.</t>
      </text>
    </comment>
    <comment authorId="0" ref="A140">
      <text>
        <t xml:space="preserve">These calculations were made based on preliminary estimates from the 2021 Global Burden of Disease project, which we do not have permission to publish. We plan to publish our supplemental calculations once the 2021 GBD data is made public.
You can see the previous version of these calculations in the "Probability of death" sheet here:
https://docs.google.com/spreadsheets/d/1WaqYfYWve4VsAde8swxsZvnl5VUsKkxBxKQ-W_UEgKE/edit#gid=1898938765&amp;range=A95:U95</t>
      </text>
    </comment>
    <comment authorId="0" ref="A141">
      <text>
        <t xml:space="preserve">These calculations were made based on preliminary estimates from the 2021 Global Burden of Disease project, which we do not have permission to publish. We plan to publish our supplemental calculations once the 2021 GBD data is made public.
You can see the previous version of these calculations in the "Vaccine efficacy in older age groups" sheet here:  
https://docs.google.com/spreadsheets/d/1WaqYfYWve4VsAde8swxsZvnl5VUsKkxBxKQ-W_UEgKE/edit#gid=1627274160&amp;range=B62:U62</t>
      </text>
    </comment>
    <comment authorId="0" ref="A143">
      <text>
        <t xml:space="preserve">We guess that vaccination rates have increased over time in Nigeria, so percent vaccinated is lower for older cohorts in the current IHME data. Our specific estimate (0.1x the current IHME data) is a rough best guess.</t>
      </text>
    </comment>
    <comment authorId="0" ref="A145">
      <text>
        <t xml:space="preserve">Probability of death from diseases addressed by vaccines may fall over time. This would lower the baseline mortality rate for individuals once they enter into older age groups.
Current parameters are highly speculative.</t>
      </text>
    </comment>
    <comment authorId="0" ref="A146">
      <text>
        <t xml:space="preserve">The meta-analyses we use are based on short-term vaccine effects. We guess effects are muted in the long-term. Current parameters are highly speculative.</t>
      </text>
    </comment>
    <comment authorId="0" ref="A156">
      <text>
        <t xml:space="preserve">See "Development effects estimation model" here: https://docs.google.com/spreadsheets/d/1qyWjcLKDry9LzL9u-sIdpcaMPGBskXy7TYgSshice4E/edit#gid=2119102722</t>
      </text>
    </comment>
    <comment authorId="0" ref="A157">
      <text>
        <t xml:space="preserve">SMC development benefits unit of value should be interpreted as the expected increase in lifetime income from reducing the point in time probability of having malaria from 1 to 0 for one year. 
Since vaccines provide protection for multiple years, development benefits should allow these gains to accrue over multiple years.
Parameter is speculative. The SMC CEA models development effects as occurring for children 0-14. 
The parameter of 7 assumes full effect of 5 years (i.e., for when vaccinated infants are under 5) and 20% of the full effect for 10 years (i.e., when vaccinated infants enter the 5-14) age range.
YLDs per 100,000 person-years are ~35% for the 5-14-year-olds as they are for under 5s. YLLs / probability of death is &lt;5% for 5-14-year-olds, compared to under 5s. Taking the average of these, we get an effect of ~5% of the value for under 5s. Over 10 years (5-14), we expect an equivalent of an additional 2 full treatment years.
YLD calculations by age group:
https://docs.google.com/spreadsheets/d/17BpT7qkThtNXMMCARr7BgVOr19I5AlygPgckQuh5v0k/edit#gid=1175241575&amp;range=K17
YLL calculations by age group:
https://docs.google.com/spreadsheets/d/17BpT7qkThtNXMMCARr7BgVOr19I5AlygPgckQuh5v0k/edit#gid=1208494660&amp;range=K17</t>
      </text>
    </comment>
    <comment authorId="0" ref="A158">
      <text>
        <t xml:space="preserve">We previously used our SMC CEA for Nigeria as a proxy for SMC overall because it had roughly average cost-effectiveness compared to other countries in our CEA. However, we have since updated our SMC CEA to break out Nigeria into separate states, which makes it less practical to use Nigeria as a proxy. To solve this issue, we have decided to use the average across all locations in our SMC CEA as a proxy instead.</t>
      </text>
    </comment>
    <comment authorId="0" ref="A164">
      <text>
        <t xml:space="preserve">Exchange rate as of June 2019, retreived from Google. See here for historical exchange rates: https://www.exchangerates.org.uk/NGN-USD-spot-exchange-rates-history-2019.html</t>
      </text>
    </comment>
    <comment authorId="0" ref="A165">
      <text>
        <t xml:space="preserve">We assume the same baseline annual consumption per capita as we do for recipients of cash transfers in GiveDirectly's programs. </t>
      </text>
    </comment>
    <comment authorId="0" ref="A166">
      <text>
        <t xml:space="preserve">A pre-RCT report by IDinsight estimates that “the 97% of clinic records are from settlements less than 250 naira by motorbike from the clinic.” The distance among New Incentives partner clinics is likely to decrease at scale. Based on this, we estimate that a visit costs 100 naira one-way or 200 naira round trip. We view this as a rough guess.
https://files.givewell.org/files/DWDA%202009/NewIncentives/IDinsight_Impact_Evaluation_of_New_Incentives_in_North_West_States_of_Zamfara_and_Katsina.pdf, Pg. 8</t>
      </text>
    </comment>
    <comment authorId="0" ref="A167">
      <text>
        <t xml:space="preserve">A pre-RCT report by IDinsight estimates that “the 97% of clinic records are from settlements less than 250 naira by motorbike from the clinic.” The distance among New Incentives partner clinics is likely to decrease at scale. Based on this, we estimate that a visit costs 100 naira one-way or 200 naira round trip. We view this as a rough guess.
https://files.givewell.org/files/DWDA%202009/NewIncentives/IDinsight_Impact_Evaluation_of_New_Incentives_in_North_West_States_of_Zamfara_and_Katsina.pdf, Pg. 8</t>
      </text>
    </comment>
    <comment authorId="0" ref="A168">
      <text>
        <t xml:space="preserve">"Briefly mention the stages and the amount (500 naira at Birth, 6 weeks, 10 weeks, and 14 weeks, and 2,000 naira at 9 months for Measles)." https://files.givewell.org/files/DWDA%202009/NewIncentives/New_Incentives_Program_Protocols_2018_2020.pdf, Pg 47.</t>
      </text>
    </comment>
    <comment authorId="0" ref="A169">
      <text>
        <t xml:space="preserve">"Briefly mention the stages and the amount (500 naira at Birth, 6 weeks, 10 weeks, and 14 weeks, and 2,000 naira at 9 months for Measles)." https://files.givewell.org/files/DWDA%202009/NewIncentives/New_Incentives_Program_Protocols_2018_2020.pdf, Pg 47.</t>
      </text>
    </comment>
    <comment authorId="0" ref="A174">
      <text>
        <t xml:space="preserve">We assume the same average household size as we do for recipients of cash transfers in GiveDirectly's programs. </t>
      </text>
    </comment>
    <comment authorId="0" ref="A193">
      <text>
        <t xml:space="preserve">It's often difficult to explicitly model different kinds of wastage or other charity-level issues directly in our cost-effectiveness analysis. This section summarizes rough adjustments to our cost-effectiveness analysis to take into account our best guess of how different charity-level factors affect our best guess of true cost-effectiveness. </t>
      </text>
    </comment>
    <comment authorId="0" ref="A196">
      <text>
        <t xml:space="preserve">Scenario: The program is delivered to people who don't benefit or minimally benefit because they have received the program from another source.
</t>
      </text>
    </comment>
    <comment authorId="0" ref="B196">
      <text>
        <t xml:space="preserve">We adjust for this elsewhere in our model. </t>
      </text>
    </comment>
    <comment authorId="0" ref="C196">
      <text>
        <t xml:space="preserve">We adjust for this elsewhere in our model. </t>
      </text>
    </comment>
    <comment authorId="0" ref="D196">
      <text>
        <t xml:space="preserve">We adjust for this elsewhere in our model. </t>
      </text>
    </comment>
    <comment authorId="0" ref="E196">
      <text>
        <t xml:space="preserve">We adjust for this elsewhere in our model. </t>
      </text>
    </comment>
    <comment authorId="0" ref="F196">
      <text>
        <t xml:space="preserve">We adjust for this elsewhere in our model. </t>
      </text>
    </comment>
    <comment authorId="0" ref="G196">
      <text>
        <t xml:space="preserve">We adjust for this elsewhere in our model. </t>
      </text>
    </comment>
    <comment authorId="0" ref="H196">
      <text>
        <t xml:space="preserve">We adjust for this elsewhere in our model. </t>
      </text>
    </comment>
    <comment authorId="0" ref="I196">
      <text>
        <t xml:space="preserve">We adjust for this elsewhere in our model. </t>
      </text>
    </comment>
    <comment authorId="0" ref="J196">
      <text>
        <t xml:space="preserve">We adjust for this elsewhere in our model. </t>
      </text>
    </comment>
    <comment authorId="0" ref="K196">
      <text>
        <t xml:space="preserve">We adjust for this elsewhere in our model. </t>
      </text>
    </comment>
    <comment authorId="0" ref="L196">
      <text>
        <t xml:space="preserve">We adjust for this elsewhere in our model. </t>
      </text>
    </comment>
    <comment authorId="0" ref="M196">
      <text>
        <t xml:space="preserve">We adjust for this elsewhere in our model. </t>
      </text>
    </comment>
    <comment authorId="0" ref="N196">
      <text>
        <t xml:space="preserve">We adjust for this elsewhere in our model. </t>
      </text>
    </comment>
    <comment authorId="0" ref="O196">
      <text>
        <t xml:space="preserve">We adjust for this elsewhere in our model. </t>
      </text>
    </comment>
    <comment authorId="0" ref="P196">
      <text>
        <t xml:space="preserve">We adjust for this elsewhere in our model. </t>
      </text>
    </comment>
    <comment authorId="0" ref="Q196">
      <text>
        <t xml:space="preserve">We adjust for this elsewhere in our model. </t>
      </text>
    </comment>
    <comment authorId="0" ref="R196">
      <text>
        <t xml:space="preserve">We adjust for this elsewhere in our model. </t>
      </text>
    </comment>
    <comment authorId="0" ref="S196">
      <text>
        <t xml:space="preserve">We adjust for this elsewhere in our model. </t>
      </text>
    </comment>
    <comment authorId="0" ref="T196">
      <text>
        <t xml:space="preserve">We adjust for this elsewhere in our model. </t>
      </text>
    </comment>
    <comment authorId="0" ref="U196">
      <text>
        <t xml:space="preserve">We adjust for this elsewhere in our model. </t>
      </text>
    </comment>
    <comment authorId="0" ref="V196">
      <text>
        <t xml:space="preserve">We adjust for this elsewhere in our model. </t>
      </text>
    </comment>
    <comment authorId="0" ref="W196">
      <text>
        <t xml:space="preserve">We adjust for this elsewhere in our model. </t>
      </text>
    </comment>
    <comment authorId="0" ref="X196">
      <text>
        <t xml:space="preserve">We adjust for this elsewhere in our model. </t>
      </text>
    </comment>
    <comment authorId="0" ref="Y196">
      <text>
        <t xml:space="preserve">We adjust for this elsewhere in our model. </t>
      </text>
    </comment>
    <comment authorId="0" ref="Z196">
      <text>
        <t xml:space="preserve">We adjust for this elsewhere in our model. </t>
      </text>
    </comment>
    <comment authorId="0" ref="AA196">
      <text>
        <t xml:space="preserve">We adjust for this elsewhere in our model. </t>
      </text>
    </comment>
    <comment authorId="0" ref="AB196">
      <text>
        <t xml:space="preserve">We adjust for this elsewhere in our model. </t>
      </text>
    </comment>
    <comment authorId="0" ref="AC196">
      <text>
        <t xml:space="preserve">We adjust for this elsewhere in our model. </t>
      </text>
    </comment>
    <comment authorId="0" ref="AD196">
      <text>
        <t xml:space="preserve">We adjust for this elsewhere in our model. </t>
      </text>
    </comment>
    <comment authorId="0" ref="AE196">
      <text>
        <t xml:space="preserve">We adjust for this elsewhere in our model. </t>
      </text>
    </comment>
    <comment authorId="0" ref="AF196">
      <text>
        <t xml:space="preserve">We adjust for this elsewhere in our model. </t>
      </text>
    </comment>
    <comment authorId="0" ref="AG196">
      <text>
        <t xml:space="preserve">We adjust for this elsewhere in our model. </t>
      </text>
    </comment>
    <comment authorId="0" ref="AH196">
      <text>
        <t xml:space="preserve">We adjust for this elsewhere in our model. </t>
      </text>
    </comment>
    <comment authorId="0" ref="AI196">
      <text>
        <t xml:space="preserve">We adjust for this elsewhere in our model. </t>
      </text>
    </comment>
    <comment authorId="0" ref="AJ196">
      <text>
        <t xml:space="preserve">We adjust for this elsewhere in our model. </t>
      </text>
    </comment>
    <comment authorId="0" ref="AK196">
      <text>
        <t xml:space="preserve">We adjust for this elsewhere in our model. </t>
      </text>
    </comment>
    <comment authorId="0" ref="AL196">
      <text>
        <t xml:space="preserve">We adjust for this elsewhere in our model. </t>
      </text>
    </comment>
    <comment authorId="0" ref="A197">
      <text>
        <t xml:space="preserve">Scenario: Pills, LLINs, etc. are poorly made, counterfeit, or otherwise largely or fully ineffective at achieving the expected outcome. 
Possibility of ineffective vaccines is adjusted for elsewhere in the model.</t>
      </text>
    </comment>
    <comment authorId="0" ref="B197">
      <text>
        <t xml:space="preserve">Possibility of ineffective vaccines is adjusted for elsewhere in the model</t>
      </text>
    </comment>
    <comment authorId="0" ref="C197">
      <text>
        <t xml:space="preserve">Possibility of ineffective vaccines is adjusted for elsewhere in the model</t>
      </text>
    </comment>
    <comment authorId="0" ref="D197">
      <text>
        <t xml:space="preserve">Possibility of ineffective vaccines is adjusted for elsewhere in the model</t>
      </text>
    </comment>
    <comment authorId="0" ref="E197">
      <text>
        <t xml:space="preserve">Possibility of ineffective vaccines is adjusted for elsewhere in the model</t>
      </text>
    </comment>
    <comment authorId="0" ref="F197">
      <text>
        <t xml:space="preserve">Possibility of ineffective vaccines is adjusted for elsewhere in the model</t>
      </text>
    </comment>
    <comment authorId="0" ref="G197">
      <text>
        <t xml:space="preserve">Possibility of ineffective vaccines is adjusted for elsewhere in the model</t>
      </text>
    </comment>
    <comment authorId="0" ref="H197">
      <text>
        <t xml:space="preserve">Possibility of ineffective vaccines is adjusted for elsewhere in the model</t>
      </text>
    </comment>
    <comment authorId="0" ref="I197">
      <text>
        <t xml:space="preserve">Possibility of ineffective vaccines is adjusted for elsewhere in the model</t>
      </text>
    </comment>
    <comment authorId="0" ref="J197">
      <text>
        <t xml:space="preserve">Possibility of ineffective vaccines is adjusted for elsewhere in the model</t>
      </text>
    </comment>
    <comment authorId="0" ref="K197">
      <text>
        <t xml:space="preserve">Possibility of ineffective vaccines is adjusted for elsewhere in the model</t>
      </text>
    </comment>
    <comment authorId="0" ref="L197">
      <text>
        <t xml:space="preserve">Possibility of ineffective vaccines is adjusted for elsewhere in the model</t>
      </text>
    </comment>
    <comment authorId="0" ref="M197">
      <text>
        <t xml:space="preserve">Possibility of ineffective vaccines is adjusted for elsewhere in the model</t>
      </text>
    </comment>
    <comment authorId="0" ref="N197">
      <text>
        <t xml:space="preserve">Possibility of ineffective vaccines is adjusted for elsewhere in the model</t>
      </text>
    </comment>
    <comment authorId="0" ref="O197">
      <text>
        <t xml:space="preserve">Possibility of ineffective vaccines is adjusted for elsewhere in the model</t>
      </text>
    </comment>
    <comment authorId="0" ref="P197">
      <text>
        <t xml:space="preserve">Possibility of ineffective vaccines is adjusted for elsewhere in the model</t>
      </text>
    </comment>
    <comment authorId="0" ref="Q197">
      <text>
        <t xml:space="preserve">Possibility of ineffective vaccines is adjusted for elsewhere in the model</t>
      </text>
    </comment>
    <comment authorId="0" ref="R197">
      <text>
        <t xml:space="preserve">Possibility of ineffective vaccines is adjusted for elsewhere in the model</t>
      </text>
    </comment>
    <comment authorId="0" ref="S197">
      <text>
        <t xml:space="preserve">Possibility of ineffective vaccines is adjusted for elsewhere in the model</t>
      </text>
    </comment>
    <comment authorId="0" ref="T197">
      <text>
        <t xml:space="preserve">Possibility of ineffective vaccines is adjusted for elsewhere in the model</t>
      </text>
    </comment>
    <comment authorId="0" ref="U197">
      <text>
        <t xml:space="preserve">Possibility of ineffective vaccines is adjusted for elsewhere in the model</t>
      </text>
    </comment>
    <comment authorId="0" ref="V197">
      <text>
        <t xml:space="preserve">Possibility of ineffective vaccines is adjusted for elsewhere in the model</t>
      </text>
    </comment>
    <comment authorId="0" ref="W197">
      <text>
        <t xml:space="preserve">Possibility of ineffective vaccines is adjusted for elsewhere in the model</t>
      </text>
    </comment>
    <comment authorId="0" ref="X197">
      <text>
        <t xml:space="preserve">Possibility of ineffective vaccines is adjusted for elsewhere in the model</t>
      </text>
    </comment>
    <comment authorId="0" ref="Y197">
      <text>
        <t xml:space="preserve">Possibility of ineffective vaccines is adjusted for elsewhere in the model</t>
      </text>
    </comment>
    <comment authorId="0" ref="Z197">
      <text>
        <t xml:space="preserve">Possibility of ineffective vaccines is adjusted for elsewhere in the model</t>
      </text>
    </comment>
    <comment authorId="0" ref="AA197">
      <text>
        <t xml:space="preserve">Possibility of ineffective vaccines is adjusted for elsewhere in the model</t>
      </text>
    </comment>
    <comment authorId="0" ref="AB197">
      <text>
        <t xml:space="preserve">Possibility of ineffective vaccines is adjusted for elsewhere in the model</t>
      </text>
    </comment>
    <comment authorId="0" ref="AC197">
      <text>
        <t xml:space="preserve">Possibility of ineffective vaccines is adjusted for elsewhere in the model</t>
      </text>
    </comment>
    <comment authorId="0" ref="AD197">
      <text>
        <t xml:space="preserve">Possibility of ineffective vaccines is adjusted for elsewhere in the model</t>
      </text>
    </comment>
    <comment authorId="0" ref="AE197">
      <text>
        <t xml:space="preserve">Possibility of ineffective vaccines is adjusted for elsewhere in the model</t>
      </text>
    </comment>
    <comment authorId="0" ref="AF197">
      <text>
        <t xml:space="preserve">Possibility of ineffective vaccines is adjusted for elsewhere in the model</t>
      </text>
    </comment>
    <comment authorId="0" ref="AG197">
      <text>
        <t xml:space="preserve">Possibility of ineffective vaccines is adjusted for elsewhere in the model</t>
      </text>
    </comment>
    <comment authorId="0" ref="AH197">
      <text>
        <t xml:space="preserve">Possibility of ineffective vaccines is adjusted for elsewhere in the model</t>
      </text>
    </comment>
    <comment authorId="0" ref="AI197">
      <text>
        <t xml:space="preserve">Possibility of ineffective vaccines is adjusted for elsewhere in the model</t>
      </text>
    </comment>
    <comment authorId="0" ref="AJ197">
      <text>
        <t xml:space="preserve">Possibility of ineffective vaccines is adjusted for elsewhere in the model</t>
      </text>
    </comment>
    <comment authorId="0" ref="AK197">
      <text>
        <t xml:space="preserve">Possibility of ineffective vaccines is adjusted for elsewhere in the model</t>
      </text>
    </comment>
    <comment authorId="0" ref="AL197">
      <text>
        <t xml:space="preserve">Possibility of ineffective vaccines is adjusted for elsewhere in the model</t>
      </text>
    </comment>
    <comment authorId="0" ref="B198">
      <text>
        <t xml:space="preserve">"Goods purchased and left in storage until they expire" is not applicable to New Incentives, which does not distribute commodities. The value of the cash itself is a very small portion of the benefits we model from New Incentives' program, so we have skipped making an adjustment to the consumption benefits for the risk of fraud. Separate from the adjustment in this row, we consider whether the risk of fraud is higher in the period following the RCT than it was during the RCT. If so, we consider adjusting how effective we expect the cash transfers to be at incentivizing vaccination.</t>
      </text>
    </comment>
    <comment authorId="0" ref="C198">
      <text>
        <t xml:space="preserve">"Goods purchased and left in storage until they expire" is not applicable to New Incentives, which does not distribute commodities. The value of the cash itself is a very small portion of the benefits we model from New Incentives' program, so we have skipped making an adjustment to the consumption benefits for the risk of fraud. Separate from the adjustment in this row, we consider whether the risk of fraud is higher in the period following the RCT than it was during the RCT. If so, we consider adjusting how effective we expect the cash transfers to be at incentivizing vaccination.</t>
      </text>
    </comment>
    <comment authorId="0" ref="D198">
      <text>
        <t xml:space="preserve">"Goods purchased and left in storage until they expire" is not applicable to New Incentives, which does not distribute commodities. The value of the cash itself is a very small portion of the benefits we model from New Incentives' program, so we have skipped making an adjustment to the consumption benefits for the risk of fraud. Separate from the adjustment in this row, we consider whether the risk of fraud is higher in the period following the RCT than it was during the RCT. If so, we consider adjusting how effective we expect the cash transfers to be at incentivizing vaccination.</t>
      </text>
    </comment>
    <comment authorId="0" ref="E198">
      <text>
        <t xml:space="preserve">"Goods purchased and left in storage until they expire" is not applicable to New Incentives, which does not distribute commodities. The value of the cash itself is a very small portion of the benefits we model from New Incentives' program, so we have skipped making an adjustment to the consumption benefits for the risk of fraud. Separate from the adjustment in this row, we consider whether the risk of fraud is higher in the period following the RCT than it was during the RCT. If so, we consider adjusting how effective we expect the cash transfers to be at incentivizing vaccination.</t>
      </text>
    </comment>
    <comment authorId="0" ref="F198">
      <text>
        <t xml:space="preserve">"Goods purchased and left in storage until they expire" is not applicable to New Incentives, which does not distribute commodities. The value of the cash itself is a very small portion of the benefits we model from New Incentives' program, so we have skipped making an adjustment to the consumption benefits for the risk of fraud. Separate from the adjustment in this row, we consider whether the risk of fraud is higher in the period following the RCT than it was during the RCT. If so, we consider adjusting how effective we expect the cash transfers to be at incentivizing vaccination.</t>
      </text>
    </comment>
    <comment authorId="0" ref="G198">
      <text>
        <t xml:space="preserve">"Goods purchased and left in storage until they expire" is not applicable to New Incentives, which does not distribute commodities. The value of the cash itself is a very small portion of the benefits we model from New Incentives' program, so we have skipped making an adjustment to the consumption benefits for the risk of fraud. Separate from the adjustment in this row, we consider whether the risk of fraud is higher in the period following the RCT than it was during the RCT. If so, we consider adjusting how effective we expect the cash transfers to be at incentivizing vaccination.</t>
      </text>
    </comment>
    <comment authorId="0" ref="H198">
      <text>
        <t xml:space="preserve">"Goods purchased and left in storage until they expire" is not applicable to New Incentives, which does not distribute commodities. The value of the cash itself is a very small portion of the benefits we model from New Incentives' program, so we have skipped making an adjustment to the consumption benefits for the risk of fraud. Separate from the adjustment in this row, we consider whether the risk of fraud is higher in the period following the RCT than it was during the RCT. If so, we consider adjusting how effective we expect the cash transfers to be at incentivizing vaccination.</t>
      </text>
    </comment>
    <comment authorId="0" ref="I198">
      <text>
        <t xml:space="preserve">"Goods purchased and left in storage until they expire" is not applicable to New Incentives, which does not distribute commodities. The value of the cash itself is a very small portion of the benefits we model from New Incentives' program, so we have skipped making an adjustment to the consumption benefits for the risk of fraud. Separate from the adjustment in this row, we consider whether the risk of fraud is higher in the period following the RCT than it was during the RCT. If so, we consider adjusting how effective we expect the cash transfers to be at incentivizing vaccination.</t>
      </text>
    </comment>
    <comment authorId="0" ref="J198">
      <text>
        <t xml:space="preserve">"Goods purchased and left in storage until they expire" is not applicable to New Incentives, which does not distribute commodities. The value of the cash itself is a very small portion of the benefits we model from New Incentives' program, so we have skipped making an adjustment to the consumption benefits for the risk of fraud. Separate from the adjustment in this row, we consider whether the risk of fraud is higher in the period following the RCT than it was during the RCT. If so, we consider adjusting how effective we expect the cash transfers to be at incentivizing vaccination.</t>
      </text>
    </comment>
    <comment authorId="0" ref="K198">
      <text>
        <t xml:space="preserve">"Goods purchased and left in storage until they expire" is not applicable to New Incentives, which does not distribute commodities. The value of the cash itself is a very small portion of the benefits we model from New Incentives' program, so we have skipped making an adjustment to the consumption benefits for the risk of fraud. Separate from the adjustment in this row, we consider whether the risk of fraud is higher in the period following the RCT than it was during the RCT. If so, we consider adjusting how effective we expect the cash transfers to be at incentivizing vaccination.</t>
      </text>
    </comment>
    <comment authorId="0" ref="L198">
      <text>
        <t xml:space="preserve">"Goods purchased and left in storage until they expire" is not applicable to New Incentives, which does not distribute commodities. The value of the cash itself is a very small portion of the benefits we model from New Incentives' program, so we have skipped making an adjustment to the consumption benefits for the risk of fraud. Separate from the adjustment in this row, we consider whether the risk of fraud is higher in the period following the RCT than it was during the RCT. If so, we consider adjusting how effective we expect the cash transfers to be at incentivizing vaccination.</t>
      </text>
    </comment>
    <comment authorId="0" ref="M198">
      <text>
        <t xml:space="preserve">"Goods purchased and left in storage until they expire" is not applicable to New Incentives, which does not distribute commodities. The value of the cash itself is a very small portion of the benefits we model from New Incentives' program, so we have skipped making an adjustment to the consumption benefits for the risk of fraud. Separate from the adjustment in this row, we consider whether the risk of fraud is higher in the period following the RCT than it was during the RCT. If so, we consider adjusting how effective we expect the cash transfers to be at incentivizing vaccination.</t>
      </text>
    </comment>
    <comment authorId="0" ref="N198">
      <text>
        <t xml:space="preserve">"Goods purchased and left in storage until they expire" is not applicable to New Incentives, which does not distribute commodities. The value of the cash itself is a very small portion of the benefits we model from New Incentives' program, so we have skipped making an adjustment to the consumption benefits for the risk of fraud. Separate from the adjustment in this row, we consider whether the risk of fraud is higher in the period following the RCT than it was during the RCT. If so, we consider adjusting how effective we expect the cash transfers to be at incentivizing vaccination.</t>
      </text>
    </comment>
    <comment authorId="0" ref="O198">
      <text>
        <t xml:space="preserve">"Goods purchased and left in storage until they expire" is not applicable to New Incentives, which does not distribute commodities. The value of the cash itself is a very small portion of the benefits we model from New Incentives' program, so we have skipped making an adjustment to the consumption benefits for the risk of fraud. Separate from the adjustment in this row, we consider whether the risk of fraud is higher in the period following the RCT than it was during the RCT. If so, we consider adjusting how effective we expect the cash transfers to be at incentivizing vaccination.</t>
      </text>
    </comment>
    <comment authorId="0" ref="P198">
      <text>
        <t xml:space="preserve">"Goods purchased and left in storage until they expire" is not applicable to New Incentives, which does not distribute commodities. The value of the cash itself is a very small portion of the benefits we model from New Incentives' program, so we have skipped making an adjustment to the consumption benefits for the risk of fraud. Separate from the adjustment in this row, we consider whether the risk of fraud is higher in the period following the RCT than it was during the RCT. If so, we consider adjusting how effective we expect the cash transfers to be at incentivizing vaccination.</t>
      </text>
    </comment>
    <comment authorId="0" ref="Q198">
      <text>
        <t xml:space="preserve">"Goods purchased and left in storage until they expire" is not applicable to New Incentives, which does not distribute commodities. The value of the cash itself is a very small portion of the benefits we model from New Incentives' program, so we have skipped making an adjustment to the consumption benefits for the risk of fraud. Separate from the adjustment in this row, we consider whether the risk of fraud is higher in the period following the RCT than it was during the RCT. If so, we consider adjusting how effective we expect the cash transfers to be at incentivizing vaccination.</t>
      </text>
    </comment>
    <comment authorId="0" ref="R198">
      <text>
        <t xml:space="preserve">"Goods purchased and left in storage until they expire" is not applicable to New Incentives, which does not distribute commodities. The value of the cash itself is a very small portion of the benefits we model from New Incentives' program, so we have skipped making an adjustment to the consumption benefits for the risk of fraud. Separate from the adjustment in this row, we consider whether the risk of fraud is higher in the period following the RCT than it was during the RCT. If so, we consider adjusting how effective we expect the cash transfers to be at incentivizing vaccination.</t>
      </text>
    </comment>
    <comment authorId="0" ref="S198">
      <text>
        <t xml:space="preserve">"Goods purchased and left in storage until they expire" is not applicable to New Incentives, which does not distribute commodities. The value of the cash itself is a very small portion of the benefits we model from New Incentives' program, so we have skipped making an adjustment to the consumption benefits for the risk of fraud. Separate from the adjustment in this row, we consider whether the risk of fraud is higher in the period following the RCT than it was during the RCT. If so, we consider adjusting how effective we expect the cash transfers to be at incentivizing vaccination.</t>
      </text>
    </comment>
    <comment authorId="0" ref="T198">
      <text>
        <t xml:space="preserve">"Goods purchased and left in storage until they expire" is not applicable to New Incentives, which does not distribute commodities. The value of the cash itself is a very small portion of the benefits we model from New Incentives' program, so we have skipped making an adjustment to the consumption benefits for the risk of fraud. Separate from the adjustment in this row, we consider whether the risk of fraud is higher in the period following the RCT than it was during the RCT. If so, we consider adjusting how effective we expect the cash transfers to be at incentivizing vaccination.</t>
      </text>
    </comment>
    <comment authorId="0" ref="U198">
      <text>
        <t xml:space="preserve">"Goods purchased and left in storage until they expire" is not applicable to New Incentives, which does not distribute commodities. The value of the cash itself is a very small portion of the benefits we model from New Incentives' program, so we have skipped making an adjustment to the consumption benefits for the risk of fraud. Separate from the adjustment in this row, we consider whether the risk of fraud is higher in the period following the RCT than it was during the RCT. If so, we consider adjusting how effective we expect the cash transfers to be at incentivizing vaccination.</t>
      </text>
    </comment>
    <comment authorId="0" ref="V198">
      <text>
        <t xml:space="preserve">"Goods purchased and left in storage until they expire" is not applicable to New Incentives, which does not distribute commodities. The value of the cash itself is a very small portion of the benefits we model from New Incentives' program, so we have skipped making an adjustment to the consumption benefits for the risk of fraud. Separate from the adjustment in this row, we consider whether the risk of fraud is higher in the period following the RCT than it was during the RCT. If so, we consider adjusting how effective we expect the cash transfers to be at incentivizing vaccination.</t>
      </text>
    </comment>
    <comment authorId="0" ref="W198">
      <text>
        <t xml:space="preserve">"Goods purchased and left in storage until they expire" is not applicable to New Incentives, which does not distribute commodities. The value of the cash itself is a very small portion of the benefits we model from New Incentives' program, so we have skipped making an adjustment to the consumption benefits for the risk of fraud. Separate from the adjustment in this row, we consider whether the risk of fraud is higher in the period following the RCT than it was during the RCT. If so, we consider adjusting how effective we expect the cash transfers to be at incentivizing vaccination.</t>
      </text>
    </comment>
    <comment authorId="0" ref="X198">
      <text>
        <t xml:space="preserve">"Goods purchased and left in storage until they expire" is not applicable to New Incentives, which does not distribute commodities. The value of the cash itself is a very small portion of the benefits we model from New Incentives' program, so we have skipped making an adjustment to the consumption benefits for the risk of fraud. Separate from the adjustment in this row, we consider whether the risk of fraud is higher in the period following the RCT than it was during the RCT. If so, we consider adjusting how effective we expect the cash transfers to be at incentivizing vaccination.</t>
      </text>
    </comment>
    <comment authorId="0" ref="Y198">
      <text>
        <t xml:space="preserve">"Goods purchased and left in storage until they expire" is not applicable to New Incentives, which does not distribute commodities. The value of the cash itself is a very small portion of the benefits we model from New Incentives' program, so we have skipped making an adjustment to the consumption benefits for the risk of fraud. Separate from the adjustment in this row, we consider whether the risk of fraud is higher in the period following the RCT than it was during the RCT. If so, we consider adjusting how effective we expect the cash transfers to be at incentivizing vaccination.</t>
      </text>
    </comment>
    <comment authorId="0" ref="Z198">
      <text>
        <t xml:space="preserve">"Goods purchased and left in storage until they expire" is not applicable to New Incentives, which does not distribute commodities. The value of the cash itself is a very small portion of the benefits we model from New Incentives' program, so we have skipped making an adjustment to the consumption benefits for the risk of fraud. Separate from the adjustment in this row, we consider whether the risk of fraud is higher in the period following the RCT than it was during the RCT. If so, we consider adjusting how effective we expect the cash transfers to be at incentivizing vaccination.</t>
      </text>
    </comment>
    <comment authorId="0" ref="AA198">
      <text>
        <t xml:space="preserve">"Goods purchased and left in storage until they expire" is not applicable to New Incentives, which does not distribute commodities. The value of the cash itself is a very small portion of the benefits we model from New Incentives' program, so we have skipped making an adjustment to the consumption benefits for the risk of fraud. Separate from the adjustment in this row, we consider whether the risk of fraud is higher in the period following the RCT than it was during the RCT. If so, we consider adjusting how effective we expect the cash transfers to be at incentivizing vaccination.</t>
      </text>
    </comment>
    <comment authorId="0" ref="AB198">
      <text>
        <t xml:space="preserve">"Goods purchased and left in storage until they expire" is not applicable to New Incentives, which does not distribute commodities. The value of the cash itself is a very small portion of the benefits we model from New Incentives' program, so we have skipped making an adjustment to the consumption benefits for the risk of fraud. Separate from the adjustment in this row, we consider whether the risk of fraud is higher in the period following the RCT than it was during the RCT. If so, we consider adjusting how effective we expect the cash transfers to be at incentivizing vaccination.</t>
      </text>
    </comment>
    <comment authorId="0" ref="AC198">
      <text>
        <t xml:space="preserve">"Goods purchased and left in storage until they expire" is not applicable to New Incentives, which does not distribute commodities. The value of the cash itself is a very small portion of the benefits we model from New Incentives' program, so we have skipped making an adjustment to the consumption benefits for the risk of fraud. Separate from the adjustment in this row, we consider whether the risk of fraud is higher in the period following the RCT than it was during the RCT. If so, we consider adjusting how effective we expect the cash transfers to be at incentivizing vaccination.</t>
      </text>
    </comment>
    <comment authorId="0" ref="AD198">
      <text>
        <t xml:space="preserve">"Goods purchased and left in storage until they expire" is not applicable to New Incentives, which does not distribute commodities. The value of the cash itself is a very small portion of the benefits we model from New Incentives' program, so we have skipped making an adjustment to the consumption benefits for the risk of fraud. Separate from the adjustment in this row, we consider whether the risk of fraud is higher in the period following the RCT than it was during the RCT. If so, we consider adjusting how effective we expect the cash transfers to be at incentivizing vaccination.</t>
      </text>
    </comment>
    <comment authorId="0" ref="AE198">
      <text>
        <t xml:space="preserve">"Goods purchased and left in storage until they expire" is not applicable to New Incentives, which does not distribute commodities. The value of the cash itself is a very small portion of the benefits we model from New Incentives' program, so we have skipped making an adjustment to the consumption benefits for the risk of fraud. Separate from the adjustment in this row, we consider whether the risk of fraud is higher in the period following the RCT than it was during the RCT. If so, we consider adjusting how effective we expect the cash transfers to be at incentivizing vaccination.</t>
      </text>
    </comment>
    <comment authorId="0" ref="AF198">
      <text>
        <t xml:space="preserve">"Goods purchased and left in storage until they expire" is not applicable to New Incentives, which does not distribute commodities. The value of the cash itself is a very small portion of the benefits we model from New Incentives' program, so we have skipped making an adjustment to the consumption benefits for the risk of fraud. Separate from the adjustment in this row, we consider whether the risk of fraud is higher in the period following the RCT than it was during the RCT. If so, we consider adjusting how effective we expect the cash transfers to be at incentivizing vaccination.</t>
      </text>
    </comment>
    <comment authorId="0" ref="AG198">
      <text>
        <t xml:space="preserve">"Goods purchased and left in storage until they expire" is not applicable to New Incentives, which does not distribute commodities. The value of the cash itself is a very small portion of the benefits we model from New Incentives' program, so we have skipped making an adjustment to the consumption benefits for the risk of fraud. Separate from the adjustment in this row, we consider whether the risk of fraud is higher in the period following the RCT than it was during the RCT. If so, we consider adjusting how effective we expect the cash transfers to be at incentivizing vaccination.</t>
      </text>
    </comment>
    <comment authorId="0" ref="AH198">
      <text>
        <t xml:space="preserve">"Goods purchased and left in storage until they expire" is not applicable to New Incentives, which does not distribute commodities. The value of the cash itself is a very small portion of the benefits we model from New Incentives' program, so we have skipped making an adjustment to the consumption benefits for the risk of fraud. Separate from the adjustment in this row, we consider whether the risk of fraud is higher in the period following the RCT than it was during the RCT. If so, we consider adjusting how effective we expect the cash transfers to be at incentivizing vaccination.</t>
      </text>
    </comment>
    <comment authorId="0" ref="AI198">
      <text>
        <t xml:space="preserve">"Goods purchased and left in storage until they expire" is not applicable to New Incentives, which does not distribute commodities. The value of the cash itself is a very small portion of the benefits we model from New Incentives' program, so we have skipped making an adjustment to the consumption benefits for the risk of fraud. Separate from the adjustment in this row, we consider whether the risk of fraud is higher in the period following the RCT than it was during the RCT. If so, we consider adjusting how effective we expect the cash transfers to be at incentivizing vaccination.</t>
      </text>
    </comment>
    <comment authorId="0" ref="AJ198">
      <text>
        <t xml:space="preserve">"Goods purchased and left in storage until they expire" is not applicable to New Incentives, which does not distribute commodities. The value of the cash itself is a very small portion of the benefits we model from New Incentives' program, so we have skipped making an adjustment to the consumption benefits for the risk of fraud. Separate from the adjustment in this row, we consider whether the risk of fraud is higher in the period following the RCT than it was during the RCT. If so, we consider adjusting how effective we expect the cash transfers to be at incentivizing vaccination.</t>
      </text>
    </comment>
    <comment authorId="0" ref="AK198">
      <text>
        <t xml:space="preserve">"Goods purchased and left in storage until they expire" is not applicable to New Incentives, which does not distribute commodities. The value of the cash itself is a very small portion of the benefits we model from New Incentives' program, so we have skipped making an adjustment to the consumption benefits for the risk of fraud. Separate from the adjustment in this row, we consider whether the risk of fraud is higher in the period following the RCT than it was during the RCT. If so, we consider adjusting how effective we expect the cash transfers to be at incentivizing vaccination.</t>
      </text>
    </comment>
    <comment authorId="0" ref="AL198">
      <text>
        <t xml:space="preserve">"Goods purchased and left in storage until they expire" is not applicable to New Incentives, which does not distribute commodities. The value of the cash itself is a very small portion of the benefits we model from New Incentives' program, so we have skipped making an adjustment to the consumption benefits for the risk of fraud. Separate from the adjustment in this row, we consider whether the risk of fraud is higher in the period following the RCT than it was during the RCT. If so, we consider adjusting how effective we expect the cash transfers to be at incentivizing vaccination.</t>
      </text>
    </comment>
    <comment authorId="0" ref="A202">
      <text>
        <t xml:space="preserve">Scenario: Charity sends money/goods to a country/partner and the country/partner reports back that they carried out the program and reached a certain number of people, but these results are partially or fully fabricated and we do not have monitoring results from those locations.</t>
      </text>
    </comment>
    <comment authorId="0" ref="B202">
      <text>
        <t xml:space="preserve">To date, New Incentives monitoring has been comprehensive of its activities.
</t>
      </text>
    </comment>
    <comment authorId="0" ref="C202">
      <text>
        <t xml:space="preserve">To date, New Incentives monitoring has been comprehensive of its activities.
</t>
      </text>
    </comment>
    <comment authorId="0" ref="D202">
      <text>
        <t xml:space="preserve">To date, New Incentives monitoring has been comprehensive of its activities.
</t>
      </text>
    </comment>
    <comment authorId="0" ref="E202">
      <text>
        <t xml:space="preserve">To date, New Incentives monitoring has been comprehensive of its activities.
</t>
      </text>
    </comment>
    <comment authorId="0" ref="F202">
      <text>
        <t xml:space="preserve">To date, New Incentives monitoring has been comprehensive of its activities.
</t>
      </text>
    </comment>
    <comment authorId="0" ref="G202">
      <text>
        <t xml:space="preserve">To date, New Incentives monitoring has been comprehensive of its activities.
</t>
      </text>
    </comment>
    <comment authorId="0" ref="H202">
      <text>
        <t xml:space="preserve">To date, New Incentives monitoring has been comprehensive of its activities.
</t>
      </text>
    </comment>
    <comment authorId="0" ref="I202">
      <text>
        <t xml:space="preserve">To date, New Incentives monitoring has been comprehensive of its activities.
</t>
      </text>
    </comment>
    <comment authorId="0" ref="J202">
      <text>
        <t xml:space="preserve">To date, New Incentives monitoring has been comprehensive of its activities.
</t>
      </text>
    </comment>
    <comment authorId="0" ref="K202">
      <text>
        <t xml:space="preserve">To date, New Incentives monitoring has been comprehensive of its activities.
</t>
      </text>
    </comment>
    <comment authorId="0" ref="L202">
      <text>
        <t xml:space="preserve">To date, New Incentives monitoring has been comprehensive of its activities.
</t>
      </text>
    </comment>
    <comment authorId="0" ref="M202">
      <text>
        <t xml:space="preserve">To date, New Incentives monitoring has been comprehensive of its activities.
</t>
      </text>
    </comment>
    <comment authorId="0" ref="N202">
      <text>
        <t xml:space="preserve">To date, New Incentives monitoring has been comprehensive of its activities.
</t>
      </text>
    </comment>
    <comment authorId="0" ref="O202">
      <text>
        <t xml:space="preserve">To date, New Incentives monitoring has been comprehensive of its activities.
</t>
      </text>
    </comment>
    <comment authorId="0" ref="P202">
      <text>
        <t xml:space="preserve">To date, New Incentives monitoring has been comprehensive of its activities.
</t>
      </text>
    </comment>
    <comment authorId="0" ref="Q202">
      <text>
        <t xml:space="preserve">To date, New Incentives monitoring has been comprehensive of its activities.
</t>
      </text>
    </comment>
    <comment authorId="0" ref="R202">
      <text>
        <t xml:space="preserve">To date, New Incentives monitoring has been comprehensive of its activities.
</t>
      </text>
    </comment>
    <comment authorId="0" ref="S202">
      <text>
        <t xml:space="preserve">To date, New Incentives monitoring has been comprehensive of its activities.
</t>
      </text>
    </comment>
    <comment authorId="0" ref="T202">
      <text>
        <t xml:space="preserve">To date, New Incentives monitoring has been comprehensive of its activities.
</t>
      </text>
    </comment>
    <comment authorId="0" ref="U202">
      <text>
        <t xml:space="preserve">To date, New Incentives monitoring has been comprehensive of its activities.
</t>
      </text>
    </comment>
    <comment authorId="0" ref="V202">
      <text>
        <t xml:space="preserve">To date, New Incentives monitoring has been comprehensive of its activities.
</t>
      </text>
    </comment>
    <comment authorId="0" ref="W202">
      <text>
        <t xml:space="preserve">To date, New Incentives monitoring has been comprehensive of its activities.
</t>
      </text>
    </comment>
    <comment authorId="0" ref="X202">
      <text>
        <t xml:space="preserve">To date, New Incentives monitoring has been comprehensive of its activities.
</t>
      </text>
    </comment>
    <comment authorId="0" ref="Y202">
      <text>
        <t xml:space="preserve">To date, New Incentives monitoring has been comprehensive of its activities.
</t>
      </text>
    </comment>
    <comment authorId="0" ref="Z202">
      <text>
        <t xml:space="preserve">To date, New Incentives monitoring has been comprehensive of its activities.
</t>
      </text>
    </comment>
    <comment authorId="0" ref="AA202">
      <text>
        <t xml:space="preserve">To date, New Incentives monitoring has been comprehensive of its activities.
</t>
      </text>
    </comment>
    <comment authorId="0" ref="AB202">
      <text>
        <t xml:space="preserve">To date, New Incentives monitoring has been comprehensive of its activities.
</t>
      </text>
    </comment>
    <comment authorId="0" ref="AC202">
      <text>
        <t xml:space="preserve">To date, New Incentives monitoring has been comprehensive of its activities.
</t>
      </text>
    </comment>
    <comment authorId="0" ref="AD202">
      <text>
        <t xml:space="preserve">To date, New Incentives monitoring has been comprehensive of its activities.
</t>
      </text>
    </comment>
    <comment authorId="0" ref="AE202">
      <text>
        <t xml:space="preserve">To date, New Incentives monitoring has been comprehensive of its activities.
</t>
      </text>
    </comment>
    <comment authorId="0" ref="AF202">
      <text>
        <t xml:space="preserve">To date, New Incentives monitoring has been comprehensive of its activities.
</t>
      </text>
    </comment>
    <comment authorId="0" ref="AG202">
      <text>
        <t xml:space="preserve">To date, New Incentives monitoring has been comprehensive of its activities.
</t>
      </text>
    </comment>
    <comment authorId="0" ref="AH202">
      <text>
        <t xml:space="preserve">To date, New Incentives monitoring has been comprehensive of its activities.
</t>
      </text>
    </comment>
    <comment authorId="0" ref="AI202">
      <text>
        <t xml:space="preserve">To date, New Incentives monitoring has been comprehensive of its activities.
</t>
      </text>
    </comment>
    <comment authorId="0" ref="AJ202">
      <text>
        <t xml:space="preserve">To date, New Incentives monitoring has been comprehensive of its activities.
</t>
      </text>
    </comment>
    <comment authorId="0" ref="AK202">
      <text>
        <t xml:space="preserve">To date, New Incentives monitoring has been comprehensive of its activities.
</t>
      </text>
    </comment>
    <comment authorId="0" ref="AL202">
      <text>
        <t xml:space="preserve">To date, New Incentives monitoring has been comprehensive of its activities.
</t>
      </text>
    </comment>
    <comment authorId="0" ref="A203">
      <text>
        <t xml:space="preserve">Scenario: The monitoring results that we've received are partially or fully fabricated or significantly biased in some way we are unaware of, leading us to believe that results are better than they actually were.</t>
      </text>
    </comment>
    <comment authorId="0" ref="B203">
      <text>
        <t xml:space="preserve">We have relatively high confidence in New Incentives' monitoring, which involves multiple rounds of checks and audits by different teams. We make a small downward adjustment to account for our having spent more total time over years of review interrogating some of our other top charities' monitoring methods, relative to a single round of intensive review of New Incentives' monitoring before adding it to our list of top charities in 2020. 
</t>
      </text>
    </comment>
    <comment authorId="0" ref="C203">
      <text>
        <t xml:space="preserve">We have relatively high confidence in New Incentives' monitoring, which involves multiple rounds of checks and audits by different teams. We make a small downward adjustment to account for our having spent more total time over years of review interrogating some of our other top charities' monitoring methods, relative to a single round of intensive review of New Incentives' monitoring before adding it to our list of top charities in 2020. 
</t>
      </text>
    </comment>
    <comment authorId="0" ref="D203">
      <text>
        <t xml:space="preserve">We have relatively high confidence in New Incentives' monitoring, which involves multiple rounds of checks and audits by different teams. We make a small downward adjustment to account for our having spent more total time over years of review interrogating some of our other top charities' monitoring methods, relative to a single round of intensive review of New Incentives' monitoring before adding it to our list of top charities in 2020. 
</t>
      </text>
    </comment>
    <comment authorId="0" ref="E203">
      <text>
        <t xml:space="preserve">We have relatively high confidence in New Incentives' monitoring, which involves multiple rounds of checks and audits by different teams. We make a small downward adjustment to account for our having spent more total time over years of review interrogating some of our other top charities' monitoring methods, relative to a single round of intensive review of New Incentives' monitoring before adding it to our list of top charities in 2020. 
</t>
      </text>
    </comment>
    <comment authorId="0" ref="F203">
      <text>
        <t xml:space="preserve">We have relatively high confidence in New Incentives' monitoring, which involves multiple rounds of checks and audits by different teams. We make a small downward adjustment to account for our having spent more total time over years of review interrogating some of our other top charities' monitoring methods, relative to a single round of intensive review of New Incentives' monitoring before adding it to our list of top charities in 2020. 
</t>
      </text>
    </comment>
    <comment authorId="0" ref="G203">
      <text>
        <t xml:space="preserve">We have relatively high confidence in New Incentives' monitoring, which involves multiple rounds of checks and audits by different teams. We make a small downward adjustment to account for our having spent more total time over years of review interrogating some of our other top charities' monitoring methods, relative to a single round of intensive review of New Incentives' monitoring before adding it to our list of top charities in 2020. 
</t>
      </text>
    </comment>
    <comment authorId="0" ref="H203">
      <text>
        <t xml:space="preserve">We have relatively high confidence in New Incentives' monitoring, which involves multiple rounds of checks and audits by different teams. We make a small downward adjustment to account for our having spent more total time over years of review interrogating some of our other top charities' monitoring methods, relative to a single round of intensive review of New Incentives' monitoring before adding it to our list of top charities in 2020. 
</t>
      </text>
    </comment>
    <comment authorId="0" ref="I203">
      <text>
        <t xml:space="preserve">We have relatively high confidence in New Incentives' monitoring, which involves multiple rounds of checks and audits by different teams. We make a small downward adjustment to account for our having spent more total time over years of review interrogating some of our other top charities' monitoring methods, relative to a single round of intensive review of New Incentives' monitoring before adding it to our list of top charities in 2020. 
</t>
      </text>
    </comment>
    <comment authorId="0" ref="J203">
      <text>
        <t xml:space="preserve">We have relatively high confidence in New Incentives' monitoring, which involves multiple rounds of checks and audits by different teams. We make a small downward adjustment to account for our having spent more total time over years of review interrogating some of our other top charities' monitoring methods, relative to a single round of intensive review of New Incentives' monitoring before adding it to our list of top charities in 2020. 
</t>
      </text>
    </comment>
    <comment authorId="0" ref="K203">
      <text>
        <t xml:space="preserve">We have relatively high confidence in New Incentives' monitoring, which involves multiple rounds of checks and audits by different teams. We make a small downward adjustment to account for our having spent more total time over years of review interrogating some of our other top charities' monitoring methods, relative to a single round of intensive review of New Incentives' monitoring before adding it to our list of top charities in 2020. 
</t>
      </text>
    </comment>
    <comment authorId="0" ref="L203">
      <text>
        <t xml:space="preserve">We have relatively high confidence in New Incentives' monitoring, which involves multiple rounds of checks and audits by different teams. We make a small downward adjustment to account for our having spent more total time over years of review interrogating some of our other top charities' monitoring methods, relative to a single round of intensive review of New Incentives' monitoring before adding it to our list of top charities in 2020. 
</t>
      </text>
    </comment>
    <comment authorId="0" ref="M203">
      <text>
        <t xml:space="preserve">We have relatively high confidence in New Incentives' monitoring, which involves multiple rounds of checks and audits by different teams. We make a small downward adjustment to account for our having spent more total time over years of review interrogating some of our other top charities' monitoring methods, relative to a single round of intensive review of New Incentives' monitoring before adding it to our list of top charities in 2020. 
</t>
      </text>
    </comment>
    <comment authorId="0" ref="N203">
      <text>
        <t xml:space="preserve">We have relatively high confidence in New Incentives' monitoring, which involves multiple rounds of checks and audits by different teams. We make a small downward adjustment to account for our having spent more total time over years of review interrogating some of our other top charities' monitoring methods, relative to a single round of intensive review of New Incentives' monitoring before adding it to our list of top charities in 2020. 
</t>
      </text>
    </comment>
    <comment authorId="0" ref="O203">
      <text>
        <t xml:space="preserve">We have relatively high confidence in New Incentives' monitoring, which involves multiple rounds of checks and audits by different teams. We make a small downward adjustment to account for our having spent more total time over years of review interrogating some of our other top charities' monitoring methods, relative to a single round of intensive review of New Incentives' monitoring before adding it to our list of top charities in 2020. 
</t>
      </text>
    </comment>
    <comment authorId="0" ref="P203">
      <text>
        <t xml:space="preserve">We have relatively high confidence in New Incentives' monitoring, which involves multiple rounds of checks and audits by different teams. We make a small downward adjustment to account for our having spent more total time over years of review interrogating some of our other top charities' monitoring methods, relative to a single round of intensive review of New Incentives' monitoring before adding it to our list of top charities in 2020. 
</t>
      </text>
    </comment>
    <comment authorId="0" ref="Q203">
      <text>
        <t xml:space="preserve">We have relatively high confidence in New Incentives' monitoring, which involves multiple rounds of checks and audits by different teams. We make a small downward adjustment to account for our having spent more total time over years of review interrogating some of our other top charities' monitoring methods, relative to a single round of intensive review of New Incentives' monitoring before adding it to our list of top charities in 2020. 
</t>
      </text>
    </comment>
    <comment authorId="0" ref="R203">
      <text>
        <t xml:space="preserve">We have relatively high confidence in New Incentives' monitoring, which involves multiple rounds of checks and audits by different teams. We make a small downward adjustment to account for our having spent more total time over years of review interrogating some of our other top charities' monitoring methods, relative to a single round of intensive review of New Incentives' monitoring before adding it to our list of top charities in 2020. 
</t>
      </text>
    </comment>
    <comment authorId="0" ref="S203">
      <text>
        <t xml:space="preserve">We have relatively high confidence in New Incentives' monitoring, which involves multiple rounds of checks and audits by different teams. We make a small downward adjustment to account for our having spent more total time over years of review interrogating some of our other top charities' monitoring methods, relative to a single round of intensive review of New Incentives' monitoring before adding it to our list of top charities in 2020. 
</t>
      </text>
    </comment>
    <comment authorId="0" ref="T203">
      <text>
        <t xml:space="preserve">We have relatively high confidence in New Incentives' monitoring, which involves multiple rounds of checks and audits by different teams. We make a small downward adjustment to account for our having spent more total time over years of review interrogating some of our other top charities' monitoring methods, relative to a single round of intensive review of New Incentives' monitoring before adding it to our list of top charities in 2020. 
</t>
      </text>
    </comment>
    <comment authorId="0" ref="U203">
      <text>
        <t xml:space="preserve">We have relatively high confidence in New Incentives' monitoring, which involves multiple rounds of checks and audits by different teams. We make a small downward adjustment to account for our having spent more total time over years of review interrogating some of our other top charities' monitoring methods, relative to a single round of intensive review of New Incentives' monitoring before adding it to our list of top charities in 2020. 
</t>
      </text>
    </comment>
    <comment authorId="0" ref="V203">
      <text>
        <t xml:space="preserve">We have relatively high confidence in New Incentives' monitoring, which involves multiple rounds of checks and audits by different teams. We make a small downward adjustment to account for our having spent more total time over years of review interrogating some of our other top charities' monitoring methods, relative to a single round of intensive review of New Incentives' monitoring before adding it to our list of top charities in 2020. 
</t>
      </text>
    </comment>
    <comment authorId="0" ref="W203">
      <text>
        <t xml:space="preserve">We have relatively high confidence in New Incentives' monitoring, which involves multiple rounds of checks and audits by different teams. We make a small downward adjustment to account for our having spent more total time over years of review interrogating some of our other top charities' monitoring methods, relative to a single round of intensive review of New Incentives' monitoring before adding it to our list of top charities in 2020. 
</t>
      </text>
    </comment>
    <comment authorId="0" ref="X203">
      <text>
        <t xml:space="preserve">We have relatively high confidence in New Incentives' monitoring, which involves multiple rounds of checks and audits by different teams. We make a small downward adjustment to account for our having spent more total time over years of review interrogating some of our other top charities' monitoring methods, relative to a single round of intensive review of New Incentives' monitoring before adding it to our list of top charities in 2020. 
</t>
      </text>
    </comment>
    <comment authorId="0" ref="Y203">
      <text>
        <t xml:space="preserve">We have relatively high confidence in New Incentives' monitoring, which involves multiple rounds of checks and audits by different teams. We make a small downward adjustment to account for our having spent more total time over years of review interrogating some of our other top charities' monitoring methods, relative to a single round of intensive review of New Incentives' monitoring before adding it to our list of top charities in 2020. 
</t>
      </text>
    </comment>
    <comment authorId="0" ref="Z203">
      <text>
        <t xml:space="preserve">We have relatively high confidence in New Incentives' monitoring, which involves multiple rounds of checks and audits by different teams. We make a small downward adjustment to account for our having spent more total time over years of review interrogating some of our other top charities' monitoring methods, relative to a single round of intensive review of New Incentives' monitoring before adding it to our list of top charities in 2020. 
</t>
      </text>
    </comment>
    <comment authorId="0" ref="AA203">
      <text>
        <t xml:space="preserve">We have relatively high confidence in New Incentives' monitoring, which involves multiple rounds of checks and audits by different teams. We make a small downward adjustment to account for our having spent more total time over years of review interrogating some of our other top charities' monitoring methods, relative to a single round of intensive review of New Incentives' monitoring before adding it to our list of top charities in 2020. 
</t>
      </text>
    </comment>
    <comment authorId="0" ref="AB203">
      <text>
        <t xml:space="preserve">We have relatively high confidence in New Incentives' monitoring, which involves multiple rounds of checks and audits by different teams. We make a small downward adjustment to account for our having spent more total time over years of review interrogating some of our other top charities' monitoring methods, relative to a single round of intensive review of New Incentives' monitoring before adding it to our list of top charities in 2020. 
</t>
      </text>
    </comment>
    <comment authorId="0" ref="AC203">
      <text>
        <t xml:space="preserve">We have relatively high confidence in New Incentives' monitoring, which involves multiple rounds of checks and audits by different teams. We make a small downward adjustment to account for our having spent more total time over years of review interrogating some of our other top charities' monitoring methods, relative to a single round of intensive review of New Incentives' monitoring before adding it to our list of top charities in 2020. 
</t>
      </text>
    </comment>
    <comment authorId="0" ref="AD203">
      <text>
        <t xml:space="preserve">We have relatively high confidence in New Incentives' monitoring, which involves multiple rounds of checks and audits by different teams. We make a small downward adjustment to account for our having spent more total time over years of review interrogating some of our other top charities' monitoring methods, relative to a single round of intensive review of New Incentives' monitoring before adding it to our list of top charities in 2020. 
</t>
      </text>
    </comment>
    <comment authorId="0" ref="AE203">
      <text>
        <t xml:space="preserve">We have relatively high confidence in New Incentives' monitoring, which involves multiple rounds of checks and audits by different teams. We make a small downward adjustment to account for our having spent more total time over years of review interrogating some of our other top charities' monitoring methods, relative to a single round of intensive review of New Incentives' monitoring before adding it to our list of top charities in 2020. 
</t>
      </text>
    </comment>
    <comment authorId="0" ref="AF203">
      <text>
        <t xml:space="preserve">We have relatively high confidence in New Incentives' monitoring, which involves multiple rounds of checks and audits by different teams. We make a small downward adjustment to account for our having spent more total time over years of review interrogating some of our other top charities' monitoring methods, relative to a single round of intensive review of New Incentives' monitoring before adding it to our list of top charities in 2020. 
</t>
      </text>
    </comment>
    <comment authorId="0" ref="AG203">
      <text>
        <t xml:space="preserve">We have relatively high confidence in New Incentives' monitoring, which involves multiple rounds of checks and audits by different teams. We make a small downward adjustment to account for our having spent more total time over years of review interrogating some of our other top charities' monitoring methods, relative to a single round of intensive review of New Incentives' monitoring before adding it to our list of top charities in 2020. 
</t>
      </text>
    </comment>
    <comment authorId="0" ref="AH203">
      <text>
        <t xml:space="preserve">We have relatively high confidence in New Incentives' monitoring, which involves multiple rounds of checks and audits by different teams. We make a small downward adjustment to account for our having spent more total time over years of review interrogating some of our other top charities' monitoring methods, relative to a single round of intensive review of New Incentives' monitoring before adding it to our list of top charities in 2020. 
</t>
      </text>
    </comment>
    <comment authorId="0" ref="AI203">
      <text>
        <t xml:space="preserve">We have relatively high confidence in New Incentives' monitoring, which involves multiple rounds of checks and audits by different teams. We make a small downward adjustment to account for our having spent more total time over years of review interrogating some of our other top charities' monitoring methods, relative to a single round of intensive review of New Incentives' monitoring before adding it to our list of top charities in 2020. 
</t>
      </text>
    </comment>
    <comment authorId="0" ref="AJ203">
      <text>
        <t xml:space="preserve">We have relatively high confidence in New Incentives' monitoring, which involves multiple rounds of checks and audits by different teams. We make a small downward adjustment to account for our having spent more total time over years of review interrogating some of our other top charities' monitoring methods, relative to a single round of intensive review of New Incentives' monitoring before adding it to our list of top charities in 2020. 
</t>
      </text>
    </comment>
    <comment authorId="0" ref="AK203">
      <text>
        <t xml:space="preserve">We have relatively high confidence in New Incentives' monitoring, which involves multiple rounds of checks and audits by different teams. We make a small downward adjustment to account for our having spent more total time over years of review interrogating some of our other top charities' monitoring methods, relative to a single round of intensive review of New Incentives' monitoring before adding it to our list of top charities in 2020. 
</t>
      </text>
    </comment>
    <comment authorId="0" ref="AL203">
      <text>
        <t xml:space="preserve">We have relatively high confidence in New Incentives' monitoring, which involves multiple rounds of checks and audits by different teams. We make a small downward adjustment to account for our having spent more total time over years of review interrogating some of our other top charities' monitoring methods, relative to a single round of intensive review of New Incentives' monitoring before adding it to our list of top charities in 2020. 
</t>
      </text>
    </comment>
    <comment authorId="0" ref="A207">
      <text>
        <t xml:space="preserve">Scenario: Charity decides to use some of the funding we directed to them to fund some research or other work that they see as being related to the program, but we don't find valuable. This would affect our cost per output analyses once it happened, so in many cases, no additional adjustment is needed. We may use a higher adjustment value for charities we have less experience with.</t>
      </text>
    </comment>
    <comment authorId="0" ref="B207">
      <text>
        <t xml:space="preserve">We do not believe that this is a meaningful risk with New Incentives, which runs a single program. Our impression from conversations with New Incentives is that it is seeking to implement the program with high fidelity to the way it was implemented during the RCT because deviations from that model could undermine New Incentives' and GiveWell's confidence that the program was continuing to have a similar level of impact.
</t>
      </text>
    </comment>
    <comment authorId="0" ref="C207">
      <text>
        <t xml:space="preserve">We do not believe that this is a meaningful risk with New Incentives, which runs a single program. Our impression from conversations with New Incentives is that it is seeking to implement the program with high fidelity to the way it was implemented during the RCT because deviations from that model could undermine New Incentives' and GiveWell's confidence that the program was continuing to have a similar level of impact.
</t>
      </text>
    </comment>
    <comment authorId="0" ref="D207">
      <text>
        <t xml:space="preserve">We do not believe that this is a meaningful risk with New Incentives, which runs a single program. Our impression from conversations with New Incentives is that it is seeking to implement the program with high fidelity to the way it was implemented during the RCT because deviations from that model could undermine New Incentives' and GiveWell's confidence that the program was continuing to have a similar level of impact.
</t>
      </text>
    </comment>
    <comment authorId="0" ref="E207">
      <text>
        <t xml:space="preserve">We do not believe that this is a meaningful risk with New Incentives, which runs a single program. Our impression from conversations with New Incentives is that it is seeking to implement the program with high fidelity to the way it was implemented during the RCT because deviations from that model could undermine New Incentives' and GiveWell's confidence that the program was continuing to have a similar level of impact.
</t>
      </text>
    </comment>
    <comment authorId="0" ref="F207">
      <text>
        <t xml:space="preserve">We do not believe that this is a meaningful risk with New Incentives, which runs a single program. Our impression from conversations with New Incentives is that it is seeking to implement the program with high fidelity to the way it was implemented during the RCT because deviations from that model could undermine New Incentives' and GiveWell's confidence that the program was continuing to have a similar level of impact.
</t>
      </text>
    </comment>
    <comment authorId="0" ref="G207">
      <text>
        <t xml:space="preserve">We do not believe that this is a meaningful risk with New Incentives, which runs a single program. Our impression from conversations with New Incentives is that it is seeking to implement the program with high fidelity to the way it was implemented during the RCT because deviations from that model could undermine New Incentives' and GiveWell's confidence that the program was continuing to have a similar level of impact.
</t>
      </text>
    </comment>
    <comment authorId="0" ref="H207">
      <text>
        <t xml:space="preserve">We do not believe that this is a meaningful risk with New Incentives, which runs a single program. Our impression from conversations with New Incentives is that it is seeking to implement the program with high fidelity to the way it was implemented during the RCT because deviations from that model could undermine New Incentives' and GiveWell's confidence that the program was continuing to have a similar level of impact.
</t>
      </text>
    </comment>
    <comment authorId="0" ref="I207">
      <text>
        <t xml:space="preserve">We do not believe that this is a meaningful risk with New Incentives, which runs a single program. Our impression from conversations with New Incentives is that it is seeking to implement the program with high fidelity to the way it was implemented during the RCT because deviations from that model could undermine New Incentives' and GiveWell's confidence that the program was continuing to have a similar level of impact.
</t>
      </text>
    </comment>
    <comment authorId="0" ref="J207">
      <text>
        <t xml:space="preserve">We do not believe that this is a meaningful risk with New Incentives, which runs a single program. Our impression from conversations with New Incentives is that it is seeking to implement the program with high fidelity to the way it was implemented during the RCT because deviations from that model could undermine New Incentives' and GiveWell's confidence that the program was continuing to have a similar level of impact.
</t>
      </text>
    </comment>
    <comment authorId="0" ref="K207">
      <text>
        <t xml:space="preserve">We do not believe that this is a meaningful risk with New Incentives, which runs a single program. Our impression from conversations with New Incentives is that it is seeking to implement the program with high fidelity to the way it was implemented during the RCT because deviations from that model could undermine New Incentives' and GiveWell's confidence that the program was continuing to have a similar level of impact.
</t>
      </text>
    </comment>
    <comment authorId="0" ref="L207">
      <text>
        <t xml:space="preserve">We do not believe that this is a meaningful risk with New Incentives, which runs a single program. Our impression from conversations with New Incentives is that it is seeking to implement the program with high fidelity to the way it was implemented during the RCT because deviations from that model could undermine New Incentives' and GiveWell's confidence that the program was continuing to have a similar level of impact.
</t>
      </text>
    </comment>
    <comment authorId="0" ref="M207">
      <text>
        <t xml:space="preserve">We do not believe that this is a meaningful risk with New Incentives, which runs a single program. Our impression from conversations with New Incentives is that it is seeking to implement the program with high fidelity to the way it was implemented during the RCT because deviations from that model could undermine New Incentives' and GiveWell's confidence that the program was continuing to have a similar level of impact.
</t>
      </text>
    </comment>
    <comment authorId="0" ref="N207">
      <text>
        <t xml:space="preserve">We do not believe that this is a meaningful risk with New Incentives, which runs a single program. Our impression from conversations with New Incentives is that it is seeking to implement the program with high fidelity to the way it was implemented during the RCT because deviations from that model could undermine New Incentives' and GiveWell's confidence that the program was continuing to have a similar level of impact.
</t>
      </text>
    </comment>
    <comment authorId="0" ref="O207">
      <text>
        <t xml:space="preserve">We do not believe that this is a meaningful risk with New Incentives, which runs a single program. Our impression from conversations with New Incentives is that it is seeking to implement the program with high fidelity to the way it was implemented during the RCT because deviations from that model could undermine New Incentives' and GiveWell's confidence that the program was continuing to have a similar level of impact.
</t>
      </text>
    </comment>
    <comment authorId="0" ref="P207">
      <text>
        <t xml:space="preserve">We do not believe that this is a meaningful risk with New Incentives, which runs a single program. Our impression from conversations with New Incentives is that it is seeking to implement the program with high fidelity to the way it was implemented during the RCT because deviations from that model could undermine New Incentives' and GiveWell's confidence that the program was continuing to have a similar level of impact.
</t>
      </text>
    </comment>
    <comment authorId="0" ref="Q207">
      <text>
        <t xml:space="preserve">We do not believe that this is a meaningful risk with New Incentives, which runs a single program. Our impression from conversations with New Incentives is that it is seeking to implement the program with high fidelity to the way it was implemented during the RCT because deviations from that model could undermine New Incentives' and GiveWell's confidence that the program was continuing to have a similar level of impact.
</t>
      </text>
    </comment>
    <comment authorId="0" ref="R207">
      <text>
        <t xml:space="preserve">We do not believe that this is a meaningful risk with New Incentives, which runs a single program. Our impression from conversations with New Incentives is that it is seeking to implement the program with high fidelity to the way it was implemented during the RCT because deviations from that model could undermine New Incentives' and GiveWell's confidence that the program was continuing to have a similar level of impact.
</t>
      </text>
    </comment>
    <comment authorId="0" ref="S207">
      <text>
        <t xml:space="preserve">We do not believe that this is a meaningful risk with New Incentives, which runs a single program. Our impression from conversations with New Incentives is that it is seeking to implement the program with high fidelity to the way it was implemented during the RCT because deviations from that model could undermine New Incentives' and GiveWell's confidence that the program was continuing to have a similar level of impact.
</t>
      </text>
    </comment>
    <comment authorId="0" ref="T207">
      <text>
        <t xml:space="preserve">We do not believe that this is a meaningful risk with New Incentives, which runs a single program. Our impression from conversations with New Incentives is that it is seeking to implement the program with high fidelity to the way it was implemented during the RCT because deviations from that model could undermine New Incentives' and GiveWell's confidence that the program was continuing to have a similar level of impact.
</t>
      </text>
    </comment>
    <comment authorId="0" ref="U207">
      <text>
        <t xml:space="preserve">We do not believe that this is a meaningful risk with New Incentives, which runs a single program. Our impression from conversations with New Incentives is that it is seeking to implement the program with high fidelity to the way it was implemented during the RCT because deviations from that model could undermine New Incentives' and GiveWell's confidence that the program was continuing to have a similar level of impact.
</t>
      </text>
    </comment>
    <comment authorId="0" ref="V207">
      <text>
        <t xml:space="preserve">We do not believe that this is a meaningful risk with New Incentives, which runs a single program. Our impression from conversations with New Incentives is that it is seeking to implement the program with high fidelity to the way it was implemented during the RCT because deviations from that model could undermine New Incentives' and GiveWell's confidence that the program was continuing to have a similar level of impact.
</t>
      </text>
    </comment>
    <comment authorId="0" ref="W207">
      <text>
        <t xml:space="preserve">We do not believe that this is a meaningful risk with New Incentives, which runs a single program. Our impression from conversations with New Incentives is that it is seeking to implement the program with high fidelity to the way it was implemented during the RCT because deviations from that model could undermine New Incentives' and GiveWell's confidence that the program was continuing to have a similar level of impact.
</t>
      </text>
    </comment>
    <comment authorId="0" ref="X207">
      <text>
        <t xml:space="preserve">We do not believe that this is a meaningful risk with New Incentives, which runs a single program. Our impression from conversations with New Incentives is that it is seeking to implement the program with high fidelity to the way it was implemented during the RCT because deviations from that model could undermine New Incentives' and GiveWell's confidence that the program was continuing to have a similar level of impact.
</t>
      </text>
    </comment>
    <comment authorId="0" ref="Y207">
      <text>
        <t xml:space="preserve">We do not believe that this is a meaningful risk with New Incentives, which runs a single program. Our impression from conversations with New Incentives is that it is seeking to implement the program with high fidelity to the way it was implemented during the RCT because deviations from that model could undermine New Incentives' and GiveWell's confidence that the program was continuing to have a similar level of impact.
</t>
      </text>
    </comment>
    <comment authorId="0" ref="Z207">
      <text>
        <t xml:space="preserve">We do not believe that this is a meaningful risk with New Incentives, which runs a single program. Our impression from conversations with New Incentives is that it is seeking to implement the program with high fidelity to the way it was implemented during the RCT because deviations from that model could undermine New Incentives' and GiveWell's confidence that the program was continuing to have a similar level of impact.
</t>
      </text>
    </comment>
    <comment authorId="0" ref="AA207">
      <text>
        <t xml:space="preserve">We do not believe that this is a meaningful risk with New Incentives, which runs a single program. Our impression from conversations with New Incentives is that it is seeking to implement the program with high fidelity to the way it was implemented during the RCT because deviations from that model could undermine New Incentives' and GiveWell's confidence that the program was continuing to have a similar level of impact.
</t>
      </text>
    </comment>
    <comment authorId="0" ref="AB207">
      <text>
        <t xml:space="preserve">We do not believe that this is a meaningful risk with New Incentives, which runs a single program. Our impression from conversations with New Incentives is that it is seeking to implement the program with high fidelity to the way it was implemented during the RCT because deviations from that model could undermine New Incentives' and GiveWell's confidence that the program was continuing to have a similar level of impact.
</t>
      </text>
    </comment>
    <comment authorId="0" ref="AC207">
      <text>
        <t xml:space="preserve">We do not believe that this is a meaningful risk with New Incentives, which runs a single program. Our impression from conversations with New Incentives is that it is seeking to implement the program with high fidelity to the way it was implemented during the RCT because deviations from that model could undermine New Incentives' and GiveWell's confidence that the program was continuing to have a similar level of impact.
</t>
      </text>
    </comment>
    <comment authorId="0" ref="AD207">
      <text>
        <t xml:space="preserve">We do not believe that this is a meaningful risk with New Incentives, which runs a single program. Our impression from conversations with New Incentives is that it is seeking to implement the program with high fidelity to the way it was implemented during the RCT because deviations from that model could undermine New Incentives' and GiveWell's confidence that the program was continuing to have a similar level of impact.
</t>
      </text>
    </comment>
    <comment authorId="0" ref="AE207">
      <text>
        <t xml:space="preserve">We do not believe that this is a meaningful risk with New Incentives, which runs a single program. Our impression from conversations with New Incentives is that it is seeking to implement the program with high fidelity to the way it was implemented during the RCT because deviations from that model could undermine New Incentives' and GiveWell's confidence that the program was continuing to have a similar level of impact.
</t>
      </text>
    </comment>
    <comment authorId="0" ref="AF207">
      <text>
        <t xml:space="preserve">We do not believe that this is a meaningful risk with New Incentives, which runs a single program. Our impression from conversations with New Incentives is that it is seeking to implement the program with high fidelity to the way it was implemented during the RCT because deviations from that model could undermine New Incentives' and GiveWell's confidence that the program was continuing to have a similar level of impact.
</t>
      </text>
    </comment>
    <comment authorId="0" ref="AG207">
      <text>
        <t xml:space="preserve">We do not believe that this is a meaningful risk with New Incentives, which runs a single program. Our impression from conversations with New Incentives is that it is seeking to implement the program with high fidelity to the way it was implemented during the RCT because deviations from that model could undermine New Incentives' and GiveWell's confidence that the program was continuing to have a similar level of impact.
</t>
      </text>
    </comment>
    <comment authorId="0" ref="AH207">
      <text>
        <t xml:space="preserve">We do not believe that this is a meaningful risk with New Incentives, which runs a single program. Our impression from conversations with New Incentives is that it is seeking to implement the program with high fidelity to the way it was implemented during the RCT because deviations from that model could undermine New Incentives' and GiveWell's confidence that the program was continuing to have a similar level of impact.
</t>
      </text>
    </comment>
    <comment authorId="0" ref="AI207">
      <text>
        <t xml:space="preserve">We do not believe that this is a meaningful risk with New Incentives, which runs a single program. Our impression from conversations with New Incentives is that it is seeking to implement the program with high fidelity to the way it was implemented during the RCT because deviations from that model could undermine New Incentives' and GiveWell's confidence that the program was continuing to have a similar level of impact.
</t>
      </text>
    </comment>
    <comment authorId="0" ref="AJ207">
      <text>
        <t xml:space="preserve">We do not believe that this is a meaningful risk with New Incentives, which runs a single program. Our impression from conversations with New Incentives is that it is seeking to implement the program with high fidelity to the way it was implemented during the RCT because deviations from that model could undermine New Incentives' and GiveWell's confidence that the program was continuing to have a similar level of impact.
</t>
      </text>
    </comment>
    <comment authorId="0" ref="AK207">
      <text>
        <t xml:space="preserve">We do not believe that this is a meaningful risk with New Incentives, which runs a single program. Our impression from conversations with New Incentives is that it is seeking to implement the program with high fidelity to the way it was implemented during the RCT because deviations from that model could undermine New Incentives' and GiveWell's confidence that the program was continuing to have a similar level of impact.
</t>
      </text>
    </comment>
    <comment authorId="0" ref="AL207">
      <text>
        <t xml:space="preserve">We do not believe that this is a meaningful risk with New Incentives, which runs a single program. Our impression from conversations with New Incentives is that it is seeking to implement the program with high fidelity to the way it was implemented during the RCT because deviations from that model could undermine New Incentives' and GiveWell's confidence that the program was continuing to have a similar level of impact.
</t>
      </text>
    </comment>
    <comment authorId="0" ref="A208">
      <text>
        <t xml:space="preserve">Scenario: Charity encounters non-funding bottlenecks to allocating funding and holds funding for a long time. At an extreme, charity is unable to spend money, draws down funding over time on work to identify opportunities to spend money for a time, and then shifts to another program.</t>
      </text>
    </comment>
    <comment authorId="0" ref="B208">
      <text>
        <t xml:space="preserve">As noted in our review of New Incentives (https://www.givewell.org/charities/new-incentives), there is a risk that government opposition to the program could reduce the impact of the program. We would guess that the risk of lost impact is small because New Incentives has been operating the program since 2017 and opposition has not yet affected impact.</t>
      </text>
    </comment>
    <comment authorId="0" ref="C208">
      <text>
        <t xml:space="preserve">As noted in our review of New Incentives (https://www.givewell.org/charities/new-incentives), there is a risk that government opposition to the program could reduce the impact of the program. We would guess that the risk of lost impact is small because New Incentives has been operating the program since 2017 and opposition has not yet affected impact.</t>
      </text>
    </comment>
    <comment authorId="0" ref="D208">
      <text>
        <t xml:space="preserve">As noted in our review of New Incentives (https://www.givewell.org/charities/new-incentives), there is a risk that government opposition to the program could reduce the impact of the program. We would guess that the risk of lost impact is small because New Incentives has been operating the program since 2017 and opposition has not yet affected impact.</t>
      </text>
    </comment>
    <comment authorId="0" ref="E208">
      <text>
        <t xml:space="preserve">As noted in our review of New Incentives (https://www.givewell.org/charities/new-incentives), there is a risk that government opposition to the program could reduce the impact of the program. We would guess that the risk of lost impact is small because New Incentives has been operating the program since 2017 and opposition has not yet affected impact.</t>
      </text>
    </comment>
    <comment authorId="0" ref="F208">
      <text>
        <t xml:space="preserve">As noted in our review of New Incentives (https://www.givewell.org/charities/new-incentives), there is a risk that government opposition to the program could reduce the impact of the program. We would guess that the risk of lost impact is small because New Incentives has been operating the program since 2017 and opposition has not yet affected impact.</t>
      </text>
    </comment>
    <comment authorId="0" ref="G208">
      <text>
        <t xml:space="preserve">As noted in our review of New Incentives (https://www.givewell.org/charities/new-incentives), there is a risk that government opposition to the program could reduce the impact of the program. We would guess that the risk of lost impact is small because New Incentives has been operating the program since 2017 and opposition has not yet affected impact.</t>
      </text>
    </comment>
    <comment authorId="0" ref="H208">
      <text>
        <t xml:space="preserve">As noted in our review of New Incentives (https://www.givewell.org/charities/new-incentives), there is a risk that government opposition to the program could reduce the impact of the program. We would guess that the risk of lost impact is small because New Incentives has been operating the program since 2017 and opposition has not yet affected impact.</t>
      </text>
    </comment>
    <comment authorId="0" ref="I208">
      <text>
        <t xml:space="preserve">As noted in our review of New Incentives (https://www.givewell.org/charities/new-incentives), there is a risk that government opposition to the program could reduce the impact of the program. We would guess that the risk of lost impact is small because New Incentives has been operating the program since 2017 and opposition has not yet affected impact.</t>
      </text>
    </comment>
    <comment authorId="0" ref="J208">
      <text>
        <t xml:space="preserve">As noted in our review of New Incentives (https://www.givewell.org/charities/new-incentives), there is a risk that government opposition to the program could reduce the impact of the program. We would guess that the risk of lost impact is small because New Incentives has been operating the program since 2017 and opposition has not yet affected impact.</t>
      </text>
    </comment>
    <comment authorId="0" ref="K208">
      <text>
        <t xml:space="preserve">As noted in our review of New Incentives (https://www.givewell.org/charities/new-incentives), there is a risk that government opposition to the program could reduce the impact of the program. We would guess that the risk of lost impact is small because New Incentives has been operating the program since 2017 and opposition has not yet affected impact.</t>
      </text>
    </comment>
    <comment authorId="0" ref="L208">
      <text>
        <t xml:space="preserve">As noted in our review of New Incentives (https://www.givewell.org/charities/new-incentives), there is a risk that government opposition to the program could reduce the impact of the program. We would guess that the risk of lost impact is small because New Incentives has been operating the program since 2017 and opposition has not yet affected impact.</t>
      </text>
    </comment>
    <comment authorId="0" ref="M208">
      <text>
        <t xml:space="preserve">As noted in our review of New Incentives (https://www.givewell.org/charities/new-incentives), there is a risk that government opposition to the program could reduce the impact of the program. We would guess that the risk of lost impact is small because New Incentives has been operating the program since 2017 and opposition has not yet affected impact.</t>
      </text>
    </comment>
    <comment authorId="0" ref="N208">
      <text>
        <t xml:space="preserve">As noted in our review of New Incentives (https://www.givewell.org/charities/new-incentives), there is a risk that government opposition to the program could reduce the impact of the program. We would guess that the risk of lost impact is small because New Incentives has been operating the program since 2017 and opposition has not yet affected impact.</t>
      </text>
    </comment>
    <comment authorId="0" ref="O208">
      <text>
        <t xml:space="preserve">As noted in our review of New Incentives (https://www.givewell.org/charities/new-incentives), there is a risk that government opposition to the program could reduce the impact of the program. We would guess that the risk of lost impact is small because New Incentives has been operating the program since 2017 and opposition has not yet affected impact.</t>
      </text>
    </comment>
    <comment authorId="0" ref="P208">
      <text>
        <t xml:space="preserve">As noted in our review of New Incentives (https://www.givewell.org/charities/new-incentives), there is a risk that government opposition to the program could reduce the impact of the program. We would guess that the risk of lost impact is small because New Incentives has been operating the program since 2017 and opposition has not yet affected impact.</t>
      </text>
    </comment>
    <comment authorId="0" ref="Q208">
      <text>
        <t xml:space="preserve">As noted in our review of New Incentives (https://www.givewell.org/charities/new-incentives), there is a risk that government opposition to the program could reduce the impact of the program. We would guess that the risk of lost impact is small because New Incentives has been operating the program since 2017 and opposition has not yet affected impact.</t>
      </text>
    </comment>
    <comment authorId="0" ref="R208">
      <text>
        <t xml:space="preserve">As noted in our review of New Incentives (https://www.givewell.org/charities/new-incentives), there is a risk that government opposition to the program could reduce the impact of the program. We would guess that the risk of lost impact is small because New Incentives has been operating the program since 2017 and opposition has not yet affected impact.</t>
      </text>
    </comment>
    <comment authorId="0" ref="S208">
      <text>
        <t xml:space="preserve">As noted in our review of New Incentives (https://www.givewell.org/charities/new-incentives), there is a risk that government opposition to the program could reduce the impact of the program. We would guess that the risk of lost impact is small because New Incentives has been operating the program since 2017 and opposition has not yet affected impact.</t>
      </text>
    </comment>
    <comment authorId="0" ref="T208">
      <text>
        <t xml:space="preserve">As noted in our review of New Incentives (https://www.givewell.org/charities/new-incentives), there is a risk that government opposition to the program could reduce the impact of the program. We would guess that the risk of lost impact is small because New Incentives has been operating the program since 2017 and opposition has not yet affected impact.</t>
      </text>
    </comment>
    <comment authorId="0" ref="U208">
      <text>
        <t xml:space="preserve">As noted in our review of New Incentives (https://www.givewell.org/charities/new-incentives), there is a risk that government opposition to the program could reduce the impact of the program. We would guess that the risk of lost impact is small because New Incentives has been operating the program since 2017 and opposition has not yet affected impact.</t>
      </text>
    </comment>
    <comment authorId="0" ref="V208">
      <text>
        <t xml:space="preserve">As noted in our review of New Incentives (https://www.givewell.org/charities/new-incentives), there is a risk that government opposition to the program could reduce the impact of the program. We would guess that the risk of lost impact is small because New Incentives has been operating the program since 2017 and opposition has not yet affected impact.</t>
      </text>
    </comment>
    <comment authorId="0" ref="W208">
      <text>
        <t xml:space="preserve">As noted in our review of New Incentives (https://www.givewell.org/charities/new-incentives), there is a risk that government opposition to the program could reduce the impact of the program. We would guess that the risk of lost impact is small because New Incentives has been operating the program since 2017 and opposition has not yet affected impact.</t>
      </text>
    </comment>
    <comment authorId="0" ref="X208">
      <text>
        <t xml:space="preserve">As noted in our review of New Incentives (https://www.givewell.org/charities/new-incentives), there is a risk that government opposition to the program could reduce the impact of the program. We would guess that the risk of lost impact is small because New Incentives has been operating the program since 2017 and opposition has not yet affected impact.</t>
      </text>
    </comment>
    <comment authorId="0" ref="Y208">
      <text>
        <t xml:space="preserve">As noted in our review of New Incentives (https://www.givewell.org/charities/new-incentives), there is a risk that government opposition to the program could reduce the impact of the program. We would guess that the risk of lost impact is small because New Incentives has been operating the program since 2017 and opposition has not yet affected impact.</t>
      </text>
    </comment>
    <comment authorId="0" ref="Z208">
      <text>
        <t xml:space="preserve">As noted in our review of New Incentives (https://www.givewell.org/charities/new-incentives), there is a risk that government opposition to the program could reduce the impact of the program. We would guess that the risk of lost impact is small because New Incentives has been operating the program since 2017 and opposition has not yet affected impact.</t>
      </text>
    </comment>
    <comment authorId="0" ref="AA208">
      <text>
        <t xml:space="preserve">As noted in our review of New Incentives (https://www.givewell.org/charities/new-incentives), there is a risk that government opposition to the program could reduce the impact of the program. We would guess that the risk of lost impact is small because New Incentives has been operating the program since 2017 and opposition has not yet affected impact.</t>
      </text>
    </comment>
    <comment authorId="0" ref="AB208">
      <text>
        <t xml:space="preserve">As noted in our review of New Incentives (https://www.givewell.org/charities/new-incentives), there is a risk that government opposition to the program could reduce the impact of the program. We would guess that the risk of lost impact is small because New Incentives has been operating the program since 2017 and opposition has not yet affected impact.</t>
      </text>
    </comment>
    <comment authorId="0" ref="AC208">
      <text>
        <t xml:space="preserve">As noted in our review of New Incentives (https://www.givewell.org/charities/new-incentives), there is a risk that government opposition to the program could reduce the impact of the program. We would guess that the risk of lost impact is small because New Incentives has been operating the program since 2017 and opposition has not yet affected impact.</t>
      </text>
    </comment>
    <comment authorId="0" ref="AD208">
      <text>
        <t xml:space="preserve">As noted in our review of New Incentives (https://www.givewell.org/charities/new-incentives), there is a risk that government opposition to the program could reduce the impact of the program. We would guess that the risk of lost impact is small because New Incentives has been operating the program since 2017 and opposition has not yet affected impact.</t>
      </text>
    </comment>
    <comment authorId="0" ref="AE208">
      <text>
        <t xml:space="preserve">As noted in our review of New Incentives (https://www.givewell.org/charities/new-incentives), there is a risk that government opposition to the program could reduce the impact of the program. We would guess that the risk of lost impact is small because New Incentives has been operating the program since 2017 and opposition has not yet affected impact.</t>
      </text>
    </comment>
    <comment authorId="0" ref="AF208">
      <text>
        <t xml:space="preserve">As noted in our review of New Incentives (https://www.givewell.org/charities/new-incentives), there is a risk that government opposition to the program could reduce the impact of the program. We would guess that the risk of lost impact is small because New Incentives has been operating the program since 2017 and opposition has not yet affected impact.</t>
      </text>
    </comment>
    <comment authorId="0" ref="AG208">
      <text>
        <t xml:space="preserve">As noted in our review of New Incentives (https://www.givewell.org/charities/new-incentives), there is a risk that government opposition to the program could reduce the impact of the program. We would guess that the risk of lost impact is small because New Incentives has been operating the program since 2017 and opposition has not yet affected impact.</t>
      </text>
    </comment>
    <comment authorId="0" ref="AH208">
      <text>
        <t xml:space="preserve">As noted in our review of New Incentives (https://www.givewell.org/charities/new-incentives), there is a risk that government opposition to the program could reduce the impact of the program. We would guess that the risk of lost impact is small because New Incentives has been operating the program since 2017 and opposition has not yet affected impact.</t>
      </text>
    </comment>
    <comment authorId="0" ref="AI208">
      <text>
        <t xml:space="preserve">As noted in our review of New Incentives (https://www.givewell.org/charities/new-incentives), there is a risk that government opposition to the program could reduce the impact of the program. We would guess that the risk of lost impact is small because New Incentives has been operating the program since 2017 and opposition has not yet affected impact.</t>
      </text>
    </comment>
    <comment authorId="0" ref="AJ208">
      <text>
        <t xml:space="preserve">As noted in our review of New Incentives (https://www.givewell.org/charities/new-incentives), there is a risk that government opposition to the program could reduce the impact of the program. We would guess that the risk of lost impact is small because New Incentives has been operating the program since 2017 and opposition has not yet affected impact.</t>
      </text>
    </comment>
    <comment authorId="0" ref="AK208">
      <text>
        <t xml:space="preserve">As noted in our review of New Incentives (https://www.givewell.org/charities/new-incentives), there is a risk that government opposition to the program could reduce the impact of the program. We would guess that the risk of lost impact is small because New Incentives has been operating the program since 2017 and opposition has not yet affected impact.</t>
      </text>
    </comment>
    <comment authorId="0" ref="AL208">
      <text>
        <t xml:space="preserve">As noted in our review of New Incentives (https://www.givewell.org/charities/new-incentives), there is a risk that government opposition to the program could reduce the impact of the program. We would guess that the risk of lost impact is small because New Incentives has been operating the program since 2017 and opposition has not yet affected impact.</t>
      </text>
    </comment>
    <comment authorId="0" ref="A209">
      <text>
        <t xml:space="preserve">Scenario: Charity runs multiple programs and shifts funds from non-GiveWell sources or fundraising effort out of the program that we want to fund as a result of receiving GiveWell-directed funding.</t>
      </text>
    </comment>
    <comment authorId="0" ref="B209">
      <text>
        <t xml:space="preserve">Not applicable: single program organization.</t>
      </text>
    </comment>
    <comment authorId="0" ref="C209">
      <text>
        <t xml:space="preserve">Not applicable: single program organization.</t>
      </text>
    </comment>
    <comment authorId="0" ref="D209">
      <text>
        <t xml:space="preserve">Not applicable: single program organization.</t>
      </text>
    </comment>
    <comment authorId="0" ref="E209">
      <text>
        <t xml:space="preserve">Not applicable: single program organization.</t>
      </text>
    </comment>
    <comment authorId="0" ref="F209">
      <text>
        <t xml:space="preserve">Not applicable: single program organization.</t>
      </text>
    </comment>
    <comment authorId="0" ref="G209">
      <text>
        <t xml:space="preserve">Not applicable: single program organization.</t>
      </text>
    </comment>
    <comment authorId="0" ref="H209">
      <text>
        <t xml:space="preserve">Not applicable: single program organization.</t>
      </text>
    </comment>
    <comment authorId="0" ref="I209">
      <text>
        <t xml:space="preserve">Not applicable: single program organization.</t>
      </text>
    </comment>
    <comment authorId="0" ref="J209">
      <text>
        <t xml:space="preserve">Not applicable: single program organization.</t>
      </text>
    </comment>
    <comment authorId="0" ref="K209">
      <text>
        <t xml:space="preserve">Not applicable: single program organization.</t>
      </text>
    </comment>
    <comment authorId="0" ref="L209">
      <text>
        <t xml:space="preserve">Not applicable: single program organization.</t>
      </text>
    </comment>
    <comment authorId="0" ref="M209">
      <text>
        <t xml:space="preserve">Not applicable: single program organization.</t>
      </text>
    </comment>
    <comment authorId="0" ref="N209">
      <text>
        <t xml:space="preserve">Not applicable: single program organization.</t>
      </text>
    </comment>
    <comment authorId="0" ref="O209">
      <text>
        <t xml:space="preserve">Not applicable: single program organization.</t>
      </text>
    </comment>
    <comment authorId="0" ref="P209">
      <text>
        <t xml:space="preserve">Not applicable: single program organization.</t>
      </text>
    </comment>
    <comment authorId="0" ref="Q209">
      <text>
        <t xml:space="preserve">Not applicable: single program organization.</t>
      </text>
    </comment>
    <comment authorId="0" ref="R209">
      <text>
        <t xml:space="preserve">Not applicable: single program organization.</t>
      </text>
    </comment>
    <comment authorId="0" ref="S209">
      <text>
        <t xml:space="preserve">Not applicable: single program organization.</t>
      </text>
    </comment>
    <comment authorId="0" ref="T209">
      <text>
        <t xml:space="preserve">Not applicable: single program organization.</t>
      </text>
    </comment>
    <comment authorId="0" ref="U209">
      <text>
        <t xml:space="preserve">Not applicable: single program organization.</t>
      </text>
    </comment>
    <comment authorId="0" ref="V209">
      <text>
        <t xml:space="preserve">Not applicable: single program organization.</t>
      </text>
    </comment>
    <comment authorId="0" ref="W209">
      <text>
        <t xml:space="preserve">Not applicable: single program organization.</t>
      </text>
    </comment>
    <comment authorId="0" ref="X209">
      <text>
        <t xml:space="preserve">Not applicable: single program organization.</t>
      </text>
    </comment>
    <comment authorId="0" ref="Y209">
      <text>
        <t xml:space="preserve">Not applicable: single program organization.</t>
      </text>
    </comment>
    <comment authorId="0" ref="Z209">
      <text>
        <t xml:space="preserve">Not applicable: single program organization.</t>
      </text>
    </comment>
    <comment authorId="0" ref="AA209">
      <text>
        <t xml:space="preserve">Not applicable: single program organization.</t>
      </text>
    </comment>
    <comment authorId="0" ref="AB209">
      <text>
        <t xml:space="preserve">Not applicable: single program organization.</t>
      </text>
    </comment>
    <comment authorId="0" ref="AC209">
      <text>
        <t xml:space="preserve">Not applicable: single program organization.</t>
      </text>
    </comment>
    <comment authorId="0" ref="AD209">
      <text>
        <t xml:space="preserve">Not applicable: single program organization.</t>
      </text>
    </comment>
    <comment authorId="0" ref="AE209">
      <text>
        <t xml:space="preserve">Not applicable: single program organization.</t>
      </text>
    </comment>
    <comment authorId="0" ref="AF209">
      <text>
        <t xml:space="preserve">Not applicable: single program organization.</t>
      </text>
    </comment>
    <comment authorId="0" ref="AG209">
      <text>
        <t xml:space="preserve">Not applicable: single program organization.</t>
      </text>
    </comment>
    <comment authorId="0" ref="AH209">
      <text>
        <t xml:space="preserve">Not applicable: single program organization.</t>
      </text>
    </comment>
    <comment authorId="0" ref="AI209">
      <text>
        <t xml:space="preserve">Not applicable: single program organization.</t>
      </text>
    </comment>
    <comment authorId="0" ref="AJ209">
      <text>
        <t xml:space="preserve">Not applicable: single program organization.</t>
      </text>
    </comment>
    <comment authorId="0" ref="AK209">
      <text>
        <t xml:space="preserve">Not applicable: single program organization.</t>
      </text>
    </comment>
    <comment authorId="0" ref="AL209">
      <text>
        <t xml:space="preserve">Not applicable: single program organization.</t>
      </text>
    </comment>
    <comment authorId="0" ref="A212">
      <text>
        <t xml:space="preserve">We have not yet explicitly modeled downside adjustments for New Incentives. This estimate is a rough guess. </t>
      </text>
    </comment>
    <comment authorId="0" ref="A222">
      <text>
        <t xml:space="preserve">We only directly model some of the possible effects of the intervention. Many effects are excluded to keep the model tractable.
This section shows the speculative guesses we use to estimate the impact of outcomes we haven't explicitly modeled on the cost-effectiveness of our charities. The "Supplemental intervention-level adjustments" tab of this spreadsheet includes more details on how these adjustments are calculated and some brief justifications.</t>
      </text>
    </comment>
    <comment authorId="0" ref="A256">
      <text>
        <t xml:space="preserve">"Leverage" refers to our charities causing other entities to spend more on the program than they otherwise would have; "Funging" refers to our charities causing other entities to spend less on the program than they otherwise would have. 
We calculate leverage/funging for three other types of entities: (i) national governments (ii) The Global Fund (iii) pharmaceutical companies donating drugs.
All costs which are incurred by philanthropic entities (e.g. other charities, non-government donors, but not the global fund) are counted the same way as costs to our charities (i.e. we include them in our costs and assume they are not leveraged or funged).</t>
      </text>
    </comment>
    <comment authorId="0" ref="A265">
      <text>
        <t xml:space="preserve">Upstream costs cause downstream costs. Assumes philanthropic actors are "upstream."</t>
      </text>
    </comment>
    <comment authorId="0" ref="A266">
      <text>
        <t xml:space="preserve">Upstream costs cause downstream costs. Assumes government costs and Gavi's costs are "downstream". The implication of these costs being "downstream" is if the program shrinks (i.e. we make a smaller donation), less of these costs will go to the intervention. So they are leveraged.</t>
      </text>
    </comment>
    <comment authorId="0" ref="A273">
      <text>
        <t xml:space="preserve">The government would provide additional funding to fully cover the intervention. The philanthropic donation therefore funges with the government and value of donating is equivalent to the marginal value of government funds.
We believe there is a small probability that  government costs would replace philanthropic costs. We would guess the likelihood of this scenario is not high because CCTs are not mentioned in the demand creation strategy plan included in the Nsipss: https://nigeriahealthwatch.com/wp-content/uploads/bsk-pdf-manager/2019/09/18.04.2018_Nigeria-Strategy-for-Immunization-and-PHC-Strengthening_3rd_Version-Final.pdf. 
However, we would guess there is some probability government costs would replace philanthropic costs since the government is co-funding a small CCT together with the World Bank: https://www.givewell.org/charities/new-incentives#Crowding_out_World_Bank_CCT_funding</t>
      </text>
    </comment>
    <comment authorId="0" ref="A274">
      <text>
        <t xml:space="preserve">The government would continue funding the program at the same level as it currently does. Government financial costs are neither leveraged nor funged.</t>
      </text>
    </comment>
    <comment authorId="0" ref="A275">
      <text>
        <t xml:space="preserve">The program would not happen without the donation. So New Incentive's funding leverages all other actors' funding. 
</t>
      </text>
    </comment>
    <comment authorId="0" ref="A337">
      <text>
        <t xml:space="preserve">How much more cost-effective do we estimate this funding gap to be relative to GiveDirectly cash transfers?</t>
      </text>
    </comment>
    <comment authorId="0" ref="A344">
      <text>
        <t xml:space="preserve">This includes the costs to all actors, not just New Incentives.</t>
      </text>
    </comment>
  </commentList>
</comments>
</file>

<file path=xl/comments10.xml><?xml version="1.0" encoding="utf-8"?>
<comments xmlns:r="http://schemas.openxmlformats.org/officeDocument/2006/relationships" xmlns="http://schemas.openxmlformats.org/spreadsheetml/2006/main" xmlns:xr="http://schemas.microsoft.com/office/spreadsheetml/2014/revision">
  <authors>
    <author/>
  </authors>
  <commentList>
    <comment authorId="0" ref="A4">
      <text>
        <t xml:space="preserve">Additional information on our moral weights in 2020 is available in this document: https://docs.google.com/document/d/1hOQf6Ug1WpoicMyFDGoqH7tmf3Njjc15Z1DGERaTbnI/edit#heading=h.4ezmgjboichq
See this spreadsheet for our calculation, using data on malaria deaths for 2019 from the Institute for Health Metrics and Evaluation (IHME)'s Global Burden of Disease (GBD) project: https://docs.google.com/spreadsheets/d/1uN2lEYioSBsLPu37RcYULH0AkvNx0WQ5xusp2vU9ja4/edit?usp=sharing </t>
      </text>
    </comment>
    <comment authorId="0" ref="A5">
      <text>
        <t xml:space="preserve">Additional information on our moral weights in 2020 is available in this document: https://docs.google.com/document/d/1hOQf6Ug1WpoicMyFDGoqH7tmf3Njjc15Z1DGERaTbnI/edit#heading=h.4ezmgjboichq
See this spreadsheet for our calculation, using data on malaria deaths for 2019 from the Institute for Health Metrics and Evaluation (IHME)'s Global Burden of Disease (GBD) project: https://docs.google.com/spreadsheets/d/1uN2lEYioSBsLPu37RcYULH0AkvNx0WQ5xusp2vU9ja4/edit?usp=sharing </t>
      </text>
    </comment>
    <comment authorId="0" ref="D41">
      <text>
        <t xml:space="preserve">We expect the majority of government costs spent on deworming would otherwise have been spent on education because teachers are used to deliver the drugs.</t>
      </text>
    </comment>
    <comment authorId="0" ref="D42">
      <text>
        <t xml:space="preserve">We expect the majority of government costs spent on malaria and vitamin A would have otherwise been spent on other health programs, as they are spent on ministry of health staff.</t>
      </text>
    </comment>
    <comment authorId="0" ref="D43">
      <text>
        <t xml:space="preserve">We are highly uncertain about this input, but believe it is relatively unlikely that the cost of the donated drugs would have counterfactually been used for other philanthropic activities. We benchmark off AMF because our cost-effectiveness estimate of AMF includes different types of good outcome, making this input less sensitive to particular moral values.</t>
      </text>
    </comment>
    <comment authorId="0" ref="D44">
      <text>
        <t xml:space="preserve">Our estimate of the cost-effectiveness of reallocated Global Fund spending is based on data the Global Fund shared with us from its unfilled quality demand (UQD) registry, which is a list of programming that it would like to fund, but does not have the resources to when it makes its initial allocations. We do not have permission to make the data the Global Fund shared with us public, but our calculations based on that data are available in: https://docs.google.com/spreadsheets/d/1W-_XtJPo2OYKyCdJ2Iyih_n2nCcQC5WSpEKNzfC2cwo/edit?usp=sharing</t>
      </text>
    </comment>
    <comment authorId="0" ref="D45">
      <text>
        <t xml:space="preserve">UNICEF has been one of the main philanthropic organizations supporting VAS in the areas where Helen Keller International works in recent years.
We estimate a 50% probability that funds spent by UNICEF on Vitamin A Supplementation (VAS) that might be crowded out by Helen Keller International's program in Burkina Faso, Cameroon, Côte d'Ivoire, DRC and Guinea would go towards delivering VAS in other locations, and a 50% probability that these funds would go towards delivering other health interventions.
This is because much of the funding that UNICEF spends on VAS in these countries comes from a grant from Global Affairs Canada. Our understanding is that some of this grant is earmarked for VAS, but not all of it. We would guess that funds crowded out by Helen Keller International's VAS might plausibly be redirected towards either (a) VAS in other countries or (b) other health interventions covered by the grant.
We use a lower value for the counterfactual value of these funds in the other countries where Helen Keller and UNICEF operate. This is because our understanding is that UNICEF does not receive Global Affairs Canada funding for VAS in these locations, and so we expect much of the funding comes from UNICEF’s uncommitted funding. We would expect the counterfactual value of these funds to be lower.</t>
      </text>
    </comment>
    <comment authorId="0" ref="D46">
      <text>
        <t xml:space="preserve">We use a lower value for the counterfactual value of these funds in the other countries where Helen Keller and UNICEF operate. This is because our understanding is that UNICEF does not receive Global Affairs Canada funding for VAS in these locations, and so we expect much of the funding comes from UNICEF’s uncommitted funding. We would expect the counterfactual value of these funds to be lower.</t>
      </text>
    </comment>
    <comment authorId="0" ref="D47">
      <text>
        <t xml:space="preserve">For more detail, see:
https://docs.google.com/document/d/1xQf-q_foSTp1o8BfDUKdzhcjmRUC9CQDD9QyQxfBigw/edit?usp=sharing</t>
      </text>
    </comment>
    <comment authorId="0" ref="B48">
      <text>
        <t xml:space="preserve">We weight the "units of value generated per dollar spent on deworming" in Haut Uele, Mai Ndombe, Tanganyka, and Sud Kivu by each province's estimated number of implementation units requiring deworming treatment in 2023. </t>
      </text>
    </comment>
    <comment authorId="0" ref="D48">
      <text>
        <t xml:space="preserve">We are currently using this parameter to represent the counterfactual value of other philanthropic funding for deworming in the DRC. This counterfactual value is based on very rough estimates which put 50% weight on the counterfactual value of ESPEN's funding and 50% weight on the counterfactual value of funding from other funders of neglected tropical disease (NTD) programs, in line with our funging probability assumptions:
ESPEN counterfactual value: We assume any crowded out ESPEN funding may go either to support other implementation units (IUs) for deworming within the DRC, or will go to support ESPEN's more general NTD work. In the former case, the value is approximately the cost-effectiveness of deworming in 4 provinces that GiveWell did not consider supporting and that are not expected to be supported by other funders (Haut Uele, Mai Ndombe, Tanganyka, Sud Kivu)- we estimate deworming in these provinces to be ~3.8x or ~.0128 units of value). In the latter case, we equate ESPEN's more general NTD work to the value of government health spending (0.0056). We assume ESPEN's counterfactual value to be the average of these two values (.0128 and .0056). 
Other NTD funders' counterfactual value: As with ESPEN, we equate more general NTD work to the value of government health spending (0.0056).</t>
      </text>
    </comment>
  </commentList>
</comments>
</file>

<file path=xl/comments11.xml><?xml version="1.0" encoding="utf-8"?>
<comments xmlns:r="http://schemas.openxmlformats.org/officeDocument/2006/relationships" xmlns="http://schemas.openxmlformats.org/spreadsheetml/2006/main" xmlns:xr="http://schemas.microsoft.com/office/spreadsheetml/2014/revision">
  <authors>
    <author/>
  </authors>
  <commentList>
    <comment authorId="0" ref="D1">
      <text>
        <t xml:space="preserve">This column indicates whether an item is explicitly modeled in our CEA
</t>
      </text>
    </comment>
    <comment authorId="0" ref="E1">
      <text>
        <t xml:space="preserve">In most cases, we have not done detailed modeling of excluded effects.
These estimates should be viewed as extremely rough. The actual impact of adding or removing an item from the CEA will differ from person to person.
Note that we do not update these estimates with every CEA release. The estimates displayed here may be out-of-date. </t>
      </text>
    </comment>
    <comment authorId="0" ref="K2">
      <text>
        <t xml:space="preserve">Each factor is scored our of three according to the rubric below, and the best guess is downweighted according to the score out of 9.
The justification for this approach is that our decision-making process should weight factors which we have more carefully considered (i.e. which are included in our main cost-effectiveness analysis) higher than our more speculative guesses.
We do not have a strong justification for the precise weights we use, which were selected for simplicity.</t>
      </text>
    </comment>
    <comment authorId="0" ref="E31">
      <text>
        <t xml:space="preserve">See country-level estimates on the "AMF" sheet, "Adjustments for effects excluded from our core model" section.</t>
      </text>
    </comment>
    <comment authorId="0" ref="E62">
      <text>
        <t xml:space="preserve">See country-level estimates on the "Malaria Consortium" sheet, "Adjustments for effects excluded from our core model" section.</t>
      </text>
    </comment>
  </commentList>
</comments>
</file>

<file path=xl/sharedStrings.xml><?xml version="1.0" encoding="utf-8"?>
<sst xmlns="http://schemas.openxmlformats.org/spreadsheetml/2006/main" count="2133" uniqueCount="998">
  <si>
    <t>Notes on how to engage with our cost-effectiveness analysis</t>
  </si>
  <si>
    <r>
      <rPr>
        <rFont val="Calibri"/>
        <color rgb="FF000000"/>
        <sz val="11.0"/>
      </rPr>
      <t xml:space="preserve">This workbook contains our cost-effectiveness analysis. Cost-effectiveness is one factor we use to assess which opportunities are the highest-priority to support. We also consider other factors such as urgency, quality of implementation, and more. </t>
    </r>
    <r>
      <rPr>
        <rFont val="Calibri"/>
        <b/>
        <color rgb="FF000000"/>
        <sz val="11.0"/>
      </rPr>
      <t xml:space="preserve">If you're a donor interested in supporting the top charity we believe will do the most good at the time your donation is granted, please consider supporting the </t>
    </r>
    <r>
      <rPr>
        <rFont val="Calibri"/>
        <b/>
        <color rgb="FF1155CC"/>
        <sz val="11.0"/>
        <u/>
      </rPr>
      <t>Top Charities Fund</t>
    </r>
    <r>
      <rPr>
        <rFont val="Calibri"/>
        <b/>
        <color rgb="FF000000"/>
        <sz val="11.0"/>
      </rPr>
      <t>.</t>
    </r>
    <r>
      <rPr>
        <rFont val="Calibri"/>
        <color rgb="FF000000"/>
        <sz val="11.0"/>
      </rPr>
      <t xml:space="preserve"> 
On the "Moral weights and discount rate" sheet, we've included GiveWell and conventional estimates for a few parameters. If you'd like to see how our results would change based on different inputs for these parameters, you can make a copy of this spreadsheet and enter your own values in the "Anyone" column.
Expanding the formula bar at the top of the page (by clicking and dragging the bottom boundary) may make it easier to read the contents of explanatory cells.</t>
    </r>
  </si>
  <si>
    <t>Notes on text color coding</t>
  </si>
  <si>
    <t>Blue text: direct input</t>
  </si>
  <si>
    <t>Green text: pulling from another cell in this workbook</t>
  </si>
  <si>
    <t>Black text: calculation</t>
  </si>
  <si>
    <t>Index</t>
  </si>
  <si>
    <t>Moral weights and discount rate</t>
  </si>
  <si>
    <t>Allows staff members or anyone else to supply discount rates and numbers used to trade off different good outcomes</t>
  </si>
  <si>
    <t>AMF</t>
  </si>
  <si>
    <t>Cost-effectiveness analysis for long-lasting insecticide-treated net distributions by the Against Malaria Foundation.</t>
  </si>
  <si>
    <t>GiveDirectly</t>
  </si>
  <si>
    <t>Cost-effectiveness analysis for unconditional cash transfers by GiveDirectly.</t>
  </si>
  <si>
    <t>Deworm the World</t>
  </si>
  <si>
    <t>Cost-effectiveness analysis for deworming by Deworm the World</t>
  </si>
  <si>
    <t>Unlimit Health</t>
  </si>
  <si>
    <t>Cost-effectiveness analysis for deworming by Unlimit Health</t>
  </si>
  <si>
    <t>Sightsavers</t>
  </si>
  <si>
    <t>Cost-effectiveness analysis for deworming by Sightsavers</t>
  </si>
  <si>
    <t>Malaria Consortium</t>
  </si>
  <si>
    <t>Cost-effectiveness analysis for seasonal malaria chemoprevention by Malaria Consortium</t>
  </si>
  <si>
    <t>Helen Keller International</t>
  </si>
  <si>
    <t>Cost-effectiveness analysis for vitamin A supplementation by Helen Keller International</t>
  </si>
  <si>
    <t>New Incentives</t>
  </si>
  <si>
    <t>Cost-effectiveness analysis for conditional cash transfers for immunization by New Incentives</t>
  </si>
  <si>
    <t>Value of counterfactual spending by other actors</t>
  </si>
  <si>
    <t>Used in the leverage and funging adjustments to our cost-effectiveness analyses</t>
  </si>
  <si>
    <t>Supplemental intervention-level adjustments</t>
  </si>
  <si>
    <t>Intervention-level adjustments for outcomes not explicitly modeled in our cost-effectiveness analyses</t>
  </si>
  <si>
    <t>Helpful GiveWell references</t>
  </si>
  <si>
    <t>Active</t>
  </si>
  <si>
    <t>GiveWell 2020</t>
  </si>
  <si>
    <t>Anyone</t>
  </si>
  <si>
    <t>Conventional</t>
  </si>
  <si>
    <t>Alex</t>
  </si>
  <si>
    <t>Andrew</t>
  </si>
  <si>
    <t>Caitlin</t>
  </si>
  <si>
    <t>Dan</t>
  </si>
  <si>
    <t>Isabel</t>
  </si>
  <si>
    <t>James</t>
  </si>
  <si>
    <t>Josh</t>
  </si>
  <si>
    <t>Marinella</t>
  </si>
  <si>
    <t>Michael</t>
  </si>
  <si>
    <t>Natalie</t>
  </si>
  <si>
    <t>Nicole</t>
  </si>
  <si>
    <t>Olivia</t>
  </si>
  <si>
    <t>Stephan</t>
  </si>
  <si>
    <t>Tom</t>
  </si>
  <si>
    <t>Notes</t>
  </si>
  <si>
    <t>Moral weights</t>
  </si>
  <si>
    <t>Consumption Increases</t>
  </si>
  <si>
    <t>Value assigned to doubling consumption for one person for one year</t>
  </si>
  <si>
    <t>Averting deaths</t>
  </si>
  <si>
    <t>Value assigned to averting the death of an individual under 5 from malaria</t>
  </si>
  <si>
    <t>Lopez et al. 2006</t>
  </si>
  <si>
    <t>Value assigned to averting the death of an individual 5 or older from malaria</t>
  </si>
  <si>
    <t>Value assigned to averting the death of a 6- to 59-month-old child (VAS)</t>
  </si>
  <si>
    <t>Value assigned to averting the death of an individual under 5 from vaccine-preventable diseases</t>
  </si>
  <si>
    <t>Value assigned to averting the death of an individual 5-14 years old from vaccine-preventable diseases</t>
  </si>
  <si>
    <t>Value assigned to averting the death of an individual 15-49 years old from vaccine-preventable diseases</t>
  </si>
  <si>
    <t>Value assigned to averting the death of an individual 50-74 years old from vaccine-preventable diseases</t>
  </si>
  <si>
    <t>Active column pulls from:</t>
  </si>
  <si>
    <t>Derived value assignments</t>
  </si>
  <si>
    <t>Value assigned to increasing consumption by 10% for one person for one year</t>
  </si>
  <si>
    <t>Value assigned to increasing consumption by 25% for one person for one year</t>
  </si>
  <si>
    <t>Value assigned to increasing ln(consumption) by one unit for one person for one year</t>
  </si>
  <si>
    <t>Value assigned to increasing consumption by 10% for 100 people for one year</t>
  </si>
  <si>
    <t>Value assigned to increasing consumption by 25% for 100 people for one year</t>
  </si>
  <si>
    <t>Implications</t>
  </si>
  <si>
    <t>Value of an age 5+ life saved relative to an under-5 life saved</t>
  </si>
  <si>
    <t>Value of doubling consumption for one person for one year relative to saving the life of a child under-5 (AMF)</t>
  </si>
  <si>
    <t>Discount rate</t>
  </si>
  <si>
    <t>Improving circumstances over time</t>
  </si>
  <si>
    <t>Compounding non-monetary benefits</t>
  </si>
  <si>
    <t>Temporal uncertainty</t>
  </si>
  <si>
    <t>Pure time preference (donors)</t>
  </si>
  <si>
    <t>Pure time preference (program participants)</t>
  </si>
  <si>
    <t>Overall discount rate</t>
  </si>
  <si>
    <t>Long-lasting insecticide-treated net (LLIN) distributions - Against Malaria Foundation (AMF)</t>
  </si>
  <si>
    <t>DRC</t>
  </si>
  <si>
    <t>Guinea</t>
  </si>
  <si>
    <t>Togo</t>
  </si>
  <si>
    <t>Uganda</t>
  </si>
  <si>
    <t>Nigeria (PMI states)</t>
  </si>
  <si>
    <t>Nigeria (Global Fund states)</t>
  </si>
  <si>
    <t>Chad</t>
  </si>
  <si>
    <t>South Sudan</t>
  </si>
  <si>
    <t>Funding allocation</t>
  </si>
  <si>
    <t>Percentage of total costs covered by AMF</t>
  </si>
  <si>
    <t>Percentage of total costs covered by other philanthropic actors</t>
  </si>
  <si>
    <t>Number of people covered</t>
  </si>
  <si>
    <t>Costs</t>
  </si>
  <si>
    <t>Donation to AMF (arbitrary size)</t>
  </si>
  <si>
    <t>Total spending by all contributors</t>
  </si>
  <si>
    <t>Cost per long-lasting insecticide-treated net (LLIN) distributed</t>
  </si>
  <si>
    <t>Net usage</t>
  </si>
  <si>
    <t>Number of nets distributed</t>
  </si>
  <si>
    <t>Proportion of distributed nets used in trials from Pryce et al. 2018 meta-analysis</t>
  </si>
  <si>
    <t>Adjustment for net usage in program contexts</t>
  </si>
  <si>
    <t>Proportion of distributed nets used in program contexts</t>
  </si>
  <si>
    <t>Number of nets used</t>
  </si>
  <si>
    <t>Net coverage</t>
  </si>
  <si>
    <t>Number of people sleeping under each used net</t>
  </si>
  <si>
    <t>Total number of people sleeping under distributed nets</t>
  </si>
  <si>
    <t>Equivalent coverage-years for an LLIN over a 36-month distribution</t>
  </si>
  <si>
    <t>Adjustment for net coverage years lost due to residual nets from previous distributions</t>
  </si>
  <si>
    <t>Adjustment for program impact being to move distributions closer together</t>
  </si>
  <si>
    <t>Total person-years of effective coverage</t>
  </si>
  <si>
    <t>Age distribution of net coverage</t>
  </si>
  <si>
    <t>Percent of population under 5 years old (used for mortality effects and development effects)</t>
  </si>
  <si>
    <t>Percent of population ages 5-9</t>
  </si>
  <si>
    <t>Percent of population ages 10-14</t>
  </si>
  <si>
    <t>Percent of population ages 5-14 (used for development effects only)</t>
  </si>
  <si>
    <t>Person-years of coverage for under 5s</t>
  </si>
  <si>
    <t>Person-years of coverage for ages 5-14</t>
  </si>
  <si>
    <t>Person-years of coverage for under 15s</t>
  </si>
  <si>
    <t>Mortality reduction in children under 5</t>
  </si>
  <si>
    <t>Effect of bednet distributions on mortality</t>
  </si>
  <si>
    <t>Reduction in malaria incidence for children under 5 receiving nets (from Pryce et al. 2018 meta-analysis)</t>
  </si>
  <si>
    <t>Reduction in malaria incidence for children under 5 sleeping under nets</t>
  </si>
  <si>
    <t>Internal validity adjustment — Nets</t>
  </si>
  <si>
    <t>External validity adjustment — Nets</t>
  </si>
  <si>
    <t>Efficacy reduction due to insecticide resistance</t>
  </si>
  <si>
    <t>Ratio of the reduction in malaria mortality to the reduction in malaria incidence</t>
  </si>
  <si>
    <t>Expected reduction in malaria mortality among children treated</t>
  </si>
  <si>
    <t>Counterfactual mortality in the absence of bednets</t>
  </si>
  <si>
    <t>Annual 1-59 month malaria mortality rate in AMF countries (per 1,000 child-years, GBD 2019)</t>
  </si>
  <si>
    <t>Ratio of indirect malaria deaths per direct malaria death</t>
  </si>
  <si>
    <t>Malaria-attributable deaths in target population (per 1,000 child-years), 1-59-month-old children, 2019, before adjusting for SMC</t>
  </si>
  <si>
    <t>Malaria-attributable deaths averted per 1,000 children per year targeted with seasonal malaria chemoprevention</t>
  </si>
  <si>
    <t>Malaria-attributable deaths in target population (per 1,000 child-years), 1-59-month-old children, 2019, after adjusting for SMC</t>
  </si>
  <si>
    <t>Proportion of 1-59-month-old children sleeping under a net, 2019</t>
  </si>
  <si>
    <t>Malaria-attributable deaths (per 1,000 person-years), 1-59 month-old-children, 2019, in absence of bed nets</t>
  </si>
  <si>
    <t>Deaths averted per 1,000 person-years of coverage for under 5s</t>
  </si>
  <si>
    <t>Total number of under-5 deaths averted</t>
  </si>
  <si>
    <t>Comparable valuation</t>
  </si>
  <si>
    <t>Total units of value from under-5 deaths averted (before accounting for leverage and funging)</t>
  </si>
  <si>
    <t>Mortality reduction in individuals 5+ years old</t>
  </si>
  <si>
    <t xml:space="preserve">Ratio of 5+ malaria deaths to under-5 malaria deaths </t>
  </si>
  <si>
    <t>Number of malaria deaths per year (GBD 2019)</t>
  </si>
  <si>
    <t>Number of under-5 malaria deaths per year (GBD 2019)</t>
  </si>
  <si>
    <t>Number of age 5+ malaria deaths per year</t>
  </si>
  <si>
    <t>Ratio of 5+ malaria deaths to under-5 malaria deaths</t>
  </si>
  <si>
    <t>Relative efficacy of LLINs for reducing mortality of individuals age 5+</t>
  </si>
  <si>
    <t>Total number of age 5+ deaths averted</t>
  </si>
  <si>
    <t>Total units of value from age 5+ deaths averted (before accounting for leverage and funging)</t>
  </si>
  <si>
    <t>Overall mortality reduction</t>
  </si>
  <si>
    <t>Total deaths averted</t>
  </si>
  <si>
    <t>Reduction in malaria prevalence (used for estimating income increases)</t>
  </si>
  <si>
    <t>Relative reduction in malaria prevalence</t>
  </si>
  <si>
    <t>Expected reduction in malaria prevalence in current day distributions</t>
  </si>
  <si>
    <t>Baseline malaria prevalence</t>
  </si>
  <si>
    <t>Malaria prevalence in AMF context (Age &lt;5) (GBD 2019)</t>
  </si>
  <si>
    <t>Malaria prevalence in AMF context (Age 5-9) (GBD 2019)</t>
  </si>
  <si>
    <t>Malaria prevalence in AMF context (Age 10-14) (GBD 2019)</t>
  </si>
  <si>
    <t>Malaria prevalence in AMF context (Age 5-14) (GBD 2019)</t>
  </si>
  <si>
    <t>Expected increase in malaria prevalence in the absence of an LLIN distribution</t>
  </si>
  <si>
    <t>Counterfactual malaria prevalence in AMF context in absence of distribution (Age &lt;5)</t>
  </si>
  <si>
    <t>Counterfactual malaria prevalence in AMF context in absence of distribution (Ages 5-14)</t>
  </si>
  <si>
    <t>Absolute reduction in malaria prevalence</t>
  </si>
  <si>
    <t>Percentage point reduction in the point-in-time probability of a covered child being infected with malaria (Age &lt;5)</t>
  </si>
  <si>
    <t>Percentage point reduction in the point-in-time probability of a covered child being infected with malaria (Age 5-14)</t>
  </si>
  <si>
    <t>Long-term income increases for children currently aged 14 and under</t>
  </si>
  <si>
    <t>Prevalence reduction</t>
  </si>
  <si>
    <t>Reduction in the number of people infected with malaria at a single point of time (Age&lt;5)</t>
  </si>
  <si>
    <t>Reduction in the number of people infected with malaria at a single point of time (Age 5-14)</t>
  </si>
  <si>
    <t>Increase in income from prevalence reduction</t>
  </si>
  <si>
    <t>Increase in income from reducing point-in-time probability of malaria infection from 100% to 0% for an individual for one year between the ages of 0 and 14</t>
  </si>
  <si>
    <t>Additional replicability adjustment for relationship between malaria and income</t>
  </si>
  <si>
    <t>Adjusted increase in ln(income) from reducing point-in-time probability of malaria infection from 100% to 0% for an individual for one year between the ages of 0 and 14</t>
  </si>
  <si>
    <t>Duration of long term benefits</t>
  </si>
  <si>
    <t>Average number of years between nets being distributed and the beginning of long term benefits</t>
  </si>
  <si>
    <t>Benefit on one year's income (discounted back because of delay between distribution and working for income)</t>
  </si>
  <si>
    <t>Duration of long term benefits of AMF (in years)</t>
  </si>
  <si>
    <t>Present value of lifetime benefits from reducing prevalence from 1 to 0 for an individual for one year between the ages of 0 and 14</t>
  </si>
  <si>
    <t>Multiplier for resource sharing within households</t>
  </si>
  <si>
    <t>Present value of benefits from reducing point-in-time probability of malaria infection from 100% to 0% for an individual for one year  between the ages of 0 and 14</t>
  </si>
  <si>
    <t>Total units of increase in units of annual ln(income) (Age&lt;5) — Present value</t>
  </si>
  <si>
    <t>Total units of increase in units of annual ln(income) (Ages 5-14) — Present value</t>
  </si>
  <si>
    <t>Total units of value from development benefits generated, before accounting for leverage and funging</t>
  </si>
  <si>
    <t>Initial results</t>
  </si>
  <si>
    <t>Initial cost per death averted estimate</t>
  </si>
  <si>
    <t xml:space="preserve">Total units of value generated </t>
  </si>
  <si>
    <t>Units of value generated per dollar spent</t>
  </si>
  <si>
    <t>Initial cost-effectiveness estimate in multiples of cash transfers</t>
  </si>
  <si>
    <t>Percent of total units of value generated from mortality reduction in children under 5</t>
  </si>
  <si>
    <t>Percent of total units of value generated from mortality reduction in individuals older than 5</t>
  </si>
  <si>
    <t>Percent of total units of value generated from development benefits</t>
  </si>
  <si>
    <t>Supplemental charity-level adjustments — AMF</t>
  </si>
  <si>
    <t>Risk of wastage</t>
  </si>
  <si>
    <t>Double treatment</t>
  </si>
  <si>
    <t>Ineffective goods</t>
  </si>
  <si>
    <t>Goods purchased and left in storage until they expire / Cash doesn't reach recipients or is taken back from them inappropriately</t>
  </si>
  <si>
    <t>Total adjustment for risk of wastage</t>
  </si>
  <si>
    <t>Quality of monitoring and evaluation</t>
  </si>
  <si>
    <t>Misappropriation without monitoring results</t>
  </si>
  <si>
    <t>False monitoring results</t>
  </si>
  <si>
    <t>Total adjustment for quality of monitoring and evaluation</t>
  </si>
  <si>
    <t>Confidence in funds being used for intended purpose</t>
  </si>
  <si>
    <t>Change of priorities</t>
  </si>
  <si>
    <t>Non-funding bottlenecks</t>
  </si>
  <si>
    <t>Within-org fungibility</t>
  </si>
  <si>
    <t>Total adjustment for confidence in funds being used for intended purpose</t>
  </si>
  <si>
    <t>Total adjustment factor</t>
  </si>
  <si>
    <t>Results after supplemental charity-level adjustments</t>
  </si>
  <si>
    <t>Number of deaths averted</t>
  </si>
  <si>
    <t>Cost per life saved, after supplemental charity-level adjustments</t>
  </si>
  <si>
    <t>Total units of value generated, after supplemental charity-level adjustments</t>
  </si>
  <si>
    <t>Units of value generated per dollar spent, after supplemental charity-level adjustments</t>
  </si>
  <si>
    <t>Cost-effectiveness in multiples of cash transfers, after supplemental charity-level adjustments</t>
  </si>
  <si>
    <t>Supplemental intervention-level adjustments — AMF</t>
  </si>
  <si>
    <t>Outcomes included in our core model (above)</t>
  </si>
  <si>
    <t>Results after supplemental intervention-level adjustments</t>
  </si>
  <si>
    <t>Total units of value generated</t>
  </si>
  <si>
    <t>Cost-effectiveness in multiples of cash transfers, after supplemental intervention-level adjustments</t>
  </si>
  <si>
    <t>Leverage/Funging adjustment</t>
  </si>
  <si>
    <t>Probability of scenarios in absence of philanthropic funding</t>
  </si>
  <si>
    <t>Scenario 1: Government costs would replace philanthropic costs</t>
  </si>
  <si>
    <t>Scenario 2: Global Fund and/or PMI would replace philanthropic costs</t>
  </si>
  <si>
    <t>Scenario 3: The Global Fund's costs would stay the same (downstream costs would shrink in proportion to the total size of the program)</t>
  </si>
  <si>
    <t>Scenario 4: Distributions would go unfunded</t>
  </si>
  <si>
    <t>Results after leverage/funging</t>
  </si>
  <si>
    <t>Total units of value generated by philanthropic spending, after accounting for leverage/funging</t>
  </si>
  <si>
    <t>Units of value generated per philanthropic dollar spent, after accounting for leverage/funging</t>
  </si>
  <si>
    <t>Cost-effectiveness in multiples of cash transfers, after all adjustments</t>
  </si>
  <si>
    <t>% change in cost-effectiveness from leverage/funging</t>
  </si>
  <si>
    <t>Cost per life saved estimates</t>
  </si>
  <si>
    <t>Number of deaths averted, after supplemental charity-level adjustments</t>
  </si>
  <si>
    <t>Supplemental intervention-level adjustments that impact cost per life saved</t>
  </si>
  <si>
    <t>Funging adjustment</t>
  </si>
  <si>
    <t>Cost per life saved, after all adjustments</t>
  </si>
  <si>
    <t>Cash Transfers - GiveDirectly</t>
  </si>
  <si>
    <t>Overall</t>
  </si>
  <si>
    <t>Size of transfer</t>
  </si>
  <si>
    <t>Arbitrary donation size</t>
  </si>
  <si>
    <t>Transfers as a percentage of total cost</t>
  </si>
  <si>
    <t>Total funding available for cash transfers out of hypothetical donation</t>
  </si>
  <si>
    <t>Total size of transfer per household (nominal USD)</t>
  </si>
  <si>
    <t>Average household size</t>
  </si>
  <si>
    <t>Size of transfer per person (nominal USD)</t>
  </si>
  <si>
    <t>Investment returns</t>
  </si>
  <si>
    <t>Percentage of transfers invested</t>
  </si>
  <si>
    <t>Amount invested (nominal USD)</t>
  </si>
  <si>
    <t>Total increase in consumption per person made possible by funds transferred (nominal USD)</t>
  </si>
  <si>
    <t>Return on investment</t>
  </si>
  <si>
    <t>Annual increase in consumption per person made possible by investment returns (nominal USD)</t>
  </si>
  <si>
    <t>Present value of transfer</t>
  </si>
  <si>
    <t>Baseline annual consumption per capita (in nominal USD)</t>
  </si>
  <si>
    <t>Total immediate increase in ln(consumption) per person made possible by funds transferred</t>
  </si>
  <si>
    <t>Future annual increase in ln(consumption) per person — from returns on investments</t>
  </si>
  <si>
    <t>Duration of investment benefits (in years)</t>
  </si>
  <si>
    <t>Present value of future increases in ln(consumption) per person (excluding the last year of expected benefits)</t>
  </si>
  <si>
    <t>Percent of investment returned when benefits end</t>
  </si>
  <si>
    <t>Present value of ln(consumption) increase in the last year of expected benefits</t>
  </si>
  <si>
    <t>Present value of all future increases in ln(consumption)</t>
  </si>
  <si>
    <t>Total present value of cash transfer in terms of increases in ln(consumption)</t>
  </si>
  <si>
    <t>Discount to the benefits of cash from potential negative spillover effects on consumption</t>
  </si>
  <si>
    <t>Total present value of cash transfer accounting for spillovers</t>
  </si>
  <si>
    <t>Total units of increase in ln(consumption) per household</t>
  </si>
  <si>
    <t>Number of transfers made</t>
  </si>
  <si>
    <t>Total units of increase in ln(consumption)</t>
  </si>
  <si>
    <t>Contribution of each outcome to overall cost-effectiveness</t>
  </si>
  <si>
    <t>Percent of cash's modeled benefits coming from short-term consumption increases</t>
  </si>
  <si>
    <t>Percent of cash's modeled benefits coming from investment returns in the future</t>
  </si>
  <si>
    <t>Supplemental charity-level adjustments — GiveDirectly</t>
  </si>
  <si>
    <t>Supplemental intervention-level adjustments — Cash</t>
  </si>
  <si>
    <t>Cost-effectiveness after all adjustments</t>
  </si>
  <si>
    <t>Total units of value generated, after accounting for all adjustments</t>
  </si>
  <si>
    <t>Units of value generated per philanthropic dollar spent, after accounting for all adjustments</t>
  </si>
  <si>
    <t>Deworming - Deworm the World</t>
  </si>
  <si>
    <t>Kenya</t>
  </si>
  <si>
    <t>Azad Jammu and Kashmir, Pakistan</t>
  </si>
  <si>
    <t>Balochistan, Pakistan</t>
  </si>
  <si>
    <t>Gilgit-Baltistan, Pakistan</t>
  </si>
  <si>
    <t>Islamabad Capital Territory, Pakistan</t>
  </si>
  <si>
    <t>Khyber Pakhtunkhwa, Pakistan</t>
  </si>
  <si>
    <t>Punjab, Pakistan</t>
  </si>
  <si>
    <t>Sindh, Pakistan</t>
  </si>
  <si>
    <t>Lagos, Nigeria</t>
  </si>
  <si>
    <t>Oyo, Nigeria</t>
  </si>
  <si>
    <t>Ogun, Nigeria</t>
  </si>
  <si>
    <t>Rivers, Nigeria</t>
  </si>
  <si>
    <t>Cross River, Nigeria</t>
  </si>
  <si>
    <t>Long-term income effects from deworming</t>
  </si>
  <si>
    <t>Treatment effect of deworming on ln(income) in the Miguel and Kremer 2004 study population</t>
  </si>
  <si>
    <t>Coverage in the treatment group (Miguel and Kremer)</t>
  </si>
  <si>
    <t>Coverage in the control group (Miguel and Kremer)</t>
  </si>
  <si>
    <t>Estimated treatment effect on the treated</t>
  </si>
  <si>
    <t>Replicability adjustment for deworming</t>
  </si>
  <si>
    <t>Adjustment for years of treatment in Miguel and Kremer vs. years of treatment in charities' programs</t>
  </si>
  <si>
    <t>Additional years of treatment assigned to the treatment group from Miguel and Kremer</t>
  </si>
  <si>
    <t>Estimated annual treatment effect on the treated after adjustments</t>
  </si>
  <si>
    <t>Average number of years between deworming and the beginning of long-term benefits</t>
  </si>
  <si>
    <t>Benefit on one year's income (discounted back because of delay between deworming and working for income)</t>
  </si>
  <si>
    <t>Duration of long-term benefits of deworming (in years)</t>
  </si>
  <si>
    <t>Present value of lifetime benefits from a year of deworming (before decay adjustment, in terms of increases in ln(income))</t>
  </si>
  <si>
    <t>Adjustment for benefits decaying over time</t>
  </si>
  <si>
    <t>Present value of lifetime benefits from a year of deworming (after decay adjustment, in terms of increases in ln(income))</t>
  </si>
  <si>
    <t>Adjusted long-term benefits per year of deworming per person assigned to treatment in terms of ln(consumption)</t>
  </si>
  <si>
    <t>Percentage of total costs covered by Deworm the World</t>
  </si>
  <si>
    <t>Percentage of total costs covered by domestic governments (financial costs)</t>
  </si>
  <si>
    <t>Percentage of total costs covered by domestic governments (in-kind costs)</t>
  </si>
  <si>
    <t>Percentage of total costs covered by drug donations</t>
  </si>
  <si>
    <t>Number of children dewormed per year</t>
  </si>
  <si>
    <t>Donation to Deworm the World (arbitrary size)</t>
  </si>
  <si>
    <t>Proportion of deworming going to children — DtW</t>
  </si>
  <si>
    <t>Worm burden adjustment — DtW</t>
  </si>
  <si>
    <t>Present value of lifetime benefits from a year of deworming — in terms of increases in ln(consumption) — DtW</t>
  </si>
  <si>
    <t>Units of value from each year of deworming — DtW</t>
  </si>
  <si>
    <t>Cost per child dewormed (per year) — DtW</t>
  </si>
  <si>
    <t>Total number of children dewormed (per year) — DtW</t>
  </si>
  <si>
    <t>Intuition check</t>
  </si>
  <si>
    <t>Aggregate adjustment to Miguel and Kremer development effect — DtW</t>
  </si>
  <si>
    <t>Supplemental charity-level adjustments — Deworm the World</t>
  </si>
  <si>
    <t>Units of value per dollar spent</t>
  </si>
  <si>
    <t>Supplemental intervention-level adjustments — Deworming</t>
  </si>
  <si>
    <t>Cost per treatment breakdown:</t>
  </si>
  <si>
    <t>Other philanthropic actors</t>
  </si>
  <si>
    <t>Government financial costs</t>
  </si>
  <si>
    <t>Government in-kind costs</t>
  </si>
  <si>
    <t>Drug donations</t>
  </si>
  <si>
    <t>Total costs</t>
  </si>
  <si>
    <t>CHECKSUM</t>
  </si>
  <si>
    <t>Total expenditure attributable to different actors:</t>
  </si>
  <si>
    <t>Total expenditure</t>
  </si>
  <si>
    <t>Upstream / downstream expenditure</t>
  </si>
  <si>
    <t>Expenditure causally upstream of our donation</t>
  </si>
  <si>
    <t>Expenditure causally downstream of our donation</t>
  </si>
  <si>
    <t>Counterfactual value of spending from non-philanthropic actors (units of value per dollar)</t>
  </si>
  <si>
    <t>Domestic government financial costs</t>
  </si>
  <si>
    <t>Domestic government in-kind costs</t>
  </si>
  <si>
    <t>Donated drug costs</t>
  </si>
  <si>
    <t>Probability of scenarios in absence of philanthropic spending</t>
  </si>
  <si>
    <t>Scenario 3: Government financial costs would stay the same</t>
  </si>
  <si>
    <t>What fraction of the program would still happen?</t>
  </si>
  <si>
    <t>Expected change in amount of funding spent on deworming by non-philanthropic actors in absence of philanthropic spending</t>
  </si>
  <si>
    <t xml:space="preserve">        Government financial</t>
  </si>
  <si>
    <t xml:space="preserve">        Government in-kind</t>
  </si>
  <si>
    <t xml:space="preserve">        Donated drugs</t>
  </si>
  <si>
    <t>Units of value generated by changes in amount of funding spent on deworming by non-philanthropic actors in absence of philanthropic spending</t>
  </si>
  <si>
    <t>Units of value generated by changes in amount of funding spent on counterfactual programs by non-philanthropic actors in absence of philanthropic spending</t>
  </si>
  <si>
    <t>Net units of value created by changes in spending by non-philanthropic actors in absence of philanthropic spending</t>
  </si>
  <si>
    <t>Net units of value created by philanthropic spending</t>
  </si>
  <si>
    <t>Results after leverage / funging adjustment</t>
  </si>
  <si>
    <t>Total units of value generated, after accounting for leverage/funging</t>
  </si>
  <si>
    <t>% change in cost-effectiveness from leverage and funging</t>
  </si>
  <si>
    <t>Deworming - Unlimit Health (formerly known as the SCI Foundation (SCI))</t>
  </si>
  <si>
    <t>Ethiopia</t>
  </si>
  <si>
    <t>Madagascar</t>
  </si>
  <si>
    <t>Tanzania</t>
  </si>
  <si>
    <t>Cote d'Ivoire</t>
  </si>
  <si>
    <t>Liberia</t>
  </si>
  <si>
    <t>Burundi</t>
  </si>
  <si>
    <t>Pemba, Zanzibar</t>
  </si>
  <si>
    <t>Unguja, Zanzibar</t>
  </si>
  <si>
    <t>Sudan</t>
  </si>
  <si>
    <t>Niger</t>
  </si>
  <si>
    <t>Mauritania</t>
  </si>
  <si>
    <t>Malawi</t>
  </si>
  <si>
    <t>Percentage of funding to be allocated to each country with marginal donations</t>
  </si>
  <si>
    <t>Percentage of total costs covered by Unlimit Health</t>
  </si>
  <si>
    <t>Number of children dewormed per year with hypothetical donation (Unlimit Health)</t>
  </si>
  <si>
    <t>Donation to Unlimit Health (arbitrary size)</t>
  </si>
  <si>
    <t>Total amount spent on the program by all contributors</t>
  </si>
  <si>
    <t>Proportion of deworming going to children — Unlimit Health</t>
  </si>
  <si>
    <t>Worm burden adjustment — Unlimit Health</t>
  </si>
  <si>
    <t>Adjusted long-term benefits per year of deworming per person treated in terms of ln(consumption)</t>
  </si>
  <si>
    <t>Present value of lifetime benefits from a year of deworming — in terms of increases in ln(consumption) — Unlimit Health</t>
  </si>
  <si>
    <t>Units of value from each year of deworming — Unlimit Health</t>
  </si>
  <si>
    <t>Cost per person dewormed (per year) — Unlimit Health</t>
  </si>
  <si>
    <t>Total number of children dewormed (per year) — Unlimit Health</t>
  </si>
  <si>
    <t>Percentage of children dewormed (per year) in each country</t>
  </si>
  <si>
    <t>Aggregate adjustment to Miguel and Kremer development effect — Unlimit Health</t>
  </si>
  <si>
    <t>Total units of value generated, before accounting for leverage and funging</t>
  </si>
  <si>
    <t>Units of value generated per dollar spent, before accounting for leverage/funging</t>
  </si>
  <si>
    <t>Supplemental charity-level adjustments — Unlimit Health</t>
  </si>
  <si>
    <t>Adjustments for effects excluded from our core model — Deworming</t>
  </si>
  <si>
    <t>Cost per person dewormed per year breakdown:</t>
  </si>
  <si>
    <t>Philanthropic actors</t>
  </si>
  <si>
    <t>Results after leverage / funging</t>
  </si>
  <si>
    <t>Total units of value generated, after accounting for leverage and funging</t>
  </si>
  <si>
    <t>Senegal</t>
  </si>
  <si>
    <t>Chad, Priority 1 areas</t>
  </si>
  <si>
    <t>Chad, Priority 2 areas</t>
  </si>
  <si>
    <t>Bas Uele, DRC</t>
  </si>
  <si>
    <t>Haut Katanga, DRC</t>
  </si>
  <si>
    <t>Haut Lomami, DRC</t>
  </si>
  <si>
    <t>Haut Uele, DRC</t>
  </si>
  <si>
    <t>Ituri, DRC</t>
  </si>
  <si>
    <t>Kasai, DRC</t>
  </si>
  <si>
    <t>Kasai Central, DRC</t>
  </si>
  <si>
    <t>Kasai Oriental, DRC</t>
  </si>
  <si>
    <t>Kinshasa, DRC</t>
  </si>
  <si>
    <t>Kongo Central, DRC</t>
  </si>
  <si>
    <t>Lomami, DRC</t>
  </si>
  <si>
    <t>Mai Ndombe, DRC</t>
  </si>
  <si>
    <t>Nord Ubangi, DRC</t>
  </si>
  <si>
    <t>Sud Kivu, DRC</t>
  </si>
  <si>
    <t>Tanganyika, DRC</t>
  </si>
  <si>
    <t>Tshopo, DRC</t>
  </si>
  <si>
    <t>West, Cameroon</t>
  </si>
  <si>
    <t>North, Cameroon</t>
  </si>
  <si>
    <t>Far-North, Cameroon</t>
  </si>
  <si>
    <t>East, Cameroon</t>
  </si>
  <si>
    <t>Adamoua, Cameroon</t>
  </si>
  <si>
    <t>Littoral, Cameroon</t>
  </si>
  <si>
    <t>South, Cameroon</t>
  </si>
  <si>
    <t>Benue State</t>
  </si>
  <si>
    <t>Kebbi State</t>
  </si>
  <si>
    <t>Kogi State</t>
  </si>
  <si>
    <t>Kwara State</t>
  </si>
  <si>
    <t>Sokoto State</t>
  </si>
  <si>
    <t>Taraba State</t>
  </si>
  <si>
    <t>Yobe State</t>
  </si>
  <si>
    <t>Kaduna State</t>
  </si>
  <si>
    <t>Kano State</t>
  </si>
  <si>
    <t>Katsina State</t>
  </si>
  <si>
    <t>Niger State</t>
  </si>
  <si>
    <t>Adamawa State</t>
  </si>
  <si>
    <t>Zamfara State</t>
  </si>
  <si>
    <t>Guinea-Bissau</t>
  </si>
  <si>
    <t>Percentage of total costs covered by Sightsavers</t>
  </si>
  <si>
    <t>Percentage of total costs covered by domestic governments</t>
  </si>
  <si>
    <t>Number of children dewormed per year with hypothetical donation (Sightsavers)</t>
  </si>
  <si>
    <t>Donation to Sightsavers (arbitrary size)</t>
  </si>
  <si>
    <t>Proportion of deworming going to children — Sightsavers</t>
  </si>
  <si>
    <t>Worm burden adjustment — Sightsavers</t>
  </si>
  <si>
    <t>Present value of lifetime benefits from a year of deworming — in terms of increases in ln(consumption)</t>
  </si>
  <si>
    <t>Units of value from each year of deworming — Sightsavers</t>
  </si>
  <si>
    <t>Cost per person dewormed (per year) — Sightsavers</t>
  </si>
  <si>
    <t>Total number of children dewormed (per year)</t>
  </si>
  <si>
    <t>Aggregate adjustment to Miguel and Kremer development effect — Sightsavers</t>
  </si>
  <si>
    <t>Supplemental charity-level adjustments — Sightsavers</t>
  </si>
  <si>
    <t>Cost per child dewormed breakdown</t>
  </si>
  <si>
    <t>Other philanthropic actors supporting deworming</t>
  </si>
  <si>
    <t>Probability of scenarios in absence of Sightsavers' spending</t>
  </si>
  <si>
    <t>Scenario 1: Government costs would replace Sightsavers costs</t>
  </si>
  <si>
    <t>Scenario 2: Other philanthropic actors would replace Sightsavers' costs</t>
  </si>
  <si>
    <t>Scenario 1: Government costs would replace Sightsavers' costs</t>
  </si>
  <si>
    <t>Expected change in amount of funding spent on deworming by other actors in absence of Sightsavers' spending</t>
  </si>
  <si>
    <t xml:space="preserve">        Other philanthropic actors</t>
  </si>
  <si>
    <t>Units of value generated by changes in amount of funding spent on deworming by other actors in absence of Sightsavers' spending</t>
  </si>
  <si>
    <t>Units of value generated by changes in amount of funding spent on counterfactual programs by other actors in absence of Sightsavers' spending</t>
  </si>
  <si>
    <t>Net units of value created by changes in spending by other actors in absence of Sightsavers' spending</t>
  </si>
  <si>
    <t>Net units of value created by Sightsavers' spending</t>
  </si>
  <si>
    <t>Seasonal malaria chemoprevention (SMC) - Malaria Consortium</t>
  </si>
  <si>
    <t>Burkina Faso</t>
  </si>
  <si>
    <t>Bauchi, Nigeria</t>
  </si>
  <si>
    <t>Borno, Nigeria</t>
  </si>
  <si>
    <t>Kebbi, Nigeria</t>
  </si>
  <si>
    <t>Kogi, Nigeria</t>
  </si>
  <si>
    <t>Nasarawa, Nigeria</t>
  </si>
  <si>
    <t>Plateau, Nigeria</t>
  </si>
  <si>
    <t>Sokoto, Nigeria</t>
  </si>
  <si>
    <t>FCT, Nigeria</t>
  </si>
  <si>
    <t>Mozambique</t>
  </si>
  <si>
    <t>Percentage of total program costs covered by Malaria Consortium</t>
  </si>
  <si>
    <t>Percentage of total program costs covered by other philanthropic actors</t>
  </si>
  <si>
    <t>Percentage of total program costs covered by domestic governments</t>
  </si>
  <si>
    <t>Number of children treated with SMC with a hypothetical donation</t>
  </si>
  <si>
    <t>Donation to Malaria Consortium (arbitrary size)</t>
  </si>
  <si>
    <t>Cost per SMC cycle administered</t>
  </si>
  <si>
    <t>Average number of SMC cycles per year</t>
  </si>
  <si>
    <t>Cost per child treated with all cycles of SMC</t>
  </si>
  <si>
    <t>Total number of children treated in one year</t>
  </si>
  <si>
    <t>SMC effectiveness from RCTs</t>
  </si>
  <si>
    <t>Rate ratio for malaria cases (intention to treat effect)</t>
  </si>
  <si>
    <t>Corresponding reduction in clinical malaria among children targeted</t>
  </si>
  <si>
    <t>Internal validity adjustment — SMC</t>
  </si>
  <si>
    <t>External validity adjustment — SMC</t>
  </si>
  <si>
    <t>Estimated coverage in trials considered in GiveWell's meta-analysis</t>
  </si>
  <si>
    <t>Expected reduction in malaria cases among children treated</t>
  </si>
  <si>
    <t>Baseline mortality rate</t>
  </si>
  <si>
    <t>In this section, we estimate all-cause mortality rates and the fraction of all-cause mortality that is expected to come from malaria deaths in targeted populations.</t>
  </si>
  <si>
    <t>Percent of 3- to 59-month old deaths due to malaria—using 2019 GBD data</t>
  </si>
  <si>
    <t>Number of under-5 deaths from malaria (per year)</t>
  </si>
  <si>
    <t>Number of "Early neonatal" (0-6 days) deaths from malaria (per year)</t>
  </si>
  <si>
    <t>Number of "Late neonatal" (7-27 days) deaths from malaria (per year)</t>
  </si>
  <si>
    <t>Number of "Post neonatal" (28-364 days) deaths from malaria (per year)</t>
  </si>
  <si>
    <t>Mortality rate from malaria in each month of life for 1-2 month olds compared to 3-11 month olds</t>
  </si>
  <si>
    <t>Number of annual malaria deaths in post-neonatal period in each monthly age bracket</t>
  </si>
  <si>
    <t>Number of malaria deaths in 1-2 month olds (per year)</t>
  </si>
  <si>
    <t>Number of remaining malaria deaths in 3-59 months olds (per year)</t>
  </si>
  <si>
    <t>Percentage of annual under-5 malaria deaths that occur in 3-59 month olds</t>
  </si>
  <si>
    <t>Under-5 mortality rate from malaria (per 100,000 child years)</t>
  </si>
  <si>
    <t>Estimated population of 3-59 month olds</t>
  </si>
  <si>
    <t>Mortality rate from malaria for 3-59 month olds (per 1,000 child years)</t>
  </si>
  <si>
    <t>Mortality by age group</t>
  </si>
  <si>
    <t>Malaria deaths in 3- to 59-month olds</t>
  </si>
  <si>
    <t>Malaria deaths, all ages (GBD)</t>
  </si>
  <si>
    <t>Ratio of malaria deaths at all ages to malaria deaths at 3- to 59-months</t>
  </si>
  <si>
    <t>Malaria prevalence</t>
  </si>
  <si>
    <t>Malaria prevalence (Age 1-4)</t>
  </si>
  <si>
    <t>Malaria prevalence (Age 5-9)</t>
  </si>
  <si>
    <t>Malaria prevalence (Age 10-14)</t>
  </si>
  <si>
    <t>Malaria prevalence (Age 5-14)</t>
  </si>
  <si>
    <t>Mortality reduction in treated population</t>
  </si>
  <si>
    <t>3- to 59-month old mortality caused directly by malaria (per 1,000 child-years)</t>
  </si>
  <si>
    <t>Malaria-attributable deaths in target population (per 1,000 child-years)</t>
  </si>
  <si>
    <t>Proportion of annual direct malaria mortality occurring in high-transmission season</t>
  </si>
  <si>
    <t>Malaria-attributable deaths per 1000 under-5's during high-transmission season</t>
  </si>
  <si>
    <t>Malaria-attributable deaths prevented per 1000 under-5's treated</t>
  </si>
  <si>
    <t>Malaria-attributable deaths averted in treated population (after internal and external validity adjustments)</t>
  </si>
  <si>
    <t>Total units of value from mortality reduction among treated population</t>
  </si>
  <si>
    <t>Mortality reduction in untreated population</t>
  </si>
  <si>
    <t>Reduction in malaria incidence for treated population in Cisse et al. 2016</t>
  </si>
  <si>
    <t>Reduction in malaria incidence for untreated population in Cisse et al. 2016</t>
  </si>
  <si>
    <t>Unadjusted expected reduction in malaria cases in untreated population as a percentage of the reduction in the treated population</t>
  </si>
  <si>
    <t>Ratio of malaria deaths at all ages to malaria deaths in 3- to 59-month olds</t>
  </si>
  <si>
    <t>Malaria-attributable deaths averted in the untreated population per 1000 under-5's treated (before adjustments)</t>
  </si>
  <si>
    <t>Malaria-attributable deaths averted in untreated population (before adjustments)</t>
  </si>
  <si>
    <t>Adjustment to account for higher proportion of people being covered in the trial than in targeted population</t>
  </si>
  <si>
    <t>Malaria-attributable deaths averted in untreated population (after adjustments)</t>
  </si>
  <si>
    <t>Total units of value from mortality reduction among untargeted population</t>
  </si>
  <si>
    <t>Total mortality reduction</t>
  </si>
  <si>
    <t>Malaria-attributable deaths averted in treated and untreated populations</t>
  </si>
  <si>
    <t>Percentage point reduction in malaria prevalence in treated population after adherence and coverage adjustments (Age &lt;5)</t>
  </si>
  <si>
    <t>Percentage point reduction in malaria prevalence in untreated population after adherence and coverage adjustments (Age 5-14)</t>
  </si>
  <si>
    <t>Population in country age 1-4</t>
  </si>
  <si>
    <t>Population in country age 5-14</t>
  </si>
  <si>
    <t>Size of untreated population (5-14 year-olds exposed to spillovers)</t>
  </si>
  <si>
    <t>Increase in income from reducing point in time probability of malaria infection from 100% to 0% for an individual for one year between the ages of 0 and 14</t>
  </si>
  <si>
    <t>Increase in ln(income) from reducing point in time probability of malaria infection from 100% to 0% for an individual for one year between the ages of 0 and 14</t>
  </si>
  <si>
    <t>Average number of years between program implementation and the beginning of long-term benefits</t>
  </si>
  <si>
    <t>Duration of long term benefits of SMC (in years)</t>
  </si>
  <si>
    <t>Present value of lifetime benefits from reducing prevalence from 1 to 0 for an individual for one year between the ages of 0 and 14 (in terms of increases in ln(income))</t>
  </si>
  <si>
    <t>Present value of benefits from reducing point in time probability of malaria infection from 100% to 0% for an individual for one year between the ages of 0 and 14</t>
  </si>
  <si>
    <t>Total units of increase in units of annual ln(income) for children currently under 5 — Present value</t>
  </si>
  <si>
    <t>Total units of increase in units of annual ln(income) for children currently aged 5-14 — Present value</t>
  </si>
  <si>
    <t>Total units of value from development benefits (before internal and external validity adjustments)</t>
  </si>
  <si>
    <t>Units of value per treatment-year (before internal and external validity adjustments)</t>
  </si>
  <si>
    <t>Total units of value from development benefits (before accounting for leverage and funging)</t>
  </si>
  <si>
    <t>Initial cost per life saved estimate</t>
  </si>
  <si>
    <t>Percent of total units of value generated from mortality reduction in treated populations (children aged 3- to 59-months)</t>
  </si>
  <si>
    <t>Percent of total units of value generated from mortality reduction in untreated populations</t>
  </si>
  <si>
    <t>Supplemental charity-level adjustments — Malaria Consortium</t>
  </si>
  <si>
    <t>Malaria-attributable deaths averted</t>
  </si>
  <si>
    <t>Cost per death averted, after supplemental charity-level adjustments</t>
  </si>
  <si>
    <t>Supplemental intervention-level adjustments — SMC</t>
  </si>
  <si>
    <t>Long-lasting insecticide-treated net (LLIN) distributions not accounted for in GBD 2019 estimates</t>
  </si>
  <si>
    <t>Total units of value generated, before accounting for leverage/funging</t>
  </si>
  <si>
    <t>Domestic government</t>
  </si>
  <si>
    <t>The Global Fund</t>
  </si>
  <si>
    <t>Expected change in amount of funding spent on SMC by non-philanthropic actors in absence of philanthropic funding</t>
  </si>
  <si>
    <t>Scenario 2: Global Fund and/or PMI costs would replace philanthropic costs</t>
  </si>
  <si>
    <t>Units of value generated by changes in amount of funding spent on SMC by other actors in absence of philanthropic spending</t>
  </si>
  <si>
    <t>Vitamin A supplementation (VAS) - Helen Keller International</t>
  </si>
  <si>
    <t>Cameroon</t>
  </si>
  <si>
    <t>Côte d'Ivoire</t>
  </si>
  <si>
    <t>Mali</t>
  </si>
  <si>
    <t>Adamawa</t>
  </si>
  <si>
    <t>Akwa Ibom</t>
  </si>
  <si>
    <t>Benue</t>
  </si>
  <si>
    <t>Ekiti</t>
  </si>
  <si>
    <t>Nasarawa</t>
  </si>
  <si>
    <t>Taraba</t>
  </si>
  <si>
    <t>Anambra</t>
  </si>
  <si>
    <t>Delta</t>
  </si>
  <si>
    <t>Ebonyi</t>
  </si>
  <si>
    <t>Edo</t>
  </si>
  <si>
    <t>Imo</t>
  </si>
  <si>
    <t>Kogi</t>
  </si>
  <si>
    <t>Ogun</t>
  </si>
  <si>
    <t>Osun</t>
  </si>
  <si>
    <t>Rivers</t>
  </si>
  <si>
    <t>Percentage of total program costs covered by Helen Keller International</t>
  </si>
  <si>
    <t>Percentage of total costs covered by Nutrition International (vitamin A capsule procurement)</t>
  </si>
  <si>
    <t>Government financial costs as a percentage of total costs</t>
  </si>
  <si>
    <t>In-kind government costs as a percentage of total costs</t>
  </si>
  <si>
    <t>Number of children covered with VAS with a hypothetical donation</t>
  </si>
  <si>
    <t>Donation to Helen Keller International (arbitrary size)</t>
  </si>
  <si>
    <t>Total amount spent on hypothetical program by all contributors</t>
  </si>
  <si>
    <t>Cost per child covered per supplementation round</t>
  </si>
  <si>
    <t>Supplementation rounds per year</t>
  </si>
  <si>
    <t>Cost per child covered per year</t>
  </si>
  <si>
    <t>Total number of children covered in one year</t>
  </si>
  <si>
    <t>Meta-analysis finding on relative rate of mortality reduction</t>
  </si>
  <si>
    <t>Relative risk of all-cause mortality for children aged 6- to 59-months participating in VAS programs</t>
  </si>
  <si>
    <t>Corresponding reduction in all-cause mortality rates</t>
  </si>
  <si>
    <t>Estimated coverage in RCTs included in meta-analysis</t>
  </si>
  <si>
    <t>Reduction in all-cause mortality rates for all children treated</t>
  </si>
  <si>
    <t>Mortality reduction with hypothetical donation</t>
  </si>
  <si>
    <t>Baseline deaths per 1,000 child-years for children aged 6- to 59-months</t>
  </si>
  <si>
    <t>Expected number of deaths in hypothetical cohort of children over one year in absence of VAS program</t>
  </si>
  <si>
    <t>Expected deaths averted in cohort due to program (before internal and external validity adjustments)</t>
  </si>
  <si>
    <t>Internal validity adjustment — VAS</t>
  </si>
  <si>
    <t>External validity adjustment — VAS</t>
  </si>
  <si>
    <t>Additional adjustment for baseline mortality rate and VAD prevalence estimates in Kenya</t>
  </si>
  <si>
    <t>External validity adjustment (after additional adjustment)</t>
  </si>
  <si>
    <t>Expected deaths averted in cohort due to program (after internal and external validity adjustments)</t>
  </si>
  <si>
    <t>Total units of value from mortality reduction</t>
  </si>
  <si>
    <t>Development benefits</t>
  </si>
  <si>
    <t>Units of value from development effects per treatment-year of VAS, compared to SMC (before internal and external adjustments)</t>
  </si>
  <si>
    <t>Units of value from development effects per treatment-year of SMC, average across contexts</t>
  </si>
  <si>
    <t>Units of value from development effects per treatment-year of VAS (before internal and external validity adjustments)</t>
  </si>
  <si>
    <t>Units of value from development benefits</t>
  </si>
  <si>
    <t>Percent of total units of value generated from mortality reduction</t>
  </si>
  <si>
    <t>Supplemental charity-level adjustments — Helen Keller International</t>
  </si>
  <si>
    <t>Expected deaths averted in cohort due to program</t>
  </si>
  <si>
    <t>Supplemental intervention-level adjustments — VAS</t>
  </si>
  <si>
    <t>Total units of value generated, after supplemental intervention-level adjustments</t>
  </si>
  <si>
    <t>Units of value generated per dollar spent, after supplemental intervention-level adjustments</t>
  </si>
  <si>
    <t>Nutrition International (vitamin A capsule procurement)</t>
  </si>
  <si>
    <t>Government financial</t>
  </si>
  <si>
    <t>In-kind government</t>
  </si>
  <si>
    <t>Other philanthropic actors supporting VAS campaigns</t>
  </si>
  <si>
    <t>Probability of scenarios in absence of HKI's spending</t>
  </si>
  <si>
    <t>Scenario 1: Government costs would replace HKI's costs</t>
  </si>
  <si>
    <t>Scenario 2: Other philanthropic actors would replace HKI's costs</t>
  </si>
  <si>
    <t>Scenario 3: Other actors' upstream costs would stay the same (downstream costs would shrink in proportion to the total size of the program)</t>
  </si>
  <si>
    <t>Expected change in amount of funding spent on VAS by other actors in absence of HKI's spending</t>
  </si>
  <si>
    <t xml:space="preserve">        Donated vitamin A capsules</t>
  </si>
  <si>
    <t>Units of value generated by changes in amount of funding spent on VAS by other actors in absence of HKI's spending</t>
  </si>
  <si>
    <t>Units of value generated by changes in amount of funding spent on counterfactual programs by other actors in absence of HKI's spending</t>
  </si>
  <si>
    <t>Net units of value created by changes in spending by other actors in absence of HKI's spending</t>
  </si>
  <si>
    <t>Net units of value created by HKI's spending</t>
  </si>
  <si>
    <t>Units of value generated per dollar spent by HKI</t>
  </si>
  <si>
    <t>Conditional cash transfers to increase infant vaccination in Nigeria - New Incentives</t>
  </si>
  <si>
    <t>Abia</t>
  </si>
  <si>
    <t>Bauchi</t>
  </si>
  <si>
    <t>Bayelsa</t>
  </si>
  <si>
    <t>Borno</t>
  </si>
  <si>
    <t>Cross River</t>
  </si>
  <si>
    <t>Enugu</t>
  </si>
  <si>
    <t>FCT</t>
  </si>
  <si>
    <t>Gombe</t>
  </si>
  <si>
    <t>Jigawa</t>
  </si>
  <si>
    <t>Kaduna</t>
  </si>
  <si>
    <t>Kano</t>
  </si>
  <si>
    <t>Katsina</t>
  </si>
  <si>
    <t>Kebbi</t>
  </si>
  <si>
    <t>Kwara</t>
  </si>
  <si>
    <t>Lagos</t>
  </si>
  <si>
    <t>Ondo</t>
  </si>
  <si>
    <t>Oyo</t>
  </si>
  <si>
    <t>Plateau</t>
  </si>
  <si>
    <t>Sokoto</t>
  </si>
  <si>
    <t>Yobe</t>
  </si>
  <si>
    <t>Zamfara</t>
  </si>
  <si>
    <t>Increase in vaccination rates due to New Incentives</t>
  </si>
  <si>
    <t>Aggregate baseline vaccination coverage (i.e. vaccination rates in the absence of New Incentives' program)</t>
  </si>
  <si>
    <t>Percent of infants who would be unvaccinated in the absence of New Incentives' program</t>
  </si>
  <si>
    <t>Estimated reduction in the percent of unvaccinated infants as a result of New Incentives' program</t>
  </si>
  <si>
    <t>Increase in vaccination rates due to New Incentives (in percentage points)</t>
  </si>
  <si>
    <t>Number of vaccinations supported with a hypothetical donation</t>
  </si>
  <si>
    <t>Cost of the program per enrolled infant, New Incentives</t>
  </si>
  <si>
    <t>Government cost per additional (counterfactual) full immunization</t>
  </si>
  <si>
    <t>Gavi cost per additional (counterfactual) full immunization</t>
  </si>
  <si>
    <t>Donation to New Incentives (arbitrary size)</t>
  </si>
  <si>
    <t>Percent of infants who would have been vaccinated without New Incentives</t>
  </si>
  <si>
    <t>Percent of those vaccinated in treatment catchment areas who were enrolled in New Incentives' RCT</t>
  </si>
  <si>
    <t>Size of cohort of infants (based on size of donation to New Incentives)</t>
  </si>
  <si>
    <t>Number of vaccinations in cohort paid for by New Incentives</t>
  </si>
  <si>
    <t>Number of infants in cohort counterfactually vaccinated</t>
  </si>
  <si>
    <t>Total government spending on counterfactual vaccinations</t>
  </si>
  <si>
    <t>Total spending by Gavi on counterfactual vaccinations</t>
  </si>
  <si>
    <t>Effect of vaccination on disease incidence</t>
  </si>
  <si>
    <t xml:space="preserve">Percent of all under 5 vaccine-preventable deaths from diseases targeted by: </t>
  </si>
  <si>
    <t>PCV vaccine (three doses)</t>
  </si>
  <si>
    <t>DTP vaccine (three doses)</t>
  </si>
  <si>
    <t>HiB vaccine (three doses)</t>
  </si>
  <si>
    <t>Measles vaccine (one dose)</t>
  </si>
  <si>
    <t>BCG vaccine (one dose)</t>
  </si>
  <si>
    <t>Rotavirus vaccine (two doses)</t>
  </si>
  <si>
    <t>Vaccine efficacy</t>
  </si>
  <si>
    <t>Ratio of the reduction in vaccine-preventable disease mortality to the reduction in vaccine-preventable disease</t>
  </si>
  <si>
    <t>Overall unadjusted vaccine efficacy for vaccine-preventable disease from meta-analyses</t>
  </si>
  <si>
    <t>Overall unadjusted relative risk for the incidence of vaccine-preventable diseases from meta-analyses</t>
  </si>
  <si>
    <t>Adjustment for coverage in trials</t>
  </si>
  <si>
    <t>Adjustment for lower vaccine efficacy in Nigeria</t>
  </si>
  <si>
    <t>Probability that low agreement between biomarkers results and caregiver reports in operational pilots were driven by:</t>
  </si>
  <si>
    <t>Issues unlikely to lead to vaccine efficacy concerns in New Incentives' program</t>
  </si>
  <si>
    <t>Issues likely to lead to vaccine efficacy concerns in New Incentives' program</t>
  </si>
  <si>
    <t>Implied adjustment factors for explanation for biomarkers results:</t>
  </si>
  <si>
    <t>Weighted average adjustment to vaccine efficacy based on biomarkers results</t>
  </si>
  <si>
    <t>Adjustment factors for additional sources of evidence:</t>
  </si>
  <si>
    <t>Meta-analysis we use for main effect of measles vaccine</t>
  </si>
  <si>
    <t>Nigerian seroconversion study (Fowotade et al. 2015)</t>
  </si>
  <si>
    <t>Meta-analysis with Africa-specific effect (Uzicanin and Zimmerman 2011)</t>
  </si>
  <si>
    <t>Weight applied to each source of evidence:</t>
  </si>
  <si>
    <t>Biomarkers operational pilots</t>
  </si>
  <si>
    <t>Meta-analysis we use for main effect of measles vaccine in CEA</t>
  </si>
  <si>
    <t>Weighted average adjustment factor</t>
  </si>
  <si>
    <t>Application to other vaccines besides measles:</t>
  </si>
  <si>
    <t>Contribution of measles to CEA</t>
  </si>
  <si>
    <t>Contribution of other vaccines to CEA</t>
  </si>
  <si>
    <t>Percent of adjustment that applies to non-measles vaccines</t>
  </si>
  <si>
    <t>Measles adjustment</t>
  </si>
  <si>
    <t>Non-measles adjustment</t>
  </si>
  <si>
    <t>Overall adjustment for lower vaccine efficacy in Nigeria</t>
  </si>
  <si>
    <t>Adjustment for all-cause mortality effect</t>
  </si>
  <si>
    <t>Probability of death from vaccine-preventable diseases among vaccinated and unvaccinated children under 5</t>
  </si>
  <si>
    <t>Percent vaccinated during time of IHME data</t>
  </si>
  <si>
    <t>Indirect deaths averted per direct death averted from vaccination</t>
  </si>
  <si>
    <t>Relative risk for the incidence of vaccine-preventable diseases, with adjustments for coverage and lower vaccine efficacy in Nigeria</t>
  </si>
  <si>
    <t>Adjustment for all-cause mortality effect (goal-seek based on indirect deaths averted per direct death averted estimate)</t>
  </si>
  <si>
    <t>Relative risk for the incidence of vaccine-preventable diseases, with adjustment for all-cause mortality effect</t>
  </si>
  <si>
    <t>Probability of death from vaccine-preventable diseases among unvaccinated children under 5 (direct only)</t>
  </si>
  <si>
    <t>Probability of death from vaccine-preventable diseases among unvaccinated children under 5 (direct and indirect)</t>
  </si>
  <si>
    <t>Deaths directly averted per person vaccinated</t>
  </si>
  <si>
    <t>Total deaths averted per person vaccinated</t>
  </si>
  <si>
    <t>Indirect deaths averted per person vaccinated</t>
  </si>
  <si>
    <t>Indirect deaths averted per direct death averted from vaccination (calculated)</t>
  </si>
  <si>
    <t>Check on indirect deaths averted estimate</t>
  </si>
  <si>
    <t>Adjustment for reductions in mortality from causes other than vaccine-preventable diseases</t>
  </si>
  <si>
    <t>Vaccine efficacy for vaccine-preventable disease from meta-analysis, adjusted</t>
  </si>
  <si>
    <t>Relative risk for the incidence of vaccine-preventable disease from meta-analyses, adjusted</t>
  </si>
  <si>
    <t>Mortality reduction for children under 5</t>
  </si>
  <si>
    <t>Probability of death from vaccine-preventable diseases for unvaccinated children under 5</t>
  </si>
  <si>
    <t>Number of deaths of children under five averted in cohort</t>
  </si>
  <si>
    <t>Units of value from mortality reduction among children under 5</t>
  </si>
  <si>
    <t>Mortality reduction for individuals older than 5</t>
  </si>
  <si>
    <t>Discount rate for future averted deaths</t>
  </si>
  <si>
    <t>Individuals 5-14 years old</t>
  </si>
  <si>
    <t>Unadjusted probability of death from vaccine-preventable diseases among vaccinated and unvaccinated children 5-14 years old</t>
  </si>
  <si>
    <t>Vaccine efficacy weighted by probability of death</t>
  </si>
  <si>
    <t>Probability of death from vaccine-preventable diseases for unvaccinated (for individuals 5-14 years old)</t>
  </si>
  <si>
    <t>Adjustment for lower baseline probability of death in the future</t>
  </si>
  <si>
    <t>Adjustment for long-term vaccine effectiveness</t>
  </si>
  <si>
    <t>Adjusted probability of death from vaccine-preventable diseases for unvaccinated once they reach this age group</t>
  </si>
  <si>
    <t>Vaccine efficacy weighted by probability of death, adjusted</t>
  </si>
  <si>
    <t>Vaccine relative risk weighted by probability of death, adjusted</t>
  </si>
  <si>
    <t>Deaths averted in cohort</t>
  </si>
  <si>
    <t>Discounted deaths averted in cohort</t>
  </si>
  <si>
    <t>Units of value from mortality reduction individuals 5-14 years old</t>
  </si>
  <si>
    <t>Individuals 15-49 years old</t>
  </si>
  <si>
    <t>Unadjusted probability of death from vaccine-preventable diseases among vaccinated and unvaccinated individuals 15-49 years old</t>
  </si>
  <si>
    <t>Probability of death from vaccine-preventable diseases for unvaccinated (for individuals 15-49 years old)</t>
  </si>
  <si>
    <t>Units of value from mortality reduction individuals 15-49 years old</t>
  </si>
  <si>
    <t>Individuals 50-74 years old</t>
  </si>
  <si>
    <t>Probability of death from vaccine-preventable diseases among vaccinated and unvaccinated individuals 50-74 years old</t>
  </si>
  <si>
    <t>Probability of death from vaccine-preventable diseases for unvaccinated (for individuals 50-74 years old)</t>
  </si>
  <si>
    <t>Units of value from mortality reduction individuals 50-74 years old</t>
  </si>
  <si>
    <t>Units of value from development effects per year of protection provided by vaccination, compared to SMC</t>
  </si>
  <si>
    <t>Number of years of protection provided by vaccination</t>
  </si>
  <si>
    <t>Units of value from development effects per year of protection provided by vaccination</t>
  </si>
  <si>
    <t>Units of value from development effects per counterfactually vaccinated infant in cohort</t>
  </si>
  <si>
    <t>Units of value from development effects</t>
  </si>
  <si>
    <t>Consumption benefits</t>
  </si>
  <si>
    <t>Exchange rate, Naira per USD</t>
  </si>
  <si>
    <t>Baseline annual consumption per capita</t>
  </si>
  <si>
    <t>Cost of each clinic visit to the mother, Naira</t>
  </si>
  <si>
    <t>Cost of each clinic visit to the mother, USD</t>
  </si>
  <si>
    <t>Transfer per visits one through four, Naira</t>
  </si>
  <si>
    <t>Transfer for visit five, Naira</t>
  </si>
  <si>
    <t>Transfer per visits one through four, USD</t>
  </si>
  <si>
    <t>Transfer for visit five, USD</t>
  </si>
  <si>
    <t>Total transfer for all five visits, USD</t>
  </si>
  <si>
    <t>Transfer amount less transportation costs</t>
  </si>
  <si>
    <t>Expected consumption benefit per person</t>
  </si>
  <si>
    <t>Total increase in ln(consumption) per person from the transfer</t>
  </si>
  <si>
    <t>Total units of value from consumption benefits</t>
  </si>
  <si>
    <t>Percent of total units of value generated from mortality reduction for children under 5</t>
  </si>
  <si>
    <t>Percent of total units of value generated from mortality reduction for individuals older than 5</t>
  </si>
  <si>
    <t>Percent of total units of value generated from consumption benefits</t>
  </si>
  <si>
    <t>Supplemental charity-level adjustments — New Incentives</t>
  </si>
  <si>
    <t>Supplemental intervention-level adjustments — New Incentives</t>
  </si>
  <si>
    <t>Total units of value generated (before accounting for leverage / funging)</t>
  </si>
  <si>
    <t>Gavi</t>
  </si>
  <si>
    <t>Probability of scenarios in absence of New Incentives' spending</t>
  </si>
  <si>
    <t>Scenario 1: Government costs would replace New Incentives' costs</t>
  </si>
  <si>
    <t>Scenario 2: Government financial costs would stay the same</t>
  </si>
  <si>
    <t>Scenario 3: Distributions would go unfunded</t>
  </si>
  <si>
    <t>Expected change in amount of funding spent on the program by other actors in absence of New Incentives' spending</t>
  </si>
  <si>
    <t xml:space="preserve">        Government spending</t>
  </si>
  <si>
    <t xml:space="preserve">        Gavi spending</t>
  </si>
  <si>
    <t>Units of value generated by changes in amount of funding spent on the program by other actors in absence of New Incentives' spending</t>
  </si>
  <si>
    <t>Units of value generated by changes in amount of funding spent on counterfactual programs by other actors in absence of New Incentives' spending</t>
  </si>
  <si>
    <t>Net units of value created by changes in spending by other actors in absence of New Incentives' spending</t>
  </si>
  <si>
    <t>Net units of value created by New Incentives' spending</t>
  </si>
  <si>
    <t>Units of value generated per dollar spent by New Incentives</t>
  </si>
  <si>
    <t>Value</t>
  </si>
  <si>
    <t>Source</t>
  </si>
  <si>
    <t>See "Moral weights and discount rate" sheet</t>
  </si>
  <si>
    <t>Value of counterfactual government health spending</t>
  </si>
  <si>
    <t>What percent of counterfactual government health spending is spent on programs targeting under-5s?</t>
  </si>
  <si>
    <t>GiveWell counterfactual value of government funds calculation spreadsheet</t>
  </si>
  <si>
    <t>These are rough, back-of-the-envelope calculations. As a simplifying modeling assumption, we assume that all health spending is on programs aimed at preventing mortality, rather than morbidity.</t>
  </si>
  <si>
    <t>What is the cost per under-5 life saved for marginal government money spent on under-5s?</t>
  </si>
  <si>
    <t>What % of counterfactual government health spending is spent on programs targeting adults?</t>
  </si>
  <si>
    <t>What is the cost per adult life saved for marginal government money spent on adults?</t>
  </si>
  <si>
    <t>Units of value per government health dollar spent on programs targeting under-5s?</t>
  </si>
  <si>
    <t>Calculation</t>
  </si>
  <si>
    <t>Units of value per government health dollar spent on programs targeting over 5s?</t>
  </si>
  <si>
    <t>Units of value per government health dollar spent</t>
  </si>
  <si>
    <t>Value of counterfactual government education spending</t>
  </si>
  <si>
    <t>Expenditure on primary education (% of government expenditure on education)</t>
  </si>
  <si>
    <t>Estimates based on World Bank data for Uganda</t>
  </si>
  <si>
    <t>Expenditure on secondary education (% of government expenditure on education)</t>
  </si>
  <si>
    <t>Expenditure on tertiary education (% of government expenditure on education)</t>
  </si>
  <si>
    <t>Value of primary education in terms of increasing future consumption, relative to GiveDirectly</t>
  </si>
  <si>
    <t>Guesstimate based on accumulated GiveWell knowledge. We recognize this parameter is highly uncertain</t>
  </si>
  <si>
    <t>Value of secondary education in terms of increasing future consumption, relative to GiveDirectly</t>
  </si>
  <si>
    <t>Value of tertiary education in terms of increasing future consumption, relative to GiveDirectly</t>
  </si>
  <si>
    <t>Units of value per dollar spent, GiveDirectly</t>
  </si>
  <si>
    <t>See "GiveDirectly" sheet</t>
  </si>
  <si>
    <t>Units of value per government education dollar spent</t>
  </si>
  <si>
    <t>Value of counterfactual government social security spending</t>
  </si>
  <si>
    <t>In-kind expenditure on social security programs (% of government expenditure on social security)</t>
  </si>
  <si>
    <t>Expenditure on social pension (% of government expenditure on social security)</t>
  </si>
  <si>
    <t>Expenditure on conditional cash transfers (% of government expenditure on social security)</t>
  </si>
  <si>
    <t>Expenditure on cash transfers (% of government expenditure on social security)</t>
  </si>
  <si>
    <t>Value of in-kind social security expenditure, relative to GiveDirectly</t>
  </si>
  <si>
    <t>Value of expenditure on social pension, relative to GiveDirectly</t>
  </si>
  <si>
    <t>Value of expenditure on conditional cash transfers, relative to GiveDirectly</t>
  </si>
  <si>
    <t>Value of expenditure on cash transfers, relative to GiveDirectly</t>
  </si>
  <si>
    <t>Units of value per government social security dollar spent</t>
  </si>
  <si>
    <t>Counterfactual value of spending by other actors (units of value per dollar spent)</t>
  </si>
  <si>
    <t>Counterfactual value of government costs spent on deworming</t>
  </si>
  <si>
    <t>Weighted average of 25% health, 70% education, 5% social security</t>
  </si>
  <si>
    <t>Counterfactual value of government costs spent on malaria, VAS, and immunization programs</t>
  </si>
  <si>
    <t>Weighted average of 80% health, 10% education, 10% social security</t>
  </si>
  <si>
    <t>Counterfactual value of donated deworming drug costs</t>
  </si>
  <si>
    <t>10% as good as AMF in DRC (before supplemental adjustments)</t>
  </si>
  <si>
    <t>Counterfactual value of Global Fund spending</t>
  </si>
  <si>
    <t>Based on the cost-effectiveness of programs that the Global Fund would likely support through reallocated funding</t>
  </si>
  <si>
    <t>Counterfactual value of other philanthropic actors funding VAS and vitamin A capsule procurement (Burkina Faso, Cameroon, Cote d'Ivoire, DRC, and Guinea)</t>
  </si>
  <si>
    <t>50/50 weighted average of (a) our estimate of the value of delivering VAS in Kenya (before supplemental adjustments), and (b) our estimate of the value of domestic government health spending.</t>
  </si>
  <si>
    <t>Counterfactual value of other philanthropic actors funding VAS and vitamin A capsule procurement (other countries)</t>
  </si>
  <si>
    <t>Assumed to be same as 100% government health spending</t>
  </si>
  <si>
    <t>Counterfactual value of Gavi spending</t>
  </si>
  <si>
    <t>US allocations to Gavi and Maternal and Child Health</t>
  </si>
  <si>
    <t>Assumed to be the counterfactual value of other opportunities that Gavi donors (primarily high-income countries and private philanthropy) would fund</t>
  </si>
  <si>
    <t>Counterfactual value of other philanthropic actors' costs spent on deworming</t>
  </si>
  <si>
    <t>Putting 3/4 weight on the value of government spending on health programs and 1/4 weight on the weighted average units of value generated per dollar spent on deworming in four DRC provinces.</t>
  </si>
  <si>
    <t>Charity/Intervention</t>
  </si>
  <si>
    <t>Potential outcomes of top charity interventions</t>
  </si>
  <si>
    <t>Explicitly modeled in our CEA?</t>
  </si>
  <si>
    <t>Rough best guess of effect size</t>
  </si>
  <si>
    <t>Can it be objectively justified?</t>
  </si>
  <si>
    <t>Ease of modeling</t>
  </si>
  <si>
    <t>Consistency</t>
  </si>
  <si>
    <t>3-criteria score</t>
  </si>
  <si>
    <t>Weighting of best guess of effect</t>
  </si>
  <si>
    <r>
      <rPr>
        <rFont val="Calibri"/>
        <b/>
      </rPr>
      <t>Note</t>
    </r>
    <r>
      <rPr>
        <rFont val="Calibri"/>
      </rPr>
      <t>: We only explicitly model some of the potential outcomes of each top charity's intervention. Many other potential outcomes of each intervention are excluded to keep the core models tractable. On this sheet, we include rough guesses on how much other potential impacts of our top charity's interventions would change our overall cost-effectiveness estimates if it were explicitly modeled (column E). We also rank each effect according to three criteria (columns F through H). We use these rankings to create a weighted best guess of the impact of each effect on cost-effectiveness (columns K through M). We apply these adjustments in the "Supplemental intervention-level adjustments" section of each top charity sheet.</t>
    </r>
  </si>
  <si>
    <t>Color code</t>
  </si>
  <si>
    <t>&lt;15% = very low</t>
  </si>
  <si>
    <t>0 = Not really</t>
  </si>
  <si>
    <t>0 = It is impossible to model the effect with any reasonable degree of accuracy</t>
  </si>
  <si>
    <t>15-25% = medium</t>
  </si>
  <si>
    <t>1 = Quantifying the effect is a guess - but some answers are more likely than others; the evidence relies on non-experimental studies; or the evidence is very contradictory.</t>
  </si>
  <si>
    <t>1 = It's unclear how we would model this effect, and it would add a lot of complexity to the model</t>
  </si>
  <si>
    <t>1 = The effect would be equally relevant to other CEAs, and has not been included</t>
  </si>
  <si>
    <t>25-50% = high</t>
  </si>
  <si>
    <t>2 = Quantifying the effect requires an extrapolation from direct evidence, the evidence is mixed, or the evidence relies on quasi-experimental studies.</t>
  </si>
  <si>
    <t>2 = The methodology is clear, but adds substantial complexity to the model</t>
  </si>
  <si>
    <t>2 = The effect is included in other CEAs, but is less (half as) relevant here OR the effect is not included in other CEAs, but is more (twice as) relevant here</t>
  </si>
  <si>
    <t>&gt;50% = very high</t>
  </si>
  <si>
    <t>3 = There is strong direct evidence of this effect (e.g. an RCT in a similar setting); or the effect is obvious</t>
  </si>
  <si>
    <t>3 = The methodology is clear and simple</t>
  </si>
  <si>
    <t>3 = The effect is included in other CEAs</t>
  </si>
  <si>
    <t>3 criteria score</t>
  </si>
  <si>
    <t>Weighted best guess of effect (if excluded)</t>
  </si>
  <si>
    <t>Impacts cost per life saved estimates? (if excluded)</t>
  </si>
  <si>
    <t>Malaria child mortality</t>
  </si>
  <si>
    <t>Explicitly modeled</t>
  </si>
  <si>
    <t>Main effect of intervention; Meta-analysis of RCTs; simple modeling; consistent with SMC</t>
  </si>
  <si>
    <t>-</t>
  </si>
  <si>
    <t>Malaria adult mortality</t>
  </si>
  <si>
    <t>Large effect; extrapolation from effect on child mortality; simple modeling; consistent with SMC (but more important for nets)</t>
  </si>
  <si>
    <t>Developmental effects</t>
  </si>
  <si>
    <t xml:space="preserve"> </t>
  </si>
  <si>
    <t>Smallish effect; Quasi-experimental evidence; hard to model; consistency with deworming (but less important here)</t>
  </si>
  <si>
    <t>Malaria morbidity</t>
  </si>
  <si>
    <t>Not explicitly modeled</t>
  </si>
  <si>
    <t>Likely small effect, see here: https://docs.google.com/spreadsheets/d/1_rKbwvqAJ_ixg_wSy6qLSy3hn-XPsFipbpARpv3nLZo/edit?usp=sharing. Clearly a relevant effect but tricky to model because depends on severity of episodes; none of our CEAs include morbidity.</t>
  </si>
  <si>
    <t>Short-term anemia effects</t>
  </si>
  <si>
    <t>We have not done a detailed calculation of how much this could matter. It is currently excluded from our core CEA for similar reasons to why we exclude other kinds of morbidity: we do not expect short-term anemia effects to be the dominant effects of the relevant interventions, and they may apply to some extent to each of AMF, SMC, deworming, and vitamin A supplementation, so we have excluded the benefits from all core CEAs now for simplicity. However, we do include short-term anemia effects in incubation grants that we have made relevant to iron supplementation and fortification (see, e.g. https://www.givewell.org/research/incubation-grants/march-2018-evidence-action-beta-iron-folic-acid ) where reducing anemia is one of the primary goals of the intervention, so for consistency in the future we may want to add these effects into the core CEA. Other considerations to have in mind: 1) The benefits of reducing anemia may be partially captured by "development effects" that we have included in our model in some cases; 2) If we add short-term anemia effects to our CEA, we should be careful not to double-count anemia morbidity and other kinds of illness-related morbidity.</t>
  </si>
  <si>
    <t>Prevention of diseases other than malaria (e.g. dengue, yellow fever, zika, encephalitis)</t>
  </si>
  <si>
    <t>Don't know if there's evidence for this; small effect because original RCTs included all-cause mortality; complicated to model and other CEAs don't include non-main disease effects</t>
  </si>
  <si>
    <t>Prevention of stillbirths</t>
  </si>
  <si>
    <t>We roughly estimate ~10% ; essentially a mortality effect so consistent</t>
  </si>
  <si>
    <t>Investment of income increases</t>
  </si>
  <si>
    <t>Guess would double income effect; the evidence is likely to be speculative; consistency with GD but inconsistency with SMC/Deworming/VAS</t>
  </si>
  <si>
    <t>Rebound effects / decreased immunity development</t>
  </si>
  <si>
    <t>Guess would have ~10% effect, uncertain if it can be justified; seems difficult to model; haven't included for SMC</t>
  </si>
  <si>
    <t>Yes</t>
  </si>
  <si>
    <t>Effect on fertility</t>
  </si>
  <si>
    <t>?</t>
  </si>
  <si>
    <t>Excluded because very difficult to model as depends on population dynamics and controversial population ethics; evidence is contradictory and non-experimental; don't include anywhere else. Individuals who place weight on this should do so through subjective moral weights.</t>
  </si>
  <si>
    <t>Treatment costs averted from prevention</t>
  </si>
  <si>
    <t>N/A</t>
  </si>
  <si>
    <r>
      <rPr>
        <rFont val="Calibri"/>
      </rPr>
      <t xml:space="preserve">We have done some rough modeling on medical costs averted by health-improving programs and decided to apply a 20% upward adjustment; see our write-up on this work here: </t>
    </r>
    <r>
      <rPr>
        <rFont val="Calibri"/>
        <color rgb="FF1155CC"/>
        <u/>
      </rPr>
      <t>https://docs.google.com/document/d/1frwDp_odHXDK5pIl2q6zUdI07P1bQ0O1mW4IGTouqBA</t>
    </r>
  </si>
  <si>
    <t>Subnational adjustments</t>
  </si>
  <si>
    <t>Excluded because such a small effect and would involve annual updating. An internal-only email thread discussing possible subnational adjustments is at https://givewell.box.com/s/xmkmr616eomejjy3bntnfl2d2num8foq.</t>
  </si>
  <si>
    <t>Marginal funding goes to lower priority areas</t>
  </si>
  <si>
    <t>Varies by country</t>
  </si>
  <si>
    <t>When a country program is already receiving substantial funds, it is likely that additional funds will be used to cover lower priority areas. Excluded because we often have relatively little data on which distributions are being funded with marginal funds. Funding gaps in countries AMF serves are small, but we have limited information about which distributions would be funded on the margin. Distributions at the 75th percentile of cost-effectiveness in DRC and Malawi have ~70% of the cost-effectiveness of the average distribution. (https://givewell.box.com/s/6oct4jbgdz6t03nipj12jx7v54wqxlh4)</t>
  </si>
  <si>
    <t>Mosquito insecticide resistance in trials underlying our estimates</t>
  </si>
  <si>
    <t>Our cost-effectiveness analysis assumes that the trials underlying our estimates were conducted in contexts without mosquito insecticide resistance (our data come from Lengeler 2004 and Pryce et al. 2018: http://doi.org/10.1002/14651858.CD000363.pub2, https://www.cochranelibrary.com/cdsr/doi/10.1002/14651858.CD000363.pub3/epdf/full).  Our insecticide resistance adjustment calculation also assumes that the trials that underlie it were conducted in contexts without insecticide resistance (https://docs.google.com/spreadsheets/d/1Igt89pPBais7EP6sODpCj8JSulVJqLM2XSqbSxfa3NQ/edit#gid=0).  However, in further work we have determined that insecticide resistance was present in some of these trials (see full report here: https://docs.google.com/document/d/1GU4e9WU-wlw8xtKTKvomovffLIk92tG4rYClRfczJng/edit?usp=sharing).  We have excluded this from the cost-effectiveness estimate because 1) to estimate the impact of insecticide resistance, we would have to make very uncertain assumptions about trials with missing information on insecticide resistance, and 2) we believe insecticide resistance would probably have a small impact on overall cost-effectiveness, in part because adjusting for this variable would have opposite impacts on our estimate of insecticide-treated bed net effectiveness and our insecticide resistance adjustment, partially canceling itself out.</t>
  </si>
  <si>
    <t>Differences in mosquito species</t>
  </si>
  <si>
    <t>Our insecticide resistance adjustment model is based on resistance data from specific mosquito species in specific regions. The model assumes that the species represented in the resistance data we use are the same species that are prevalent in our locations of interest.  This assumption matters because some evidence suggests that mosquito species differ in their resistance levels to the insecticides commonly used on bed nets.  We evaluated this assumption and found that there may be differences in the species distributions that underlie our estimates and those that are prevalent in our locations of interest (see our full report here: https://docs.google.com/document/d/1GU4e9WU-wlw8xtKTKvomovffLIk92tG4rYClRfczJng/edit?usp=sharing).  We excluded this because we believe it would be complex to model and we are unsure how accurate the resulting model would be because we have little confidence in the representativeness of the data that underlie the apparent differences in insecticide resistance between species.</t>
  </si>
  <si>
    <t xml:space="preserve">Deworming </t>
  </si>
  <si>
    <t>Deworming</t>
  </si>
  <si>
    <t>Unlimit HealthDTWI</t>
  </si>
  <si>
    <t>Very large effect; complex and contradictory evidence base; difficult to model (because involves large replicability adjustment); not modeling for Vit A</t>
  </si>
  <si>
    <t>Direct health effects</t>
  </si>
  <si>
    <t xml:space="preserve">Unclear what benefits are at typical levels of worm prevalence and instensity seen in today's programs. Difficult to model in a satisfying way. </t>
  </si>
  <si>
    <t>HIV reduction</t>
  </si>
  <si>
    <t>We have not seen strong evidence for these effects; fairly easy to model; consistency not obvious: on the one hand it's mortality, on the other it's side effects which we don't include for e.g. malaria</t>
  </si>
  <si>
    <t>Possible increases in diseases of affluence (harms of deworming)</t>
  </si>
  <si>
    <t>Initial evidence scan suggests this is a small effect; hard to model and a kind of long-run, speculative effect.</t>
  </si>
  <si>
    <t>Averted mortality</t>
  </si>
  <si>
    <t>Our understanding is that mortality is rare enough that it would have only a very small effect on CEA</t>
  </si>
  <si>
    <t>Evidence likely to be speculative, income earned in future so won't compound that much; relatively easy to model and consistent with GiveDirectly</t>
  </si>
  <si>
    <t>Non-income long-run benefits of deworming</t>
  </si>
  <si>
    <t>Doubt there'll be any evidence and seems very difficult to model; we don't do this for anything else</t>
  </si>
  <si>
    <t>Other NTD prevention (relevant to Sightsavers and END Fund)</t>
  </si>
  <si>
    <t>Guess ~20% effect; likely to be decent evidence but hard to model because involves doing CEAs of everything else; most relevant for Sightsavers and END Fund.</t>
  </si>
  <si>
    <t>Drug resistance</t>
  </si>
  <si>
    <t>Have not seen evidence on this in the past, so would be a speculative input; consistent with AMF to include</t>
  </si>
  <si>
    <t>Unprogrammed deworming</t>
  </si>
  <si>
    <t>Deworming separate from national MDAs may be common, but we have little sense of how common it is. Harris et al. 2015, Hafiz et al. 2013, and Addiss 2015 all found relatively high rates of unprogrammed deworming in the studied populations.</t>
  </si>
  <si>
    <t>When a country program is already receiving substantial funds, it is likely that additional funds will be used to cover lower priority areas</t>
  </si>
  <si>
    <t>General equilibrium effects</t>
  </si>
  <si>
    <r>
      <rPr>
        <rFont val="Calibri"/>
      </rPr>
      <t xml:space="preserve">We cannot directly measure the "general equilibrium" effects of deworming. For example, the randomised evaluations we rely on likely overestimate the effect because they do not account for the fact that recipients and non-recipients interact in a competitive labor market. On the other hand, people may benefit from others' higher productivity, for example through lower prices. We believe the overall effect is likely to be small. For more discussion see </t>
    </r>
    <r>
      <rPr>
        <rFont val="Calibri"/>
        <color rgb="FF1155CC"/>
        <u/>
      </rPr>
      <t>https://blog.givewell.org/2016/12/06/why-i-mostly-believe-in-worms/#comment-940797</t>
    </r>
  </si>
  <si>
    <t>SMC</t>
  </si>
  <si>
    <t>Main effect of intervention; Meta-analysis of RCTs; simple modeling; consistent with AMF</t>
  </si>
  <si>
    <t>Medium effect (less than nets), one recent cluster RCT showing reduction; easy to model and consistent with AMF</t>
  </si>
  <si>
    <t>Guess would double income effect; evidence likely to be speculative; consistency with GD</t>
  </si>
  <si>
    <t>Guess would have ~10% effect, evidence that this isn't happening in short term but may happen in long term; seems difficult to model; haven't included for AMF</t>
  </si>
  <si>
    <t>Did some initial work looking into this and doesn't appear to be happening yet (although there will be a long term effect)</t>
  </si>
  <si>
    <t>We have done some rough modeling on medical costs averted by health-improving programs and decided to apply a 20% upward adjustment; see our write-up on this work here: https://docs.google.com/document/d/1frwDp_odHXDK5pIl2q6zUdI07P1bQ0O1mW4IGTouqBA</t>
  </si>
  <si>
    <t>When a country program is already receiving substantial funds, it is likely that additional funds will be used to cover lower priority areas. Excluded because we often have relatively little data on which distributions are being funded with marginal funds. Funding gaps in countries Malaria Consortium serves are reasonably large; uncovered but eligible areas in Niger appear to have incidence roughly similar to covered areas (https://givewell.box.com/s/6oct4jbgdz6t03nipj12jx7v54wqxlh4)</t>
  </si>
  <si>
    <t>Counterfactual mortality rates</t>
  </si>
  <si>
    <t>Mortality rates in areas receiving SMC programs might be even higher in absence of SMC. We don't currently make adjustments to account for this possibility. At the moment (November 2018), we don't expect this omission has a large effect on our bottom line estimates. Large-scale SMC programs only began recently. The mortality estimates we rely on are a few years old and are drawn from models that may include year-to-year smoothing.</t>
  </si>
  <si>
    <t>Serious adverse events due to side effects of treatment</t>
  </si>
  <si>
    <r>
      <rPr>
        <rFont val="Calibri"/>
        <sz val="11.0"/>
      </rPr>
      <t xml:space="preserve">For more details, see this document: </t>
    </r>
    <r>
      <rPr>
        <rFont val="Calibri"/>
        <color rgb="FF1155CC"/>
        <sz val="11.0"/>
        <u/>
      </rPr>
      <t>https://docs.google.com/document/d/1r7WhAkJTGrhwjU2xF-SvQxOy-CVhFunessPfchI3T_U/edit?usp=sharing.</t>
    </r>
    <r>
      <rPr>
        <rFont val="Calibri"/>
        <sz val="11.0"/>
      </rPr>
      <t xml:space="preserve"> For minor adverse events, see discussion here under "Side effects of SMC drugs": https://www.givewell.org/charities/malaria-consortium#Are_there_any_negative_or_offsetting_impacts</t>
    </r>
  </si>
  <si>
    <t>Failure to ingest first day of treatment of SMC</t>
  </si>
  <si>
    <r>
      <rPr>
        <rFont val="Calibri"/>
        <sz val="11.0"/>
      </rPr>
      <t xml:space="preserve">Our understanding is that Malaria Consortium's coverage surveys are designed to assess whether children received the first day of SMC treatment, but that they are not designed to measure the degree to which those treatments are fully ingested by program participants. (Some children may vomit the treatments back up.) We would guess that some relatively small portion of children may be counted as having received Day 1 of SMC treatments according to coverage surveys who did not fully ingest the treatment. See this section of our review of Malaria Consortium for more details on Malaria Consortium's coverage surveys: </t>
    </r>
    <r>
      <rPr>
        <rFont val="Calibri"/>
        <color rgb="FF1155CC"/>
        <sz val="11.0"/>
        <u/>
      </rPr>
      <t>https://www.givewell.org/charities/malaria-consortium#Coveragesurveys</t>
    </r>
  </si>
  <si>
    <t>HKI</t>
  </si>
  <si>
    <t>Mortality effects</t>
  </si>
  <si>
    <t>Main effect; strong evidence</t>
  </si>
  <si>
    <t>Development effects</t>
  </si>
  <si>
    <t>Don't know about evidence; difficult to model; would be consistent with deworming to include</t>
  </si>
  <si>
    <t>Short-term consequences of reduced infectious disease morbidity</t>
  </si>
  <si>
    <t>Don't know about evidence; quite difficult to model; inconsistent to include</t>
  </si>
  <si>
    <t>Vision benefits</t>
  </si>
  <si>
    <t xml:space="preserve">There seems to be strong evidence that VAS reduces the risk of night blindness and Bitot's spots. It is much less clear how often VAS progams may be expected to avert cases of total blindness. Additional rough notes on this topic here: https://docs.google.com/document/d/1wuZC00Llw3SpvNFGCadCHNFBSqwo4wU3Elu80n6Cl6k/edit?usp=sharing </t>
  </si>
  <si>
    <t>Benefits from other programs supported by our funding (e.g. deworming, immunizations)</t>
  </si>
  <si>
    <t>Seems to be happening; don't have a good sense of how much yet. At least in Guinea, Burkina Faso, and Mali (countries where HKI supported VAS programs in 2018), worm burdens among preschool-aged children may be low enough that including the impacts of deworming does not make much difference in HKI's overall cost-effectiveness. See this rough copy of our cost-effectiveness analysis that incorporates the benefits of deworming for HKI in Guinea, Mali, and Burkina Faso (https://docs.google.com/spreadsheets/d/1A5Ur_U9CLXELX8iawfj1o8aRp_Nm09M23HBUCCfGjig/edit?usp=sharing) and this rough copy of our worm intensity workbook including estimates of worm burdens among children targeted by HKI's programs in Guinea, Mali, and Burkina Faso (https://docs.google.com/spreadsheets/d/1lbKvHqO1lblOUoqvoTtEbNaExk9FumCdCxXzYJ-eGgM/edit?usp=sharing).</t>
  </si>
  <si>
    <t>Interaction between VAS and vaccines</t>
  </si>
  <si>
    <t>Our write-up on the biological plausibility of an interaction between VAS and vaccines is here: https://docs.google.com/document/d/15N-fwdm08kIe0RdFYz8iXTYXwfezChwXvnMcIbr7xBM/edit?usp=sharing. Our best guess is that there would be a small positive effect size for this item. From our write-up: "...it is fairly plausible that VAS can enhance the beneficial nonspecific effects of vaccines in charity-relevant settings, but we are fairly uncertain about this conclusion. Due to a weaker evidence base, we believe the plausibility of harmful nonspecific effects of vaccines is lower but not negligible."</t>
  </si>
  <si>
    <t>When a country program is already receiving substantial funds, it is likely that additional funds will be used to cover lower priority areas. Even though HKI and UNICEF are officially supporting different regions, it makes the most sense to think of the impact of our funding to HKI as enabling an additional VAS campaign to occur *in the whole country* each year. In 2017, at least one VAS campaign (of the recommended two per year) was skipped in Burkina Faso, Mali, and Guinea because of lack of funds. Even though HKI and UNICEF are officially supporting different regions, it makes most sense to think of the impact of our funding to HKI as enabling an additional VAS campaign to occur *in the whole country* each year. In 2017, at least one VAS campaign (of the recommended two per year) was skipped in Burkina Faso, Mali, and Guinea because of lack of funds.</t>
  </si>
  <si>
    <t>Cash</t>
  </si>
  <si>
    <t>Immediate consumption benefit</t>
  </si>
  <si>
    <t>Big effect; relies on guesses of ROI</t>
  </si>
  <si>
    <t>Changes in PPP and exchange rates</t>
  </si>
  <si>
    <t>Unlikely to have large effect</t>
  </si>
  <si>
    <t>No strong evidence on this specifically</t>
  </si>
  <si>
    <t>Reduced morbidity</t>
  </si>
  <si>
    <t>Do children in households that receive cash transfers have better access to health care and experience less morbidity? No strong evidence on this suggesting large effects that we're aware of.</t>
  </si>
  <si>
    <t>Child mortality effects</t>
  </si>
  <si>
    <t>NI</t>
  </si>
  <si>
    <t>Vaccine-preventable disease mortality for individuals under 5</t>
  </si>
  <si>
    <t>Main effect of intervention: meta-analysis of RCTs of effect on disease; simple modeling; consistent with SMC.</t>
  </si>
  <si>
    <t>Vaccine-preventable disease mortality for individuals 5 and older</t>
  </si>
  <si>
    <t>Extrapolation from effect on child mortality; simple modeling; consistent with SMC.</t>
  </si>
  <si>
    <t>Smallish effect; potentially quasi-experimental evidence; hard to model.</t>
  </si>
  <si>
    <t>Small effect; effect is mechanical (individuals receive cash as part of program), similar to GiveDirectly.</t>
  </si>
  <si>
    <t>Lower likelihood of infecting others</t>
  </si>
  <si>
    <t>Have not modeled effect; not included in other CEAs but guess this is more relevant due to high transmissability for some vaccine-preventable diseases (e.g., measles).</t>
  </si>
  <si>
    <t>Herd immunity</t>
  </si>
  <si>
    <t>Have not modeled effect; not included in other CEAs but guess more relevant, since herd immunity is a crucial aim of vaccination programs and some communities New Incentives serves may be close to herd immunity threshhold; magnitude is highly speculative.</t>
  </si>
  <si>
    <t>Morbidity effects from directly incentivized vaccines and rotavirus</t>
  </si>
  <si>
    <t>Have not modeled effect explicitly; selected morbidity adjustment to be in line with SMC</t>
  </si>
  <si>
    <t>Mortality effects of indirectly incentivized vaccines besides rotavirus (i.e., polio, yellow fever, meningitis A)</t>
  </si>
  <si>
    <t>Main CEA only includes directly incentivized vaccines plus rotavirus; other indirectly incentivized vaccines likely have effect on mortality, but we guess effects are small, due to lower mortality and morbidity from these diseases</t>
  </si>
  <si>
    <t>Morbidity effects of indirectly incentivized vaccines besides rotavirus (i.e., polio, yellow fever, meningitis A)</t>
  </si>
  <si>
    <t>Effects during outbreaks</t>
  </si>
  <si>
    <t>Vaccination may reduce likelihood of outbreaks (e.g., measles); have not modeled this effect; highly speculative</t>
  </si>
  <si>
    <t>COVID-19 leading to greater effects of cash incentives and vaccination</t>
  </si>
  <si>
    <t>Conditional cash transfers may be more cost-effective during COVID-19 if counterfactual vaccination low and cash induces more caregivers to vaccinate infants; highly speculative and likely little to no evidence on this</t>
  </si>
  <si>
    <t>COVID-19 leading to weaker effects of cash incentives and vaccination</t>
  </si>
  <si>
    <t>Conditional cash transfers may be less cost-effective during COVID-19 if fear of COVID-19 leads to smaller treatment effect or implementation quality is lower due to clinic staff being diverted due to COVID-19; highly speculative and likely little to no evidence on this</t>
  </si>
  <si>
    <t>Crowding out of New Incentives</t>
  </si>
  <si>
    <t>Given higher-than-expected counterfactual vaccination rates, which suggest increases in counterfactual vaccination over time, it's possible counterfactual vaccination rates will increase over time, which may (1) lead to lower treatment effect of cash and (2) lower cost-effectiveness due to higher counterfactual coverage; haven't modeled explicitly</t>
  </si>
  <si>
    <t>Vaccine-derived polio outbreaks</t>
  </si>
  <si>
    <t>Have not modeled effect or explored evidence directly; speculative</t>
  </si>
  <si>
    <t>Serotype replacement</t>
  </si>
  <si>
    <t>Set to be consistent with "drug resistance" offset for SMC; have not explored evidence directly</t>
  </si>
  <si>
    <t>Inflation</t>
  </si>
  <si>
    <t>Inflation may weaken effect of cash transfer; have not modeled; not incorporated in other CEAs but seems more relevant here</t>
  </si>
  <si>
    <t>Increased timeliness of vaccination</t>
  </si>
  <si>
    <t>RCT finds modest improvement in timeliness of measles vaccination, which may improve efficacy; have not modeled effect explicitly</t>
  </si>
  <si>
    <t>Set to be consistent with SMC</t>
  </si>
  <si>
    <t>Increased clinic utilization</t>
  </si>
  <si>
    <t>RCT finds no evidence of increased clinic utilization (e.g., increases receipt of VAS) as a result of intervention</t>
  </si>
  <si>
    <t>Cross-cutting / Structural</t>
  </si>
  <si>
    <t>Leverage/Funging</t>
  </si>
  <si>
    <t>Very big effect but difficult to model well</t>
  </si>
  <si>
    <t>Long-term funging (does it displace government funding in the long term?)</t>
  </si>
  <si>
    <t>Very difficult to model well; have not seen strong evidence on this</t>
  </si>
  <si>
    <t>Long-term funging (does it deter private actors, e.g., bednet manufacturers from creating local businesses)</t>
  </si>
  <si>
    <t>Other flow-through effects</t>
  </si>
  <si>
    <t>Extremely difficult to model well; read more at https://blog.givewell.org/2013/05/15/flow-through-effects/</t>
  </si>
  <si>
    <t>Subjective reported well-being</t>
  </si>
  <si>
    <t>Ultimately, we care about increasing the well-being of beneficiaries. In our current cost-effectiveness analysis, we use improvements in health and consumption as proxies for well-being because (i) Most studies we rely on do not collect subjective reported well-being data, (ii) We have not yet addressed the difficult conceptual question of how to incorporate subjective reported well-being into our terminal outcomes without double-counting, and (iii) We have not yet reviewed the literature on subjective reported well-being to determine the limitations of using that outcome (e.g. self-reporting bias).</t>
  </si>
</sst>
</file>

<file path=xl/styles.xml><?xml version="1.0" encoding="utf-8"?>
<styleSheet xmlns="http://schemas.openxmlformats.org/spreadsheetml/2006/main" xmlns:x14ac="http://schemas.microsoft.com/office/spreadsheetml/2009/9/ac" xmlns:mc="http://schemas.openxmlformats.org/markup-compatibility/2006">
  <numFmts count="19">
    <numFmt numFmtId="164" formatCode="#,##0.0"/>
    <numFmt numFmtId="165" formatCode="0.0"/>
    <numFmt numFmtId="166" formatCode="0.0000000000000"/>
    <numFmt numFmtId="167" formatCode="0.0%"/>
    <numFmt numFmtId="168" formatCode="0.00000%"/>
    <numFmt numFmtId="169" formatCode="&quot;$&quot;#,##0"/>
    <numFmt numFmtId="170" formatCode="&quot;$&quot;#,##0.00"/>
    <numFmt numFmtId="171" formatCode="#,##0.00000"/>
    <numFmt numFmtId="172" formatCode="0.00000"/>
    <numFmt numFmtId="173" formatCode="#,##0.0000"/>
    <numFmt numFmtId="174" formatCode="0.000"/>
    <numFmt numFmtId="175" formatCode="#,##0.000"/>
    <numFmt numFmtId="176" formatCode="#,##0.00000000000000"/>
    <numFmt numFmtId="177" formatCode="0.0000"/>
    <numFmt numFmtId="178" formatCode="0.000000000%"/>
    <numFmt numFmtId="179" formatCode="&quot;$&quot;#,##0.0"/>
    <numFmt numFmtId="180" formatCode="#,##0.0000000000"/>
    <numFmt numFmtId="181" formatCode="[$₦]#,##0.00"/>
    <numFmt numFmtId="182" formatCode="#,##0.000000000"/>
  </numFmts>
  <fonts count="62">
    <font>
      <sz val="11.0"/>
      <color rgb="FF000000"/>
      <name val="Calibri"/>
    </font>
    <font>
      <b/>
      <sz val="14.0"/>
      <color rgb="FF000000"/>
      <name val="Calibri"/>
    </font>
    <font>
      <u/>
      <sz val="11.0"/>
      <color rgb="FF000000"/>
      <name val="Calibri"/>
    </font>
    <font>
      <u/>
      <sz val="11.0"/>
      <color rgb="FF0563C1"/>
      <name val="Calibri"/>
    </font>
    <font>
      <b/>
      <sz val="14.0"/>
      <name val="Calibri"/>
    </font>
    <font>
      <sz val="11.0"/>
      <color rgb="FF0000FF"/>
      <name val="Calibri"/>
    </font>
    <font>
      <sz val="11.0"/>
    </font>
    <font>
      <sz val="11.0"/>
      <color rgb="FF274E13"/>
      <name val="Calibri"/>
    </font>
    <font>
      <u/>
      <sz val="11.0"/>
      <color rgb="FF0000FF"/>
    </font>
    <font>
      <u/>
      <sz val="11.0"/>
      <color rgb="FF0000FF"/>
    </font>
    <font>
      <u/>
      <sz val="11.0"/>
      <color rgb="FF0000FF"/>
    </font>
    <font>
      <u/>
      <sz val="11.0"/>
      <color rgb="FF1155CC"/>
    </font>
    <font>
      <u/>
      <sz val="11.0"/>
      <color rgb="FF0000FF"/>
    </font>
    <font>
      <u/>
      <sz val="11.0"/>
      <color rgb="FF0563C1"/>
      <name val="Calibri"/>
    </font>
    <font>
      <b/>
      <sz val="11.0"/>
      <color rgb="FF000000"/>
      <name val="Calibri"/>
    </font>
    <font>
      <i/>
      <sz val="11.0"/>
      <color rgb="FF000000"/>
      <name val="Calibri"/>
    </font>
    <font>
      <sz val="11.0"/>
      <name val="Calibri"/>
    </font>
    <font>
      <name val="Calibri"/>
    </font>
    <font>
      <b/>
      <sz val="11.0"/>
      <name val="Calibri"/>
    </font>
    <font>
      <u/>
      <color rgb="FF1155CC"/>
      <name val="Calibri"/>
    </font>
    <font>
      <b/>
      <i/>
      <sz val="11.0"/>
      <color rgb="FF000000"/>
      <name val="Calibri"/>
    </font>
    <font>
      <color rgb="FF000000"/>
      <name val="Calibri"/>
    </font>
    <font>
      <i/>
      <name val="Calibri"/>
    </font>
    <font>
      <i/>
      <sz val="11.0"/>
      <name val="Calibri"/>
    </font>
    <font>
      <i/>
      <sz val="11.0"/>
      <color rgb="FF0000FF"/>
      <name val="Calibri"/>
    </font>
    <font>
      <sz val="10.0"/>
      <color rgb="FF0000FF"/>
      <name val="Arial"/>
    </font>
    <font>
      <color rgb="FF0000FF"/>
      <name val="Calibri"/>
    </font>
    <font>
      <color rgb="FF38761D"/>
      <name val="Calibri"/>
    </font>
    <font>
      <color rgb="FF0000FF"/>
    </font>
    <font>
      <sz val="11.0"/>
      <color rgb="FF38761D"/>
      <name val="Calibri"/>
    </font>
    <font>
      <b/>
      <name val="Calibri"/>
    </font>
    <font>
      <i/>
    </font>
    <font>
      <b/>
    </font>
    <font/>
    <font>
      <sz val="11.0"/>
      <color rgb="FF434343"/>
      <name val="Calibri"/>
    </font>
    <font>
      <sz val="11.0"/>
      <color rgb="FF006400"/>
      <name val="Calibri"/>
    </font>
    <font>
      <b/>
      <sz val="11.0"/>
    </font>
    <font>
      <i/>
      <sz val="11.0"/>
      <color rgb="FFB7B7B7"/>
      <name val="Calibri"/>
    </font>
    <font>
      <sz val="11.0"/>
      <color rgb="FF000000"/>
    </font>
    <font>
      <color rgb="FF000000"/>
    </font>
    <font>
      <i/>
      <color rgb="FFB7B7B7"/>
      <name val="Calibri"/>
    </font>
    <font>
      <color rgb="FF006400"/>
    </font>
    <font>
      <sz val="14.0"/>
      <name val="Arial"/>
    </font>
    <font>
      <color rgb="FF434343"/>
      <name val="Calibri"/>
    </font>
    <font>
      <color rgb="FF006400"/>
      <name val="Calibri"/>
    </font>
    <font>
      <b/>
      <color rgb="FF000000"/>
      <name val="Calibri"/>
    </font>
    <font>
      <b/>
      <color rgb="FF006400"/>
    </font>
    <font>
      <b/>
      <sz val="11.0"/>
      <color rgb="FF38761D"/>
      <name val="Calibri"/>
    </font>
    <font>
      <color rgb="FF38761D"/>
    </font>
    <font>
      <b/>
      <sz val="11.0"/>
      <color rgb="FF006400"/>
      <name val="Calibri"/>
    </font>
    <font>
      <sz val="10.0"/>
      <name val="Arial"/>
    </font>
    <font>
      <b/>
      <sz val="10.0"/>
      <name val="Arial"/>
    </font>
    <font>
      <u/>
      <color rgb="FF1155CC"/>
    </font>
    <font>
      <sz val="10.0"/>
      <color rgb="FF006400"/>
      <name val="Arial"/>
    </font>
    <font>
      <sz val="10.0"/>
      <color rgb="FF000000"/>
      <name val="Arial"/>
    </font>
    <font>
      <i/>
      <sz val="10.0"/>
      <name val="Arial"/>
    </font>
    <font>
      <u/>
      <sz val="11.0"/>
      <color rgb="FF1155CC"/>
      <name val="Calibri"/>
    </font>
    <font>
      <sz val="14.0"/>
      <name val="Calibri"/>
    </font>
    <font>
      <sz val="11.0"/>
      <color rgb="FF222222"/>
      <name val="Calibri"/>
    </font>
    <font>
      <u/>
      <color rgb="FF0000FF"/>
      <name val="Calibri"/>
    </font>
    <font>
      <u/>
      <sz val="11.0"/>
      <color rgb="FF0000FF"/>
      <name val="Calibri"/>
    </font>
    <font>
      <name val="Arial"/>
    </font>
  </fonts>
  <fills count="16">
    <fill>
      <patternFill patternType="none"/>
    </fill>
    <fill>
      <patternFill patternType="lightGray"/>
    </fill>
    <fill>
      <patternFill patternType="solid">
        <fgColor rgb="FFFFF2CC"/>
        <bgColor rgb="FFFFF2CC"/>
      </patternFill>
    </fill>
    <fill>
      <patternFill patternType="solid">
        <fgColor rgb="FFC9DAF8"/>
        <bgColor rgb="FFC9DAF8"/>
      </patternFill>
    </fill>
    <fill>
      <patternFill patternType="solid">
        <fgColor rgb="FFFCE5CD"/>
        <bgColor rgb="FFFCE5CD"/>
      </patternFill>
    </fill>
    <fill>
      <patternFill patternType="solid">
        <fgColor rgb="FFEFEFEF"/>
        <bgColor rgb="FFEFEFEF"/>
      </patternFill>
    </fill>
    <fill>
      <patternFill patternType="solid">
        <fgColor rgb="FFFFFFFF"/>
        <bgColor rgb="FFFFFFFF"/>
      </patternFill>
    </fill>
    <fill>
      <patternFill patternType="solid">
        <fgColor rgb="FFF3F3F3"/>
        <bgColor rgb="FFF3F3F3"/>
      </patternFill>
    </fill>
    <fill>
      <patternFill patternType="solid">
        <fgColor rgb="FFDD7E6B"/>
        <bgColor rgb="FFDD7E6B"/>
      </patternFill>
    </fill>
    <fill>
      <patternFill patternType="solid">
        <fgColor rgb="FFF9CB9C"/>
        <bgColor rgb="FFF9CB9C"/>
      </patternFill>
    </fill>
    <fill>
      <patternFill patternType="solid">
        <fgColor rgb="FFB6D7A8"/>
        <bgColor rgb="FFB6D7A8"/>
      </patternFill>
    </fill>
    <fill>
      <patternFill patternType="solid">
        <fgColor rgb="FF6AA84F"/>
        <bgColor rgb="FF6AA84F"/>
      </patternFill>
    </fill>
    <fill>
      <patternFill patternType="solid">
        <fgColor rgb="FFCCCCCC"/>
        <bgColor rgb="FFCCCCCC"/>
      </patternFill>
    </fill>
    <fill>
      <patternFill patternType="solid">
        <fgColor rgb="FFFFFF00"/>
        <bgColor rgb="FFFFFF00"/>
      </patternFill>
    </fill>
    <fill>
      <patternFill patternType="solid">
        <fgColor rgb="FF38761D"/>
        <bgColor rgb="FF38761D"/>
      </patternFill>
    </fill>
    <fill>
      <patternFill patternType="solid">
        <fgColor rgb="FFD9D2E9"/>
        <bgColor rgb="FFD9D2E9"/>
      </patternFill>
    </fill>
  </fills>
  <borders count="8">
    <border/>
    <border>
      <bottom style="thin">
        <color rgb="FF000000"/>
      </bottom>
    </border>
    <border>
      <top style="thin">
        <color rgb="FF000000"/>
      </top>
    </border>
    <border>
      <right/>
    </border>
    <border>
      <left style="thin">
        <color rgb="FF000000"/>
      </left>
    </border>
    <border>
      <left style="thin">
        <color rgb="FF000000"/>
      </left>
      <bottom style="thin">
        <color rgb="FF000000"/>
      </bottom>
    </border>
    <border>
      <right style="thin">
        <color rgb="FF000000"/>
      </right>
      <bottom style="thin">
        <color rgb="FF000000"/>
      </bottom>
    </border>
    <border>
      <right style="thin">
        <color rgb="FF000000"/>
      </right>
    </border>
  </borders>
  <cellStyleXfs count="1">
    <xf borderId="0" fillId="0" fontId="0" numFmtId="0" applyAlignment="1" applyFont="1"/>
  </cellStyleXfs>
  <cellXfs count="747">
    <xf borderId="0" fillId="0" fontId="0" numFmtId="0" xfId="0" applyAlignment="1" applyFont="1">
      <alignment readingOrder="0" shrinkToFit="0" vertical="bottom" wrapText="0"/>
    </xf>
    <xf borderId="0" fillId="0" fontId="1" numFmtId="0" xfId="0" applyAlignment="1" applyFont="1">
      <alignment readingOrder="0" shrinkToFit="0" wrapText="0"/>
    </xf>
    <xf borderId="0" fillId="0" fontId="2" numFmtId="0" xfId="0" applyAlignment="1" applyFont="1">
      <alignment readingOrder="0" shrinkToFit="0" wrapText="1"/>
    </xf>
    <xf borderId="0" fillId="0" fontId="0" numFmtId="0" xfId="0" applyAlignment="1" applyFont="1">
      <alignment readingOrder="0" shrinkToFit="0" wrapText="1"/>
    </xf>
    <xf borderId="0" fillId="0" fontId="3" numFmtId="0" xfId="0" applyAlignment="1" applyFont="1">
      <alignment shrinkToFit="0" wrapText="1"/>
    </xf>
    <xf borderId="0" fillId="0" fontId="0" numFmtId="0" xfId="0" applyAlignment="1" applyFont="1">
      <alignment horizontal="left" readingOrder="0" shrinkToFit="0" wrapText="1"/>
    </xf>
    <xf borderId="0" fillId="0" fontId="4" numFmtId="0" xfId="0" applyAlignment="1" applyFont="1">
      <alignment horizontal="left" readingOrder="0" shrinkToFit="0" vertical="bottom" wrapText="0"/>
    </xf>
    <xf borderId="0" fillId="0" fontId="5" numFmtId="0" xfId="0" applyAlignment="1" applyFont="1">
      <alignment horizontal="left" readingOrder="0" shrinkToFit="0" wrapText="1"/>
    </xf>
    <xf borderId="0" fillId="0" fontId="6" numFmtId="0" xfId="0" applyFont="1"/>
    <xf borderId="0" fillId="0" fontId="7" numFmtId="0" xfId="0" applyAlignment="1" applyFont="1">
      <alignment horizontal="left" readingOrder="0" shrinkToFit="0" wrapText="1"/>
    </xf>
    <xf borderId="0" fillId="0" fontId="1" numFmtId="0" xfId="0" applyAlignment="1" applyFont="1">
      <alignment readingOrder="0" shrinkToFit="0" vertical="bottom" wrapText="0"/>
    </xf>
    <xf borderId="0" fillId="2" fontId="8" numFmtId="0" xfId="0" applyFill="1" applyFont="1"/>
    <xf borderId="0" fillId="2" fontId="6" numFmtId="0" xfId="0" applyAlignment="1" applyFont="1">
      <alignment readingOrder="0"/>
    </xf>
    <xf borderId="0" fillId="3" fontId="9" numFmtId="0" xfId="0" applyFill="1" applyFont="1"/>
    <xf borderId="0" fillId="3" fontId="6" numFmtId="0" xfId="0" applyAlignment="1" applyFont="1">
      <alignment readingOrder="0"/>
    </xf>
    <xf borderId="0" fillId="3" fontId="10" numFmtId="0" xfId="0" applyAlignment="1" applyFont="1">
      <alignment readingOrder="0"/>
    </xf>
    <xf borderId="0" fillId="3" fontId="11" numFmtId="0" xfId="0" applyAlignment="1" applyFont="1">
      <alignment readingOrder="0"/>
    </xf>
    <xf borderId="0" fillId="4" fontId="12" numFmtId="0" xfId="0" applyAlignment="1" applyFill="1" applyFont="1">
      <alignment readingOrder="0"/>
    </xf>
    <xf borderId="0" fillId="4" fontId="6" numFmtId="0" xfId="0" applyAlignment="1" applyFont="1">
      <alignment readingOrder="0"/>
    </xf>
    <xf borderId="0" fillId="0" fontId="0" numFmtId="0" xfId="0" applyAlignment="1" applyFont="1">
      <alignment shrinkToFit="0" wrapText="1"/>
    </xf>
    <xf borderId="0" fillId="0" fontId="13" numFmtId="0" xfId="0" applyAlignment="1" applyFont="1">
      <alignment readingOrder="0" shrinkToFit="0" vertical="bottom" wrapText="1"/>
    </xf>
    <xf borderId="0" fillId="3" fontId="14" numFmtId="0" xfId="0" applyAlignment="1" applyFont="1">
      <alignment horizontal="left" readingOrder="0" shrinkToFit="0" wrapText="0"/>
    </xf>
    <xf borderId="0" fillId="3" fontId="14" numFmtId="0" xfId="0" applyAlignment="1" applyFont="1">
      <alignment horizontal="center" readingOrder="0" shrinkToFit="0" vertical="center" wrapText="0"/>
    </xf>
    <xf borderId="0" fillId="3" fontId="15" numFmtId="0" xfId="0" applyAlignment="1" applyFont="1">
      <alignment horizontal="left" readingOrder="0" shrinkToFit="0" wrapText="0"/>
    </xf>
    <xf borderId="0" fillId="3" fontId="16" numFmtId="0" xfId="0" applyFont="1"/>
    <xf borderId="0" fillId="5" fontId="1" numFmtId="0" xfId="0" applyAlignment="1" applyFill="1" applyFont="1">
      <alignment horizontal="left" readingOrder="0" shrinkToFit="0" vertical="bottom" wrapText="0"/>
    </xf>
    <xf borderId="0" fillId="5" fontId="16" numFmtId="0" xfId="0" applyAlignment="1" applyFont="1">
      <alignment vertical="bottom"/>
    </xf>
    <xf borderId="0" fillId="5" fontId="17" numFmtId="0" xfId="0" applyFont="1"/>
    <xf borderId="0" fillId="0" fontId="18" numFmtId="0" xfId="0" applyAlignment="1" applyFont="1">
      <alignment horizontal="left" readingOrder="0" shrinkToFit="0" wrapText="0"/>
    </xf>
    <xf borderId="0" fillId="0" fontId="5" numFmtId="164" xfId="0" applyAlignment="1" applyFont="1" applyNumberFormat="1">
      <alignment horizontal="center" readingOrder="0" shrinkToFit="0" wrapText="0"/>
    </xf>
    <xf borderId="0" fillId="0" fontId="17" numFmtId="164" xfId="0" applyAlignment="1" applyFont="1" applyNumberFormat="1">
      <alignment vertical="bottom"/>
    </xf>
    <xf borderId="0" fillId="0" fontId="17" numFmtId="0" xfId="0" applyFont="1"/>
    <xf borderId="0" fillId="0" fontId="0" numFmtId="2" xfId="0" applyAlignment="1" applyFont="1" applyNumberFormat="1">
      <alignment horizontal="left" readingOrder="0" shrinkToFit="0" wrapText="0"/>
    </xf>
    <xf borderId="0" fillId="0" fontId="7" numFmtId="165" xfId="0" applyAlignment="1" applyFont="1" applyNumberFormat="1">
      <alignment horizontal="right" readingOrder="0" vertical="bottom"/>
    </xf>
    <xf borderId="0" fillId="0" fontId="0" numFmtId="1" xfId="0" applyAlignment="1" applyFont="1" applyNumberFormat="1">
      <alignment readingOrder="0" shrinkToFit="0" wrapText="0"/>
    </xf>
    <xf borderId="0" fillId="0" fontId="0" numFmtId="2" xfId="0" applyAlignment="1" applyFont="1" applyNumberFormat="1">
      <alignment readingOrder="0" shrinkToFit="0" wrapText="0"/>
    </xf>
    <xf borderId="0" fillId="0" fontId="17" numFmtId="2" xfId="0" applyAlignment="1" applyFont="1" applyNumberFormat="1">
      <alignment vertical="bottom"/>
    </xf>
    <xf borderId="0" fillId="0" fontId="7" numFmtId="166" xfId="0" applyAlignment="1" applyFont="1" applyNumberFormat="1">
      <alignment vertical="bottom"/>
    </xf>
    <xf borderId="0" fillId="0" fontId="0" numFmtId="0" xfId="0" applyAlignment="1" applyFont="1">
      <alignment shrinkToFit="0" wrapText="0"/>
    </xf>
    <xf borderId="0" fillId="0" fontId="0" numFmtId="166" xfId="0" applyAlignment="1" applyFont="1" applyNumberFormat="1">
      <alignment shrinkToFit="0" wrapText="0"/>
    </xf>
    <xf borderId="0" fillId="0" fontId="17" numFmtId="0" xfId="0" applyAlignment="1" applyFont="1">
      <alignment vertical="bottom"/>
    </xf>
    <xf borderId="0" fillId="0" fontId="7" numFmtId="1" xfId="0" applyAlignment="1" applyFont="1" applyNumberFormat="1">
      <alignment horizontal="right" readingOrder="0" vertical="bottom"/>
    </xf>
    <xf borderId="0" fillId="0" fontId="19" numFmtId="0" xfId="0" applyAlignment="1" applyFont="1">
      <alignment readingOrder="0" vertical="bottom"/>
    </xf>
    <xf borderId="0" fillId="0" fontId="16" numFmtId="0" xfId="0" applyAlignment="1" applyFont="1">
      <alignment horizontal="left" readingOrder="0" shrinkToFit="0" wrapText="0"/>
    </xf>
    <xf borderId="0" fillId="0" fontId="16" numFmtId="1" xfId="0" applyAlignment="1" applyFont="1" applyNumberFormat="1">
      <alignment readingOrder="0" shrinkToFit="0" wrapText="0"/>
    </xf>
    <xf borderId="0" fillId="0" fontId="7" numFmtId="1" xfId="0" applyAlignment="1" applyFont="1" applyNumberFormat="1">
      <alignment vertical="bottom"/>
    </xf>
    <xf borderId="0" fillId="0" fontId="18" numFmtId="0" xfId="0" applyAlignment="1" applyFont="1">
      <alignment shrinkToFit="0" wrapText="0"/>
    </xf>
    <xf borderId="0" fillId="0" fontId="20" numFmtId="0" xfId="0" applyAlignment="1" applyFont="1">
      <alignment readingOrder="0" shrinkToFit="0" wrapText="0"/>
    </xf>
    <xf borderId="0" fillId="0" fontId="15" numFmtId="0" xfId="0" applyAlignment="1" applyFont="1">
      <alignment horizontal="center" readingOrder="0" shrinkToFit="0" wrapText="0"/>
    </xf>
    <xf borderId="0" fillId="0" fontId="17" numFmtId="0" xfId="0" applyAlignment="1" applyFont="1">
      <alignment vertical="bottom"/>
    </xf>
    <xf borderId="0" fillId="5" fontId="1" numFmtId="0" xfId="0" applyAlignment="1" applyFont="1">
      <alignment horizontal="left" shrinkToFit="0" vertical="bottom" wrapText="0"/>
    </xf>
    <xf borderId="0" fillId="0" fontId="0" numFmtId="2" xfId="0" applyAlignment="1" applyFont="1" applyNumberFormat="1">
      <alignment horizontal="left" shrinkToFit="0" vertical="bottom" wrapText="0"/>
    </xf>
    <xf borderId="0" fillId="0" fontId="16" numFmtId="2" xfId="0" applyAlignment="1" applyFont="1" applyNumberFormat="1">
      <alignment horizontal="right" shrinkToFit="0" vertical="bottom" wrapText="0"/>
    </xf>
    <xf borderId="0" fillId="0" fontId="16" numFmtId="2" xfId="0" applyAlignment="1" applyFont="1" applyNumberFormat="1">
      <alignment horizontal="right" vertical="bottom"/>
    </xf>
    <xf borderId="0" fillId="0" fontId="17" numFmtId="0" xfId="0" applyAlignment="1" applyFont="1">
      <alignment horizontal="right"/>
    </xf>
    <xf borderId="0" fillId="0" fontId="16" numFmtId="0" xfId="0" applyAlignment="1" applyFont="1">
      <alignment vertical="bottom"/>
    </xf>
    <xf borderId="0" fillId="0" fontId="16" numFmtId="165" xfId="0" applyAlignment="1" applyFont="1" applyNumberFormat="1">
      <alignment vertical="bottom"/>
    </xf>
    <xf borderId="0" fillId="0" fontId="16" numFmtId="165" xfId="0" applyAlignment="1" applyFont="1" applyNumberFormat="1">
      <alignment horizontal="right" vertical="bottom"/>
    </xf>
    <xf borderId="0" fillId="0" fontId="0" numFmtId="165" xfId="0" applyAlignment="1" applyFont="1" applyNumberFormat="1">
      <alignment horizontal="left" shrinkToFit="0" vertical="bottom" wrapText="0"/>
    </xf>
    <xf borderId="0" fillId="0" fontId="16" numFmtId="165" xfId="0" applyAlignment="1" applyFont="1" applyNumberFormat="1">
      <alignment horizontal="right" shrinkToFit="0" vertical="bottom" wrapText="0"/>
    </xf>
    <xf borderId="0" fillId="0" fontId="1" numFmtId="0" xfId="0" applyAlignment="1" applyFont="1">
      <alignment horizontal="left" readingOrder="0" shrinkToFit="0" wrapText="0"/>
    </xf>
    <xf borderId="0" fillId="0" fontId="15" numFmtId="0" xfId="0" applyAlignment="1" applyFont="1">
      <alignment horizontal="right" readingOrder="0" shrinkToFit="0" wrapText="0"/>
    </xf>
    <xf borderId="0" fillId="0" fontId="15" numFmtId="0" xfId="0" applyAlignment="1" applyFont="1">
      <alignment horizontal="right" shrinkToFit="0" wrapText="0"/>
    </xf>
    <xf borderId="0" fillId="0" fontId="17" numFmtId="0" xfId="0" applyAlignment="1" applyFont="1">
      <alignment horizontal="right" vertical="bottom"/>
    </xf>
    <xf borderId="0" fillId="5" fontId="1" numFmtId="0" xfId="0" applyAlignment="1" applyFont="1">
      <alignment horizontal="left" readingOrder="0" shrinkToFit="0" wrapText="0"/>
    </xf>
    <xf borderId="0" fillId="5" fontId="15" numFmtId="0" xfId="0" applyAlignment="1" applyFont="1">
      <alignment horizontal="right" readingOrder="0" shrinkToFit="0" wrapText="0"/>
    </xf>
    <xf borderId="0" fillId="5" fontId="17" numFmtId="0" xfId="0" applyAlignment="1" applyFont="1">
      <alignment horizontal="right" vertical="bottom"/>
    </xf>
    <xf borderId="0" fillId="5" fontId="17" numFmtId="0" xfId="0" applyAlignment="1" applyFont="1">
      <alignment horizontal="right"/>
    </xf>
    <xf borderId="0" fillId="0" fontId="0" numFmtId="0" xfId="0" applyAlignment="1" applyFont="1">
      <alignment readingOrder="0" shrinkToFit="0" wrapText="0"/>
    </xf>
    <xf borderId="0" fillId="0" fontId="16" numFmtId="9" xfId="0" applyAlignment="1" applyFont="1" applyNumberFormat="1">
      <alignment horizontal="right" shrinkToFit="0" wrapText="0"/>
    </xf>
    <xf borderId="0" fillId="0" fontId="17" numFmtId="9" xfId="0" applyAlignment="1" applyFont="1" applyNumberFormat="1">
      <alignment horizontal="right" vertical="bottom"/>
    </xf>
    <xf borderId="0" fillId="0" fontId="0" numFmtId="0" xfId="0" applyAlignment="1" applyFont="1">
      <alignment readingOrder="0" shrinkToFit="0" wrapText="0"/>
    </xf>
    <xf borderId="0" fillId="0" fontId="7" numFmtId="167" xfId="0" applyAlignment="1" applyFont="1" applyNumberFormat="1">
      <alignment horizontal="right" readingOrder="0" vertical="bottom"/>
    </xf>
    <xf borderId="0" fillId="0" fontId="0" numFmtId="167" xfId="0" applyAlignment="1" applyFont="1" applyNumberFormat="1">
      <alignment horizontal="right" readingOrder="0" shrinkToFit="0" wrapText="0"/>
    </xf>
    <xf borderId="0" fillId="0" fontId="0" numFmtId="10" xfId="0" applyAlignment="1" applyFont="1" applyNumberFormat="1">
      <alignment horizontal="right" shrinkToFit="0" wrapText="0"/>
    </xf>
    <xf borderId="0" fillId="0" fontId="0" numFmtId="0" xfId="0" applyAlignment="1" applyFont="1">
      <alignment horizontal="right" shrinkToFit="0" wrapText="0"/>
    </xf>
    <xf borderId="0" fillId="0" fontId="21" numFmtId="0" xfId="0" applyAlignment="1" applyFont="1">
      <alignment vertical="bottom"/>
    </xf>
    <xf borderId="0" fillId="0" fontId="17" numFmtId="0" xfId="0" applyAlignment="1" applyFont="1">
      <alignment readingOrder="0"/>
    </xf>
    <xf borderId="0" fillId="0" fontId="0" numFmtId="167" xfId="0" applyAlignment="1" applyFont="1" applyNumberFormat="1">
      <alignment horizontal="right" shrinkToFit="0" wrapText="0"/>
    </xf>
    <xf borderId="0" fillId="3" fontId="18" numFmtId="0" xfId="0" applyAlignment="1" applyFont="1">
      <alignment readingOrder="0" shrinkToFit="0" wrapText="1"/>
    </xf>
    <xf borderId="0" fillId="3" fontId="14" numFmtId="0" xfId="0" applyAlignment="1" applyFont="1">
      <alignment horizontal="center" readingOrder="0" shrinkToFit="0" vertical="bottom" wrapText="1"/>
    </xf>
    <xf borderId="0" fillId="3" fontId="14" numFmtId="0" xfId="0" applyAlignment="1" applyFont="1">
      <alignment horizontal="center" readingOrder="0" shrinkToFit="0" wrapText="0"/>
    </xf>
    <xf borderId="0" fillId="3" fontId="14" numFmtId="0" xfId="0" applyAlignment="1" applyFont="1">
      <alignment horizontal="center" readingOrder="0" shrinkToFit="0" wrapText="1"/>
    </xf>
    <xf borderId="0" fillId="0" fontId="22" numFmtId="0" xfId="0" applyAlignment="1" applyFont="1">
      <alignment readingOrder="0"/>
    </xf>
    <xf borderId="0" fillId="0" fontId="16" numFmtId="3" xfId="0" applyAlignment="1" applyFont="1" applyNumberFormat="1">
      <alignment vertical="bottom"/>
    </xf>
    <xf borderId="0" fillId="0" fontId="17" numFmtId="3" xfId="0" applyAlignment="1" applyFont="1" applyNumberFormat="1">
      <alignment readingOrder="0" vertical="bottom"/>
    </xf>
    <xf borderId="0" fillId="5" fontId="18" numFmtId="0" xfId="0" applyAlignment="1" applyFont="1">
      <alignment readingOrder="0" shrinkToFit="0" vertical="bottom" wrapText="1"/>
    </xf>
    <xf borderId="0" fillId="5" fontId="16" numFmtId="3" xfId="0" applyAlignment="1" applyFont="1" applyNumberFormat="1">
      <alignment vertical="bottom"/>
    </xf>
    <xf borderId="0" fillId="5" fontId="16" numFmtId="3" xfId="0" applyAlignment="1" applyFont="1" applyNumberFormat="1">
      <alignment readingOrder="0" vertical="bottom"/>
    </xf>
    <xf borderId="0" fillId="0" fontId="16" numFmtId="9" xfId="0" applyAlignment="1" applyFont="1" applyNumberFormat="1">
      <alignment vertical="bottom"/>
    </xf>
    <xf borderId="0" fillId="0" fontId="5" numFmtId="9" xfId="0" applyAlignment="1" applyFont="1" applyNumberFormat="1">
      <alignment horizontal="right" readingOrder="0" shrinkToFit="0" vertical="bottom" wrapText="0"/>
    </xf>
    <xf borderId="0" fillId="0" fontId="16" numFmtId="0" xfId="0" applyAlignment="1" applyFont="1">
      <alignment readingOrder="0" vertical="bottom"/>
    </xf>
    <xf borderId="0" fillId="0" fontId="5" numFmtId="9" xfId="0" applyAlignment="1" applyFont="1" applyNumberFormat="1">
      <alignment horizontal="right" readingOrder="0" vertical="bottom"/>
    </xf>
    <xf borderId="0" fillId="0" fontId="4" numFmtId="0" xfId="0" applyAlignment="1" applyFont="1">
      <alignment readingOrder="0" shrinkToFit="0" vertical="bottom" wrapText="1"/>
    </xf>
    <xf borderId="0" fillId="0" fontId="17" numFmtId="168" xfId="0" applyAlignment="1" applyFont="1" applyNumberFormat="1">
      <alignment readingOrder="0" vertical="bottom"/>
    </xf>
    <xf borderId="0" fillId="0" fontId="16" numFmtId="169" xfId="0" applyAlignment="1" applyFont="1" applyNumberFormat="1">
      <alignment vertical="bottom"/>
    </xf>
    <xf borderId="0" fillId="0" fontId="17" numFmtId="169" xfId="0" applyAlignment="1" applyFont="1" applyNumberFormat="1">
      <alignment readingOrder="0" vertical="bottom"/>
    </xf>
    <xf borderId="0" fillId="0" fontId="23" numFmtId="0" xfId="0" applyAlignment="1" applyFont="1">
      <alignment readingOrder="0" vertical="bottom"/>
    </xf>
    <xf borderId="0" fillId="0" fontId="24" numFmtId="169" xfId="0" applyAlignment="1" applyFont="1" applyNumberFormat="1">
      <alignment horizontal="right" readingOrder="0" vertical="bottom"/>
    </xf>
    <xf borderId="0" fillId="0" fontId="22" numFmtId="169" xfId="0" applyAlignment="1" applyFont="1" applyNumberFormat="1">
      <alignment readingOrder="0" vertical="bottom"/>
    </xf>
    <xf borderId="0" fillId="0" fontId="5" numFmtId="169" xfId="0" applyAlignment="1" applyFont="1" applyNumberFormat="1">
      <alignment horizontal="right" readingOrder="0" vertical="bottom"/>
    </xf>
    <xf borderId="0" fillId="0" fontId="16" numFmtId="169" xfId="0" applyAlignment="1" applyFont="1" applyNumberFormat="1">
      <alignment horizontal="right" vertical="bottom"/>
    </xf>
    <xf borderId="0" fillId="0" fontId="16" numFmtId="0" xfId="0" applyAlignment="1" applyFont="1">
      <alignment readingOrder="0" shrinkToFit="0" vertical="bottom" wrapText="1"/>
    </xf>
    <xf borderId="0" fillId="0" fontId="25" numFmtId="170" xfId="0" applyAlignment="1" applyFont="1" applyNumberFormat="1">
      <alignment readingOrder="0"/>
    </xf>
    <xf borderId="0" fillId="0" fontId="25" numFmtId="170" xfId="0" applyAlignment="1" applyFont="1" applyNumberFormat="1">
      <alignment readingOrder="0"/>
    </xf>
    <xf borderId="0" fillId="0" fontId="25" numFmtId="170" xfId="0" applyFont="1" applyNumberFormat="1"/>
    <xf borderId="0" fillId="0" fontId="26" numFmtId="164" xfId="0" applyAlignment="1" applyFont="1" applyNumberFormat="1">
      <alignment readingOrder="0" vertical="bottom"/>
    </xf>
    <xf borderId="0" fillId="0" fontId="27" numFmtId="164" xfId="0" applyAlignment="1" applyFont="1" applyNumberFormat="1">
      <alignment readingOrder="0" vertical="bottom"/>
    </xf>
    <xf borderId="0" fillId="0" fontId="23" numFmtId="0" xfId="0" applyAlignment="1" applyFont="1">
      <alignment readingOrder="0" shrinkToFit="0" vertical="bottom" wrapText="1"/>
    </xf>
    <xf borderId="0" fillId="0" fontId="21" numFmtId="3" xfId="0" applyAlignment="1" applyFont="1" applyNumberFormat="1">
      <alignment readingOrder="0" vertical="bottom"/>
    </xf>
    <xf borderId="0" fillId="0" fontId="16" numFmtId="0" xfId="0" applyAlignment="1" applyFont="1">
      <alignment shrinkToFit="0" vertical="bottom" wrapText="1"/>
    </xf>
    <xf borderId="0" fillId="0" fontId="28" numFmtId="9" xfId="0" applyAlignment="1" applyFont="1" applyNumberFormat="1">
      <alignment readingOrder="0"/>
    </xf>
    <xf borderId="0" fillId="0" fontId="26" numFmtId="9" xfId="0" applyAlignment="1" applyFont="1" applyNumberFormat="1">
      <alignment readingOrder="0" vertical="bottom"/>
    </xf>
    <xf borderId="0" fillId="0" fontId="21" numFmtId="9" xfId="0" applyAlignment="1" applyFont="1" applyNumberFormat="1">
      <alignment readingOrder="0" vertical="bottom"/>
    </xf>
    <xf borderId="0" fillId="0" fontId="5" numFmtId="164" xfId="0" applyAlignment="1" applyFont="1" applyNumberFormat="1">
      <alignment horizontal="right" vertical="bottom"/>
    </xf>
    <xf borderId="0" fillId="0" fontId="16" numFmtId="9" xfId="0" applyAlignment="1" applyFont="1" applyNumberFormat="1">
      <alignment horizontal="right" vertical="bottom"/>
    </xf>
    <xf borderId="0" fillId="0" fontId="0" numFmtId="0" xfId="0" applyAlignment="1" applyFont="1">
      <alignment vertical="bottom"/>
    </xf>
    <xf borderId="0" fillId="0" fontId="0" numFmtId="9" xfId="0" applyAlignment="1" applyFont="1" applyNumberFormat="1">
      <alignment horizontal="right" vertical="bottom"/>
    </xf>
    <xf borderId="0" fillId="0" fontId="16" numFmtId="3" xfId="0" applyAlignment="1" applyFont="1" applyNumberFormat="1">
      <alignment horizontal="right" vertical="bottom"/>
    </xf>
    <xf borderId="0" fillId="0" fontId="17" numFmtId="3" xfId="0" applyAlignment="1" applyFont="1" applyNumberFormat="1">
      <alignment horizontal="right" vertical="bottom"/>
    </xf>
    <xf borderId="0" fillId="0" fontId="16" numFmtId="9" xfId="0" applyAlignment="1" applyFont="1" applyNumberFormat="1">
      <alignment horizontal="right" shrinkToFit="0" vertical="bottom" wrapText="0"/>
    </xf>
    <xf borderId="0" fillId="5" fontId="18" numFmtId="2" xfId="0" applyAlignment="1" applyFont="1" applyNumberFormat="1">
      <alignment readingOrder="0" vertical="bottom"/>
    </xf>
    <xf borderId="0" fillId="5" fontId="16" numFmtId="2" xfId="0" applyAlignment="1" applyFont="1" applyNumberFormat="1">
      <alignment vertical="bottom"/>
    </xf>
    <xf borderId="0" fillId="5" fontId="16" numFmtId="2" xfId="0" applyAlignment="1" applyFont="1" applyNumberFormat="1">
      <alignment horizontal="right" vertical="bottom"/>
    </xf>
    <xf borderId="0" fillId="0" fontId="16" numFmtId="9" xfId="0" applyAlignment="1" applyFont="1" applyNumberFormat="1">
      <alignment horizontal="right" vertical="bottom"/>
    </xf>
    <xf borderId="0" fillId="0" fontId="0" numFmtId="9" xfId="0" applyAlignment="1" applyFont="1" applyNumberFormat="1">
      <alignment horizontal="right" readingOrder="0" vertical="bottom"/>
    </xf>
    <xf borderId="0" fillId="0" fontId="0" numFmtId="0" xfId="0" applyAlignment="1" applyFont="1">
      <alignment readingOrder="0" vertical="bottom"/>
    </xf>
    <xf borderId="0" fillId="0" fontId="5" numFmtId="9" xfId="0" applyAlignment="1" applyFont="1" applyNumberFormat="1">
      <alignment horizontal="right" vertical="bottom"/>
    </xf>
    <xf borderId="0" fillId="0" fontId="17" numFmtId="4" xfId="0" applyAlignment="1" applyFont="1" applyNumberFormat="1">
      <alignment horizontal="right" vertical="bottom"/>
    </xf>
    <xf borderId="0" fillId="0" fontId="17" numFmtId="0" xfId="0" applyAlignment="1" applyFont="1">
      <alignment readingOrder="0" vertical="bottom"/>
    </xf>
    <xf borderId="0" fillId="0" fontId="17" numFmtId="170" xfId="0" applyAlignment="1" applyFont="1" applyNumberFormat="1">
      <alignment readingOrder="0" vertical="bottom"/>
    </xf>
    <xf borderId="0" fillId="0" fontId="16" numFmtId="170" xfId="0" applyAlignment="1" applyFont="1" applyNumberFormat="1">
      <alignment vertical="bottom"/>
    </xf>
    <xf borderId="0" fillId="0" fontId="17" numFmtId="170" xfId="0" applyAlignment="1" applyFont="1" applyNumberFormat="1">
      <alignment horizontal="right" vertical="bottom"/>
    </xf>
    <xf borderId="0" fillId="0" fontId="16" numFmtId="171" xfId="0" applyAlignment="1" applyFont="1" applyNumberFormat="1">
      <alignment readingOrder="0" shrinkToFit="0" vertical="bottom" wrapText="1"/>
    </xf>
    <xf borderId="0" fillId="0" fontId="16" numFmtId="171" xfId="0" applyAlignment="1" applyFont="1" applyNumberFormat="1">
      <alignment vertical="bottom"/>
    </xf>
    <xf borderId="0" fillId="0" fontId="16" numFmtId="171" xfId="0" applyAlignment="1" applyFont="1" applyNumberFormat="1">
      <alignment horizontal="right" shrinkToFit="0" vertical="bottom" wrapText="0"/>
    </xf>
    <xf borderId="0" fillId="0" fontId="15" numFmtId="171" xfId="0" applyAlignment="1" applyFont="1" applyNumberFormat="1">
      <alignment shrinkToFit="0" vertical="bottom" wrapText="1"/>
    </xf>
    <xf borderId="0" fillId="0" fontId="29" numFmtId="4" xfId="0" applyAlignment="1" applyFont="1" applyNumberFormat="1">
      <alignment horizontal="right" vertical="bottom"/>
    </xf>
    <xf borderId="0" fillId="0" fontId="16" numFmtId="171" xfId="0" applyAlignment="1" applyFont="1" applyNumberFormat="1">
      <alignment shrinkToFit="0" vertical="bottom" wrapText="1"/>
    </xf>
    <xf borderId="0" fillId="0" fontId="0" numFmtId="171" xfId="0" applyAlignment="1" applyFont="1" applyNumberFormat="1">
      <alignment shrinkToFit="0" vertical="bottom" wrapText="1"/>
    </xf>
    <xf borderId="0" fillId="0" fontId="0" numFmtId="171" xfId="0" applyAlignment="1" applyFont="1" applyNumberFormat="1">
      <alignment readingOrder="0" shrinkToFit="0" vertical="bottom" wrapText="1"/>
    </xf>
    <xf borderId="0" fillId="0" fontId="5" numFmtId="4" xfId="0" applyAlignment="1" applyFont="1" applyNumberFormat="1">
      <alignment horizontal="right" vertical="bottom"/>
    </xf>
    <xf borderId="0" fillId="0" fontId="16" numFmtId="4" xfId="0" applyAlignment="1" applyFont="1" applyNumberFormat="1">
      <alignment vertical="bottom"/>
    </xf>
    <xf borderId="0" fillId="0" fontId="0" numFmtId="164" xfId="0" applyAlignment="1" applyFont="1" applyNumberFormat="1">
      <alignment horizontal="right" vertical="bottom"/>
    </xf>
    <xf borderId="0" fillId="6" fontId="16" numFmtId="171" xfId="0" applyAlignment="1" applyFill="1" applyFont="1" applyNumberFormat="1">
      <alignment shrinkToFit="0" vertical="bottom" wrapText="1"/>
    </xf>
    <xf borderId="0" fillId="6" fontId="5" numFmtId="164" xfId="0" applyAlignment="1" applyFont="1" applyNumberFormat="1">
      <alignment horizontal="right" readingOrder="0" vertical="bottom"/>
    </xf>
    <xf borderId="0" fillId="0" fontId="5" numFmtId="167" xfId="0" applyAlignment="1" applyFont="1" applyNumberFormat="1">
      <alignment horizontal="right" vertical="bottom"/>
    </xf>
    <xf borderId="0" fillId="0" fontId="18" numFmtId="0" xfId="0" applyAlignment="1" applyFont="1">
      <alignment readingOrder="0" shrinkToFit="0" vertical="bottom" wrapText="1"/>
    </xf>
    <xf borderId="0" fillId="0" fontId="18" numFmtId="171" xfId="0" applyAlignment="1" applyFont="1" applyNumberFormat="1">
      <alignment horizontal="right" readingOrder="0" shrinkToFit="0" vertical="bottom" wrapText="0"/>
    </xf>
    <xf borderId="0" fillId="0" fontId="18" numFmtId="172" xfId="0" applyAlignment="1" applyFont="1" applyNumberFormat="1">
      <alignment readingOrder="0" shrinkToFit="0" vertical="bottom" wrapText="1"/>
    </xf>
    <xf borderId="0" fillId="0" fontId="18" numFmtId="2" xfId="0" applyAlignment="1" applyFont="1" applyNumberFormat="1">
      <alignment horizontal="right" vertical="bottom"/>
    </xf>
    <xf borderId="0" fillId="0" fontId="16" numFmtId="0" xfId="0" applyAlignment="1" applyFont="1">
      <alignment vertical="bottom"/>
    </xf>
    <xf borderId="0" fillId="0" fontId="30" numFmtId="0" xfId="0" applyAlignment="1" applyFont="1">
      <alignment readingOrder="0" vertical="bottom"/>
    </xf>
    <xf borderId="0" fillId="0" fontId="18" numFmtId="3" xfId="0" applyAlignment="1" applyFont="1" applyNumberFormat="1">
      <alignment horizontal="right" vertical="bottom"/>
    </xf>
    <xf borderId="0" fillId="0" fontId="27" numFmtId="3" xfId="0" applyAlignment="1" applyFont="1" applyNumberFormat="1">
      <alignment horizontal="right" readingOrder="0" vertical="bottom"/>
    </xf>
    <xf borderId="0" fillId="0" fontId="22" numFmtId="3" xfId="0" applyAlignment="1" applyFont="1" applyNumberFormat="1">
      <alignment readingOrder="0" vertical="bottom"/>
    </xf>
    <xf borderId="0" fillId="0" fontId="30" numFmtId="3" xfId="0" applyAlignment="1" applyFont="1" applyNumberFormat="1">
      <alignment readingOrder="0" vertical="bottom"/>
    </xf>
    <xf borderId="0" fillId="0" fontId="30" numFmtId="3" xfId="0" applyAlignment="1" applyFont="1" applyNumberFormat="1">
      <alignment horizontal="right" readingOrder="0" vertical="bottom"/>
    </xf>
    <xf borderId="0" fillId="0" fontId="17" numFmtId="173" xfId="0" applyAlignment="1" applyFont="1" applyNumberFormat="1">
      <alignment readingOrder="0" vertical="bottom"/>
    </xf>
    <xf borderId="0" fillId="0" fontId="17" numFmtId="173" xfId="0" applyAlignment="1" applyFont="1" applyNumberFormat="1">
      <alignment horizontal="right" vertical="bottom"/>
    </xf>
    <xf borderId="0" fillId="5" fontId="18" numFmtId="0" xfId="0" applyAlignment="1" applyFont="1">
      <alignment readingOrder="0" vertical="bottom"/>
    </xf>
    <xf borderId="0" fillId="5" fontId="16" numFmtId="0" xfId="0" applyAlignment="1" applyFont="1">
      <alignment vertical="bottom"/>
    </xf>
    <xf borderId="0" fillId="0" fontId="16" numFmtId="3" xfId="0" applyAlignment="1" applyFont="1" applyNumberFormat="1">
      <alignment readingOrder="0" vertical="bottom"/>
    </xf>
    <xf borderId="0" fillId="0" fontId="0" numFmtId="3" xfId="0" applyAlignment="1" applyFont="1" applyNumberFormat="1">
      <alignment horizontal="right" readingOrder="0" vertical="bottom"/>
    </xf>
    <xf borderId="0" fillId="0" fontId="23" numFmtId="3" xfId="0" applyAlignment="1" applyFont="1" applyNumberFormat="1">
      <alignment readingOrder="0" vertical="bottom"/>
    </xf>
    <xf borderId="0" fillId="0" fontId="5" numFmtId="3" xfId="0" applyAlignment="1" applyFont="1" applyNumberFormat="1">
      <alignment horizontal="right" readingOrder="0" vertical="bottom"/>
    </xf>
    <xf borderId="0" fillId="0" fontId="5" numFmtId="3" xfId="0" applyAlignment="1" applyFont="1" applyNumberFormat="1">
      <alignment horizontal="right" vertical="bottom"/>
    </xf>
    <xf borderId="0" fillId="0" fontId="5" numFmtId="3" xfId="0" applyAlignment="1" applyFont="1" applyNumberFormat="1">
      <alignment horizontal="right" readingOrder="0" shrinkToFit="0" vertical="bottom" wrapText="0"/>
    </xf>
    <xf borderId="0" fillId="0" fontId="0" numFmtId="3" xfId="0" applyAlignment="1" applyFont="1" applyNumberFormat="1">
      <alignment horizontal="right" vertical="bottom"/>
    </xf>
    <xf borderId="0" fillId="0" fontId="26" numFmtId="9" xfId="0" applyAlignment="1" applyFont="1" applyNumberFormat="1">
      <alignment horizontal="right" readingOrder="0" vertical="bottom"/>
    </xf>
    <xf borderId="0" fillId="0" fontId="27" numFmtId="9" xfId="0" applyAlignment="1" applyFont="1" applyNumberFormat="1">
      <alignment horizontal="right" readingOrder="0" vertical="bottom"/>
    </xf>
    <xf borderId="0" fillId="0" fontId="17" numFmtId="3" xfId="0" applyAlignment="1" applyFont="1" applyNumberFormat="1">
      <alignment horizontal="right" readingOrder="0" vertical="bottom"/>
    </xf>
    <xf borderId="0" fillId="0" fontId="16" numFmtId="10" xfId="0" applyAlignment="1" applyFont="1" applyNumberFormat="1">
      <alignment vertical="bottom"/>
    </xf>
    <xf borderId="0" fillId="0" fontId="27" numFmtId="10" xfId="0" applyAlignment="1" applyFont="1" applyNumberFormat="1">
      <alignment readingOrder="0"/>
    </xf>
    <xf borderId="0" fillId="0" fontId="17" numFmtId="4" xfId="0" applyAlignment="1" applyFont="1" applyNumberFormat="1">
      <alignment horizontal="right" readingOrder="0" vertical="bottom"/>
    </xf>
    <xf borderId="0" fillId="0" fontId="4" numFmtId="0" xfId="0" applyAlignment="1" applyFont="1">
      <alignment readingOrder="0" vertical="bottom"/>
    </xf>
    <xf borderId="0" fillId="0" fontId="0" numFmtId="0" xfId="0" applyAlignment="1" applyFont="1">
      <alignment shrinkToFit="0" wrapText="0"/>
    </xf>
    <xf borderId="0" fillId="0" fontId="14" numFmtId="3" xfId="0" applyAlignment="1" applyFont="1" applyNumberFormat="1">
      <alignment shrinkToFit="0" wrapText="0"/>
    </xf>
    <xf borderId="0" fillId="0" fontId="14" numFmtId="0" xfId="0" applyAlignment="1" applyFont="1">
      <alignment shrinkToFit="0" wrapText="0"/>
    </xf>
    <xf borderId="0" fillId="5" fontId="18" numFmtId="0" xfId="0" applyAlignment="1" applyFont="1">
      <alignment readingOrder="0" shrinkToFit="0" vertical="bottom" wrapText="0"/>
    </xf>
    <xf borderId="0" fillId="0" fontId="29" numFmtId="9" xfId="0" applyAlignment="1" applyFont="1" applyNumberFormat="1">
      <alignment horizontal="right" vertical="bottom"/>
    </xf>
    <xf borderId="0" fillId="0" fontId="16" numFmtId="0" xfId="0" applyAlignment="1" applyFont="1">
      <alignment shrinkToFit="0" vertical="bottom" wrapText="1"/>
    </xf>
    <xf borderId="0" fillId="5" fontId="16" numFmtId="9" xfId="0" applyAlignment="1" applyFont="1" applyNumberFormat="1">
      <alignment vertical="bottom"/>
    </xf>
    <xf borderId="0" fillId="0" fontId="16" numFmtId="173" xfId="0" applyAlignment="1" applyFont="1" applyNumberFormat="1">
      <alignment readingOrder="0" vertical="bottom"/>
    </xf>
    <xf borderId="0" fillId="0" fontId="31" numFmtId="0" xfId="0" applyAlignment="1" applyFont="1">
      <alignment readingOrder="0"/>
    </xf>
    <xf borderId="0" fillId="0" fontId="29" numFmtId="10" xfId="0" applyAlignment="1" applyFont="1" applyNumberFormat="1">
      <alignment horizontal="right" readingOrder="0" vertical="bottom"/>
    </xf>
    <xf borderId="0" fillId="0" fontId="23" numFmtId="173" xfId="0" applyAlignment="1" applyFont="1" applyNumberFormat="1">
      <alignment readingOrder="0" vertical="bottom"/>
    </xf>
    <xf borderId="0" fillId="0" fontId="5" numFmtId="10" xfId="0" applyAlignment="1" applyFont="1" applyNumberFormat="1">
      <alignment horizontal="right" readingOrder="0" vertical="bottom"/>
    </xf>
    <xf borderId="0" fillId="0" fontId="16" numFmtId="174" xfId="0" applyAlignment="1" applyFont="1" applyNumberFormat="1">
      <alignment horizontal="right" vertical="bottom"/>
    </xf>
    <xf borderId="0" fillId="0" fontId="0" numFmtId="173" xfId="0" applyAlignment="1" applyFont="1" applyNumberFormat="1">
      <alignment vertical="bottom"/>
    </xf>
    <xf borderId="0" fillId="0" fontId="0" numFmtId="1" xfId="0" applyAlignment="1" applyFont="1" applyNumberFormat="1">
      <alignment horizontal="right" vertical="bottom"/>
    </xf>
    <xf borderId="0" fillId="0" fontId="15" numFmtId="173" xfId="0" applyAlignment="1" applyFont="1" applyNumberFormat="1">
      <alignment readingOrder="0" vertical="bottom"/>
    </xf>
    <xf borderId="0" fillId="0" fontId="16" numFmtId="1" xfId="0" applyAlignment="1" applyFont="1" applyNumberFormat="1">
      <alignment vertical="bottom"/>
    </xf>
    <xf borderId="0" fillId="0" fontId="5" numFmtId="1" xfId="0" applyAlignment="1" applyFont="1" applyNumberFormat="1">
      <alignment horizontal="right" vertical="bottom"/>
    </xf>
    <xf borderId="0" fillId="0" fontId="29" numFmtId="1" xfId="0" applyAlignment="1" applyFont="1" applyNumberFormat="1">
      <alignment horizontal="right" vertical="bottom"/>
    </xf>
    <xf borderId="0" fillId="0" fontId="16" numFmtId="173" xfId="0" applyAlignment="1" applyFont="1" applyNumberFormat="1">
      <alignment vertical="bottom"/>
    </xf>
    <xf borderId="0" fillId="0" fontId="29" numFmtId="167" xfId="0" applyAlignment="1" applyFont="1" applyNumberFormat="1">
      <alignment horizontal="right" vertical="bottom"/>
    </xf>
    <xf borderId="0" fillId="0" fontId="5" numFmtId="1" xfId="0" applyAlignment="1" applyFont="1" applyNumberFormat="1">
      <alignment horizontal="right" readingOrder="0" vertical="bottom"/>
    </xf>
    <xf borderId="0" fillId="0" fontId="16" numFmtId="4" xfId="0" applyAlignment="1" applyFont="1" applyNumberFormat="1">
      <alignment horizontal="right" vertical="bottom"/>
    </xf>
    <xf borderId="0" fillId="0" fontId="29" numFmtId="3" xfId="0" applyAlignment="1" applyFont="1" applyNumberFormat="1">
      <alignment horizontal="right" vertical="bottom"/>
    </xf>
    <xf borderId="0" fillId="0" fontId="0" numFmtId="4" xfId="0" applyAlignment="1" applyFont="1" applyNumberFormat="1">
      <alignment horizontal="right" vertical="bottom"/>
    </xf>
    <xf borderId="0" fillId="0" fontId="18" numFmtId="173" xfId="0" applyAlignment="1" applyFont="1" applyNumberFormat="1">
      <alignment readingOrder="0" vertical="bottom"/>
    </xf>
    <xf borderId="0" fillId="0" fontId="17" numFmtId="175" xfId="0" applyAlignment="1" applyFont="1" applyNumberFormat="1">
      <alignment readingOrder="0"/>
    </xf>
    <xf borderId="0" fillId="0" fontId="16" numFmtId="175" xfId="0" applyAlignment="1" applyFont="1" applyNumberFormat="1">
      <alignment horizontal="right" vertical="bottom"/>
    </xf>
    <xf borderId="0" fillId="0" fontId="18" numFmtId="164" xfId="0" applyAlignment="1" applyFont="1" applyNumberFormat="1">
      <alignment readingOrder="0" vertical="bottom"/>
    </xf>
    <xf borderId="0" fillId="0" fontId="14" numFmtId="3" xfId="0" applyAlignment="1" applyFont="1" applyNumberFormat="1">
      <alignment horizontal="right" vertical="bottom"/>
    </xf>
    <xf borderId="0" fillId="0" fontId="14" numFmtId="164" xfId="0" applyAlignment="1" applyFont="1" applyNumberFormat="1">
      <alignment horizontal="right" vertical="bottom"/>
    </xf>
    <xf borderId="0" fillId="5" fontId="18" numFmtId="0" xfId="0" applyAlignment="1" applyFont="1">
      <alignment vertical="bottom"/>
    </xf>
    <xf borderId="0" fillId="5" fontId="32" numFmtId="0" xfId="0" applyAlignment="1" applyFont="1">
      <alignment readingOrder="0"/>
    </xf>
    <xf borderId="0" fillId="0" fontId="32" numFmtId="0" xfId="0" applyAlignment="1" applyFont="1">
      <alignment readingOrder="0"/>
    </xf>
    <xf borderId="0" fillId="0" fontId="0" numFmtId="10" xfId="0" applyAlignment="1" applyFont="1" applyNumberFormat="1">
      <alignment shrinkToFit="0" wrapText="0"/>
    </xf>
    <xf borderId="0" fillId="0" fontId="28" numFmtId="9" xfId="0" applyFont="1" applyNumberFormat="1"/>
    <xf borderId="0" fillId="0" fontId="29" numFmtId="9" xfId="0" applyAlignment="1" applyFont="1" applyNumberFormat="1">
      <alignment shrinkToFit="0" wrapText="0"/>
    </xf>
    <xf borderId="1" fillId="0" fontId="0" numFmtId="0" xfId="0" applyAlignment="1" applyBorder="1" applyFont="1">
      <alignment vertical="bottom"/>
    </xf>
    <xf borderId="1" fillId="0" fontId="5" numFmtId="9" xfId="0" applyAlignment="1" applyBorder="1" applyFont="1" applyNumberFormat="1">
      <alignment horizontal="right" vertical="bottom"/>
    </xf>
    <xf borderId="2" fillId="0" fontId="0" numFmtId="0" xfId="0" applyAlignment="1" applyBorder="1" applyFont="1">
      <alignment readingOrder="0" shrinkToFit="0" wrapText="0"/>
    </xf>
    <xf borderId="2" fillId="0" fontId="16" numFmtId="9" xfId="0" applyAlignment="1" applyBorder="1" applyFont="1" applyNumberFormat="1">
      <alignment horizontal="right" vertical="bottom"/>
    </xf>
    <xf borderId="2" fillId="0" fontId="33" numFmtId="9" xfId="0" applyBorder="1" applyFont="1" applyNumberFormat="1"/>
    <xf borderId="0" fillId="0" fontId="33" numFmtId="9" xfId="0" applyFont="1" applyNumberFormat="1"/>
    <xf borderId="2" fillId="0" fontId="0" numFmtId="0" xfId="0" applyAlignment="1" applyBorder="1" applyFont="1">
      <alignment readingOrder="0" shrinkToFit="0" wrapText="0"/>
    </xf>
    <xf borderId="0" fillId="0" fontId="16" numFmtId="175" xfId="0" applyAlignment="1" applyFont="1" applyNumberFormat="1">
      <alignment readingOrder="0" vertical="bottom"/>
    </xf>
    <xf borderId="0" fillId="0" fontId="18" numFmtId="0" xfId="0" applyAlignment="1" applyFont="1">
      <alignment readingOrder="0" vertical="bottom"/>
    </xf>
    <xf borderId="0" fillId="0" fontId="18" numFmtId="164" xfId="0" applyAlignment="1" applyFont="1" applyNumberFormat="1">
      <alignment horizontal="right" vertical="bottom"/>
    </xf>
    <xf borderId="0" fillId="0" fontId="16" numFmtId="175" xfId="0" applyAlignment="1" applyFont="1" applyNumberFormat="1">
      <alignment vertical="bottom"/>
    </xf>
    <xf borderId="0" fillId="0" fontId="0" numFmtId="3" xfId="0" applyAlignment="1" applyFont="1" applyNumberFormat="1">
      <alignment shrinkToFit="0" wrapText="0"/>
    </xf>
    <xf borderId="0" fillId="0" fontId="33" numFmtId="0" xfId="0" applyAlignment="1" applyFont="1">
      <alignment readingOrder="0"/>
    </xf>
    <xf borderId="0" fillId="0" fontId="0" numFmtId="9" xfId="0" applyAlignment="1" applyFont="1" applyNumberFormat="1">
      <alignment shrinkToFit="0" wrapText="0"/>
    </xf>
    <xf borderId="0" fillId="0" fontId="0" numFmtId="9" xfId="0" applyAlignment="1" applyFont="1" applyNumberFormat="1">
      <alignment readingOrder="0" shrinkToFit="0" wrapText="0"/>
    </xf>
    <xf borderId="0" fillId="0" fontId="7" numFmtId="9" xfId="0" applyAlignment="1" applyFont="1" applyNumberFormat="1">
      <alignment shrinkToFit="0" wrapText="0"/>
    </xf>
    <xf borderId="0" fillId="0" fontId="16" numFmtId="10" xfId="0" applyAlignment="1" applyFont="1" applyNumberFormat="1">
      <alignment horizontal="right" vertical="bottom"/>
    </xf>
    <xf borderId="0" fillId="5" fontId="30" numFmtId="0" xfId="0" applyAlignment="1" applyFont="1">
      <alignment readingOrder="0"/>
    </xf>
    <xf borderId="0" fillId="5" fontId="18" numFmtId="3" xfId="0" applyAlignment="1" applyFont="1" applyNumberFormat="1">
      <alignment horizontal="right" vertical="bottom"/>
    </xf>
    <xf borderId="0" fillId="0" fontId="34" numFmtId="3" xfId="0" applyAlignment="1" applyFont="1" applyNumberFormat="1">
      <alignment horizontal="right" vertical="bottom"/>
    </xf>
    <xf borderId="0" fillId="0" fontId="23" numFmtId="4" xfId="0" applyAlignment="1" applyFont="1" applyNumberFormat="1">
      <alignment vertical="bottom"/>
    </xf>
    <xf borderId="0" fillId="0" fontId="16" numFmtId="4" xfId="0" applyAlignment="1" applyFont="1" applyNumberFormat="1">
      <alignment shrinkToFit="0" vertical="bottom" wrapText="1"/>
    </xf>
    <xf borderId="0" fillId="0" fontId="16" numFmtId="3" xfId="0" applyAlignment="1" applyFont="1" applyNumberFormat="1">
      <alignment horizontal="right" readingOrder="0" vertical="bottom"/>
    </xf>
    <xf borderId="0" fillId="0" fontId="17" numFmtId="175" xfId="0" applyAlignment="1" applyFont="1" applyNumberFormat="1">
      <alignment readingOrder="0" vertical="bottom"/>
    </xf>
    <xf borderId="0" fillId="0" fontId="17" numFmtId="175" xfId="0" applyAlignment="1" applyFont="1" applyNumberFormat="1">
      <alignment vertical="bottom"/>
    </xf>
    <xf borderId="0" fillId="0" fontId="32" numFmtId="4" xfId="0" applyAlignment="1" applyFont="1" applyNumberFormat="1">
      <alignment readingOrder="0"/>
    </xf>
    <xf borderId="0" fillId="0" fontId="14" numFmtId="164" xfId="0" applyAlignment="1" applyFont="1" applyNumberFormat="1">
      <alignment horizontal="right"/>
    </xf>
    <xf borderId="0" fillId="0" fontId="16" numFmtId="164" xfId="0" applyAlignment="1" applyFont="1" applyNumberFormat="1">
      <alignment readingOrder="0" vertical="bottom"/>
    </xf>
    <xf borderId="0" fillId="0" fontId="0" numFmtId="9" xfId="0" applyAlignment="1" applyFont="1" applyNumberFormat="1">
      <alignment horizontal="right"/>
    </xf>
    <xf borderId="0" fillId="0" fontId="16" numFmtId="167" xfId="0" applyAlignment="1" applyFont="1" applyNumberFormat="1">
      <alignment vertical="bottom"/>
    </xf>
    <xf borderId="0" fillId="0" fontId="0" numFmtId="167" xfId="0" applyAlignment="1" applyFont="1" applyNumberFormat="1">
      <alignment horizontal="right"/>
    </xf>
    <xf borderId="0" fillId="0" fontId="35" numFmtId="3" xfId="0" applyAlignment="1" applyFont="1" applyNumberFormat="1">
      <alignment horizontal="right" vertical="bottom"/>
    </xf>
    <xf borderId="0" fillId="0" fontId="35" numFmtId="3" xfId="0" applyAlignment="1" applyFont="1" applyNumberFormat="1">
      <alignment horizontal="right"/>
    </xf>
    <xf borderId="0" fillId="0" fontId="0" numFmtId="9" xfId="0" applyAlignment="1" applyFont="1" applyNumberFormat="1">
      <alignment horizontal="right" readingOrder="0"/>
    </xf>
    <xf borderId="0" fillId="0" fontId="16" numFmtId="9" xfId="0" applyAlignment="1" applyFont="1" applyNumberFormat="1">
      <alignment horizontal="right"/>
    </xf>
    <xf borderId="0" fillId="0" fontId="0" numFmtId="169" xfId="0" applyAlignment="1" applyFont="1" applyNumberFormat="1">
      <alignment horizontal="right" vertical="bottom"/>
    </xf>
    <xf borderId="0" fillId="0" fontId="0" numFmtId="169" xfId="0" applyAlignment="1" applyFont="1" applyNumberFormat="1">
      <alignment horizontal="right"/>
    </xf>
    <xf borderId="0" fillId="0" fontId="0" numFmtId="4" xfId="0" applyAlignment="1" applyFont="1" applyNumberFormat="1">
      <alignment horizontal="right"/>
    </xf>
    <xf borderId="0" fillId="3" fontId="14" numFmtId="0" xfId="0" applyAlignment="1" applyFont="1">
      <alignment horizontal="left" readingOrder="0" shrinkToFit="0" vertical="center" wrapText="0"/>
    </xf>
    <xf borderId="0" fillId="3" fontId="14" numFmtId="0" xfId="0" applyAlignment="1" applyFont="1">
      <alignment horizontal="center" readingOrder="0" shrinkToFit="0" vertical="bottom" wrapText="0"/>
    </xf>
    <xf borderId="0" fillId="0" fontId="0" numFmtId="169" xfId="0" applyAlignment="1" applyFont="1" applyNumberFormat="1">
      <alignment horizontal="left" readingOrder="0" shrinkToFit="0" vertical="center" wrapText="0"/>
    </xf>
    <xf borderId="0" fillId="0" fontId="5" numFmtId="169" xfId="0" applyAlignment="1" applyFont="1" applyNumberFormat="1">
      <alignment horizontal="right" readingOrder="0" shrinkToFit="0" vertical="center" wrapText="0"/>
    </xf>
    <xf borderId="0" fillId="0" fontId="15" numFmtId="169" xfId="0" applyAlignment="1" applyFont="1" applyNumberFormat="1">
      <alignment horizontal="left" readingOrder="0" shrinkToFit="0" vertical="center" wrapText="0"/>
    </xf>
    <xf borderId="0" fillId="0" fontId="0" numFmtId="0" xfId="0" applyAlignment="1" applyFont="1">
      <alignment horizontal="left" readingOrder="0" shrinkToFit="0" vertical="center" wrapText="0"/>
    </xf>
    <xf borderId="0" fillId="0" fontId="5" numFmtId="9" xfId="0" applyAlignment="1" applyFont="1" applyNumberFormat="1">
      <alignment horizontal="right" readingOrder="0" shrinkToFit="0" vertical="center" wrapText="0"/>
    </xf>
    <xf borderId="0" fillId="0" fontId="0" numFmtId="169" xfId="0" applyAlignment="1" applyFont="1" applyNumberFormat="1">
      <alignment horizontal="right" shrinkToFit="0" vertical="center" wrapText="0"/>
    </xf>
    <xf borderId="0" fillId="0" fontId="5" numFmtId="169" xfId="0" applyAlignment="1" applyFont="1" applyNumberFormat="1">
      <alignment horizontal="right" shrinkToFit="0" vertical="center" wrapText="0"/>
    </xf>
    <xf borderId="0" fillId="6" fontId="0" numFmtId="164" xfId="0" applyAlignment="1" applyFont="1" applyNumberFormat="1">
      <alignment horizontal="left" readingOrder="0" shrinkToFit="0" vertical="center" wrapText="0"/>
    </xf>
    <xf borderId="0" fillId="6" fontId="5" numFmtId="164" xfId="0" applyAlignment="1" applyFont="1" applyNumberFormat="1">
      <alignment horizontal="right" shrinkToFit="0" vertical="center" wrapText="0"/>
    </xf>
    <xf borderId="0" fillId="0" fontId="0" numFmtId="170" xfId="0" applyAlignment="1" applyFont="1" applyNumberFormat="1">
      <alignment horizontal="right" shrinkToFit="0" vertical="center" wrapText="0"/>
    </xf>
    <xf borderId="0" fillId="0" fontId="7" numFmtId="9" xfId="0" applyAlignment="1" applyFont="1" applyNumberFormat="1">
      <alignment horizontal="right" shrinkToFit="0" vertical="center" wrapText="0"/>
    </xf>
    <xf borderId="0" fillId="0" fontId="15" numFmtId="0" xfId="0" applyAlignment="1" applyFont="1">
      <alignment horizontal="left" readingOrder="0" shrinkToFit="0" vertical="center" wrapText="0"/>
    </xf>
    <xf borderId="0" fillId="0" fontId="16" numFmtId="169" xfId="0" applyAlignment="1" applyFont="1" applyNumberFormat="1">
      <alignment horizontal="left" readingOrder="0" shrinkToFit="0" vertical="center" wrapText="0"/>
    </xf>
    <xf borderId="0" fillId="0" fontId="16" numFmtId="169" xfId="0" applyAlignment="1" applyFont="1" applyNumberFormat="1">
      <alignment horizontal="right" shrinkToFit="0" wrapText="0"/>
    </xf>
    <xf borderId="0" fillId="0" fontId="16" numFmtId="0" xfId="0" applyAlignment="1" applyFont="1">
      <alignment horizontal="left" readingOrder="0" shrinkToFit="0" vertical="center" wrapText="0"/>
    </xf>
    <xf borderId="0" fillId="0" fontId="16" numFmtId="170" xfId="0" applyAlignment="1" applyFont="1" applyNumberFormat="1">
      <alignment horizontal="right" shrinkToFit="0" wrapText="0"/>
    </xf>
    <xf borderId="0" fillId="0" fontId="5" numFmtId="170" xfId="0" applyAlignment="1" applyFont="1" applyNumberFormat="1">
      <alignment horizontal="right" shrinkToFit="0" vertical="center" wrapText="0"/>
    </xf>
    <xf borderId="0" fillId="0" fontId="16" numFmtId="4" xfId="0" applyAlignment="1" applyFont="1" applyNumberFormat="1">
      <alignment horizontal="right" shrinkToFit="0" wrapText="0"/>
    </xf>
    <xf borderId="0" fillId="0" fontId="16" numFmtId="2" xfId="0" applyAlignment="1" applyFont="1" applyNumberFormat="1">
      <alignment horizontal="right" shrinkToFit="0" wrapText="0"/>
    </xf>
    <xf borderId="0" fillId="0" fontId="0" numFmtId="10" xfId="0" applyAlignment="1" applyFont="1" applyNumberFormat="1">
      <alignment horizontal="left" shrinkToFit="0" wrapText="0"/>
    </xf>
    <xf borderId="0" fillId="0" fontId="7" numFmtId="10" xfId="0" applyAlignment="1" applyFont="1" applyNumberFormat="1">
      <alignment horizontal="right" shrinkToFit="0" vertical="center" wrapText="0"/>
    </xf>
    <xf borderId="0" fillId="0" fontId="0" numFmtId="3" xfId="0" applyAlignment="1" applyFont="1" applyNumberFormat="1">
      <alignment horizontal="left" readingOrder="0" shrinkToFit="0" vertical="center" wrapText="0"/>
    </xf>
    <xf borderId="0" fillId="0" fontId="5" numFmtId="3" xfId="0" applyAlignment="1" applyFont="1" applyNumberFormat="1">
      <alignment horizontal="right" readingOrder="0" shrinkToFit="0" vertical="center" wrapText="0"/>
    </xf>
    <xf borderId="0" fillId="0" fontId="16" numFmtId="2" xfId="0" applyAlignment="1" applyFont="1" applyNumberFormat="1">
      <alignment horizontal="left" readingOrder="0" shrinkToFit="0" vertical="center" wrapText="0"/>
    </xf>
    <xf borderId="0" fillId="0" fontId="16" numFmtId="175" xfId="0" applyAlignment="1" applyFont="1" applyNumberFormat="1">
      <alignment horizontal="left" readingOrder="0" shrinkToFit="0" vertical="center" wrapText="0"/>
    </xf>
    <xf borderId="0" fillId="0" fontId="16" numFmtId="175" xfId="0" applyAlignment="1" applyFont="1" applyNumberFormat="1">
      <alignment horizontal="right" shrinkToFit="0" wrapText="0"/>
    </xf>
    <xf borderId="0" fillId="0" fontId="0" numFmtId="4" xfId="0" applyAlignment="1" applyFont="1" applyNumberFormat="1">
      <alignment horizontal="right" shrinkToFit="0" vertical="center" wrapText="0"/>
    </xf>
    <xf borderId="0" fillId="0" fontId="0" numFmtId="0" xfId="0" applyFont="1"/>
    <xf borderId="0" fillId="0" fontId="5" numFmtId="9" xfId="0" applyAlignment="1" applyFont="1" applyNumberFormat="1">
      <alignment horizontal="right" readingOrder="0"/>
    </xf>
    <xf borderId="0" fillId="0" fontId="0" numFmtId="173" xfId="0" applyAlignment="1" applyFont="1" applyNumberFormat="1">
      <alignment horizontal="left" readingOrder="0" shrinkToFit="0" vertical="center" wrapText="0"/>
    </xf>
    <xf borderId="0" fillId="0" fontId="0" numFmtId="164" xfId="0" applyAlignment="1" applyFont="1" applyNumberFormat="1">
      <alignment horizontal="right" shrinkToFit="0" vertical="center" wrapText="0"/>
    </xf>
    <xf borderId="0" fillId="0" fontId="0" numFmtId="3" xfId="0" applyAlignment="1" applyFont="1" applyNumberFormat="1">
      <alignment horizontal="right" shrinkToFit="0" vertical="center" wrapText="0"/>
    </xf>
    <xf borderId="0" fillId="0" fontId="0" numFmtId="164" xfId="0" applyAlignment="1" applyFont="1" applyNumberFormat="1">
      <alignment horizontal="left" readingOrder="0" shrinkToFit="0" vertical="center" wrapText="0"/>
    </xf>
    <xf borderId="0" fillId="0" fontId="7" numFmtId="4" xfId="0" applyAlignment="1" applyFont="1" applyNumberFormat="1">
      <alignment horizontal="right" shrinkToFit="0" vertical="center" wrapText="0"/>
    </xf>
    <xf borderId="0" fillId="0" fontId="14" numFmtId="173" xfId="0" applyAlignment="1" applyFont="1" applyNumberFormat="1">
      <alignment horizontal="left" readingOrder="0" shrinkToFit="0" vertical="center" wrapText="0"/>
    </xf>
    <xf borderId="0" fillId="0" fontId="14" numFmtId="3" xfId="0" applyAlignment="1" applyFont="1" applyNumberFormat="1">
      <alignment horizontal="right" shrinkToFit="0" vertical="center" wrapText="0"/>
    </xf>
    <xf borderId="0" fillId="0" fontId="0" numFmtId="173" xfId="0" applyAlignment="1" applyFont="1" applyNumberFormat="1">
      <alignment readingOrder="0" vertical="bottom"/>
    </xf>
    <xf borderId="0" fillId="0" fontId="0" numFmtId="173" xfId="0" applyAlignment="1" applyFont="1" applyNumberFormat="1">
      <alignment horizontal="right" readingOrder="0" vertical="bottom"/>
    </xf>
    <xf borderId="0" fillId="0" fontId="16" numFmtId="0" xfId="0" applyFont="1"/>
    <xf borderId="0" fillId="5" fontId="14" numFmtId="0" xfId="0" applyAlignment="1" applyFont="1">
      <alignment horizontal="left" readingOrder="0" shrinkToFit="0" wrapText="0"/>
    </xf>
    <xf borderId="0" fillId="5" fontId="0" numFmtId="165" xfId="0" applyAlignment="1" applyFont="1" applyNumberFormat="1">
      <alignment horizontal="center" shrinkToFit="0" wrapText="0"/>
    </xf>
    <xf borderId="0" fillId="0" fontId="14" numFmtId="0" xfId="0" applyAlignment="1" applyFont="1">
      <alignment horizontal="left" readingOrder="0" shrinkToFit="0" wrapText="0"/>
    </xf>
    <xf borderId="0" fillId="0" fontId="0" numFmtId="165" xfId="0" applyAlignment="1" applyFont="1" applyNumberFormat="1">
      <alignment horizontal="center" shrinkToFit="0" wrapText="0"/>
    </xf>
    <xf borderId="0" fillId="0" fontId="16" numFmtId="9" xfId="0" applyFont="1" applyNumberFormat="1"/>
    <xf borderId="0" fillId="0" fontId="18" numFmtId="165" xfId="0" applyAlignment="1" applyFont="1" applyNumberFormat="1">
      <alignment readingOrder="0" vertical="bottom"/>
    </xf>
    <xf borderId="0" fillId="5" fontId="18" numFmtId="0" xfId="0" applyAlignment="1" applyFont="1">
      <alignment vertical="bottom"/>
    </xf>
    <xf borderId="1" fillId="0" fontId="5" numFmtId="9" xfId="0" applyAlignment="1" applyBorder="1" applyFont="1" applyNumberFormat="1">
      <alignment horizontal="right" readingOrder="0" vertical="bottom"/>
    </xf>
    <xf borderId="0" fillId="0" fontId="16" numFmtId="9" xfId="0" applyAlignment="1" applyFont="1" applyNumberFormat="1">
      <alignment horizontal="right" readingOrder="0" vertical="bottom"/>
    </xf>
    <xf borderId="0" fillId="0" fontId="0" numFmtId="0" xfId="0" applyAlignment="1" applyFont="1">
      <alignment vertical="bottom"/>
    </xf>
    <xf borderId="0" fillId="0" fontId="14" numFmtId="0" xfId="0" applyAlignment="1" applyFont="1">
      <alignment readingOrder="0" vertical="bottom"/>
    </xf>
    <xf borderId="0" fillId="0" fontId="18" numFmtId="4" xfId="0" applyAlignment="1" applyFont="1" applyNumberFormat="1">
      <alignment vertical="bottom"/>
    </xf>
    <xf borderId="0" fillId="0" fontId="18" numFmtId="0" xfId="0" applyAlignment="1" applyFont="1">
      <alignment vertical="bottom"/>
    </xf>
    <xf borderId="0" fillId="5" fontId="18" numFmtId="3" xfId="0" applyAlignment="1" applyFont="1" applyNumberFormat="1">
      <alignment vertical="bottom"/>
    </xf>
    <xf borderId="0" fillId="0" fontId="16" numFmtId="171" xfId="0" applyAlignment="1" applyFont="1" applyNumberFormat="1">
      <alignment horizontal="right" vertical="bottom"/>
    </xf>
    <xf borderId="0" fillId="0" fontId="36" numFmtId="164" xfId="0" applyAlignment="1" applyFont="1" applyNumberFormat="1">
      <alignment readingOrder="0"/>
    </xf>
    <xf borderId="0" fillId="0" fontId="14" numFmtId="164" xfId="0" applyAlignment="1" applyFont="1" applyNumberFormat="1">
      <alignment shrinkToFit="0" wrapText="0"/>
    </xf>
    <xf borderId="0" fillId="3" fontId="18" numFmtId="0" xfId="0" applyAlignment="1" applyFont="1">
      <alignment vertical="bottom"/>
    </xf>
    <xf borderId="0" fillId="3" fontId="18" numFmtId="0" xfId="0" applyAlignment="1" applyFont="1">
      <alignment horizontal="center" vertical="bottom"/>
    </xf>
    <xf borderId="0" fillId="3" fontId="18" numFmtId="0" xfId="0" applyAlignment="1" applyFont="1">
      <alignment horizontal="center" shrinkToFit="0" vertical="bottom" wrapText="1"/>
    </xf>
    <xf borderId="0" fillId="3" fontId="18" numFmtId="0" xfId="0" applyAlignment="1" applyFont="1">
      <alignment horizontal="center" readingOrder="0" shrinkToFit="0" vertical="bottom" wrapText="1"/>
    </xf>
    <xf borderId="0" fillId="3" fontId="18" numFmtId="0" xfId="0" applyAlignment="1" applyFont="1">
      <alignment horizontal="center" readingOrder="0" vertical="bottom"/>
    </xf>
    <xf borderId="0" fillId="0" fontId="23" numFmtId="0" xfId="0" applyAlignment="1" applyFont="1">
      <alignment vertical="bottom"/>
    </xf>
    <xf borderId="0" fillId="5" fontId="18" numFmtId="0" xfId="0" applyAlignment="1" applyFont="1">
      <alignment shrinkToFit="0" vertical="bottom" wrapText="1"/>
    </xf>
    <xf borderId="0" fillId="0" fontId="5" numFmtId="175" xfId="0" applyAlignment="1" applyFont="1" applyNumberFormat="1">
      <alignment horizontal="right" readingOrder="0" vertical="bottom"/>
    </xf>
    <xf borderId="0" fillId="0" fontId="0" numFmtId="4" xfId="0" applyAlignment="1" applyFont="1" applyNumberFormat="1">
      <alignment shrinkToFit="0" vertical="bottom" wrapText="0"/>
    </xf>
    <xf borderId="0" fillId="0" fontId="0" numFmtId="167" xfId="0" applyAlignment="1" applyFont="1" applyNumberFormat="1">
      <alignment vertical="bottom"/>
    </xf>
    <xf borderId="0" fillId="0" fontId="16" numFmtId="174" xfId="0" applyAlignment="1" applyFont="1" applyNumberFormat="1">
      <alignment vertical="bottom"/>
    </xf>
    <xf borderId="0" fillId="0" fontId="0" numFmtId="3" xfId="0" applyAlignment="1" applyFont="1" applyNumberFormat="1">
      <alignment vertical="bottom"/>
    </xf>
    <xf borderId="0" fillId="0" fontId="0" numFmtId="174" xfId="0" applyAlignment="1" applyFont="1" applyNumberFormat="1">
      <alignment readingOrder="0" vertical="bottom"/>
    </xf>
    <xf borderId="0" fillId="0" fontId="0" numFmtId="174" xfId="0" applyAlignment="1" applyFont="1" applyNumberFormat="1">
      <alignment horizontal="right" vertical="bottom"/>
    </xf>
    <xf borderId="0" fillId="0" fontId="0" numFmtId="174" xfId="0" applyAlignment="1" applyFont="1" applyNumberFormat="1">
      <alignment vertical="bottom"/>
    </xf>
    <xf borderId="0" fillId="0" fontId="16" numFmtId="164" xfId="0" applyAlignment="1" applyFont="1" applyNumberFormat="1">
      <alignment vertical="bottom"/>
    </xf>
    <xf borderId="0" fillId="0" fontId="14" numFmtId="4" xfId="0" applyAlignment="1" applyFont="1" applyNumberFormat="1">
      <alignment readingOrder="0" vertical="bottom"/>
    </xf>
    <xf borderId="0" fillId="0" fontId="16" numFmtId="175" xfId="0" applyFont="1" applyNumberFormat="1"/>
    <xf borderId="0" fillId="5" fontId="16" numFmtId="175" xfId="0" applyAlignment="1" applyFont="1" applyNumberFormat="1">
      <alignment vertical="bottom"/>
    </xf>
    <xf borderId="0" fillId="0" fontId="16" numFmtId="176" xfId="0" applyAlignment="1" applyFont="1" applyNumberFormat="1">
      <alignment vertical="bottom"/>
    </xf>
    <xf borderId="3" fillId="5" fontId="18" numFmtId="0" xfId="0" applyAlignment="1" applyBorder="1" applyFont="1">
      <alignment readingOrder="0" vertical="bottom"/>
    </xf>
    <xf borderId="0" fillId="5" fontId="16" numFmtId="169" xfId="0" applyAlignment="1" applyFont="1" applyNumberFormat="1">
      <alignment vertical="bottom"/>
    </xf>
    <xf borderId="0" fillId="6" fontId="0" numFmtId="0" xfId="0" applyAlignment="1" applyFont="1">
      <alignment vertical="bottom"/>
    </xf>
    <xf borderId="0" fillId="6" fontId="5" numFmtId="9" xfId="0" applyAlignment="1" applyFont="1" applyNumberFormat="1">
      <alignment horizontal="right" vertical="bottom"/>
    </xf>
    <xf borderId="0" fillId="0" fontId="5" numFmtId="167" xfId="0" applyAlignment="1" applyFont="1" applyNumberFormat="1">
      <alignment horizontal="right" readingOrder="0" vertical="bottom"/>
    </xf>
    <xf borderId="0" fillId="0" fontId="0" numFmtId="172" xfId="0" applyAlignment="1" applyFont="1" applyNumberFormat="1">
      <alignment horizontal="right" vertical="bottom"/>
    </xf>
    <xf borderId="0" fillId="0" fontId="0" numFmtId="177" xfId="0" applyAlignment="1" applyFont="1" applyNumberFormat="1">
      <alignment vertical="bottom"/>
    </xf>
    <xf borderId="0" fillId="0" fontId="0" numFmtId="177" xfId="0" applyAlignment="1" applyFont="1" applyNumberFormat="1">
      <alignment horizontal="right" vertical="bottom"/>
    </xf>
    <xf borderId="0" fillId="0" fontId="0" numFmtId="170" xfId="0" applyAlignment="1" applyFont="1" applyNumberFormat="1">
      <alignment readingOrder="0" vertical="bottom"/>
    </xf>
    <xf borderId="0" fillId="0" fontId="5" numFmtId="170" xfId="0" applyAlignment="1" applyFont="1" applyNumberFormat="1">
      <alignment horizontal="right" readingOrder="0" vertical="bottom"/>
    </xf>
    <xf borderId="0" fillId="0" fontId="5" numFmtId="170" xfId="0" applyAlignment="1" applyFont="1" applyNumberFormat="1">
      <alignment horizontal="right" vertical="bottom"/>
    </xf>
    <xf borderId="0" fillId="0" fontId="16" numFmtId="174" xfId="0" applyAlignment="1" applyFont="1" applyNumberFormat="1">
      <alignment readingOrder="0"/>
    </xf>
    <xf borderId="0" fillId="0" fontId="29" numFmtId="172" xfId="0" applyAlignment="1" applyFont="1" applyNumberFormat="1">
      <alignment readingOrder="0"/>
    </xf>
    <xf borderId="0" fillId="0" fontId="16" numFmtId="164" xfId="0" applyAlignment="1" applyFont="1" applyNumberFormat="1">
      <alignment readingOrder="0"/>
    </xf>
    <xf borderId="0" fillId="0" fontId="29" numFmtId="4" xfId="0" applyAlignment="1" applyFont="1" applyNumberFormat="1">
      <alignment readingOrder="0"/>
    </xf>
    <xf borderId="0" fillId="0" fontId="16" numFmtId="170" xfId="0" applyAlignment="1" applyFont="1" applyNumberFormat="1">
      <alignment readingOrder="0"/>
    </xf>
    <xf borderId="0" fillId="0" fontId="29" numFmtId="3" xfId="0" applyAlignment="1" applyFont="1" applyNumberFormat="1">
      <alignment readingOrder="0"/>
    </xf>
    <xf borderId="2" fillId="0" fontId="16" numFmtId="0" xfId="0" applyAlignment="1" applyBorder="1" applyFont="1">
      <alignment readingOrder="0" vertical="bottom"/>
    </xf>
    <xf borderId="2" fillId="0" fontId="16" numFmtId="3" xfId="0" applyAlignment="1" applyBorder="1" applyFont="1" applyNumberFormat="1">
      <alignment horizontal="right" vertical="bottom"/>
    </xf>
    <xf borderId="0" fillId="0" fontId="33" numFmtId="3" xfId="0" applyAlignment="1" applyFont="1" applyNumberFormat="1">
      <alignment readingOrder="0"/>
    </xf>
    <xf borderId="0" fillId="0" fontId="0" numFmtId="175" xfId="0" applyAlignment="1" applyFont="1" applyNumberFormat="1">
      <alignment horizontal="right" shrinkToFit="0" vertical="center" wrapText="0"/>
    </xf>
    <xf borderId="0" fillId="0" fontId="0" numFmtId="10" xfId="0" applyAlignment="1" applyFont="1" applyNumberFormat="1">
      <alignment horizontal="right" readingOrder="0" shrinkToFit="0" vertical="center" wrapText="0"/>
    </xf>
    <xf borderId="0" fillId="0" fontId="0" numFmtId="170" xfId="0" applyAlignment="1" applyFont="1" applyNumberFormat="1">
      <alignment horizontal="left" readingOrder="0" shrinkToFit="0" vertical="center" wrapText="0"/>
    </xf>
    <xf borderId="0" fillId="0" fontId="16" numFmtId="175" xfId="0" applyAlignment="1" applyFont="1" applyNumberFormat="1">
      <alignment horizontal="left" readingOrder="0" shrinkToFit="0" wrapText="0"/>
    </xf>
    <xf borderId="0" fillId="0" fontId="18" numFmtId="165" xfId="0" applyAlignment="1" applyFont="1" applyNumberFormat="1">
      <alignment vertical="bottom"/>
    </xf>
    <xf borderId="0" fillId="0" fontId="18" numFmtId="164" xfId="0" applyAlignment="1" applyFont="1" applyNumberFormat="1">
      <alignment vertical="bottom"/>
    </xf>
    <xf borderId="0" fillId="0" fontId="16" numFmtId="10" xfId="0" applyFont="1" applyNumberFormat="1"/>
    <xf borderId="0" fillId="0" fontId="16" numFmtId="4" xfId="0" applyAlignment="1" applyFont="1" applyNumberFormat="1">
      <alignment readingOrder="0" vertical="bottom"/>
    </xf>
    <xf borderId="0" fillId="0" fontId="0" numFmtId="170" xfId="0" applyAlignment="1" applyFont="1" applyNumberFormat="1">
      <alignment horizontal="right" vertical="bottom"/>
    </xf>
    <xf borderId="2" fillId="0" fontId="16" numFmtId="4" xfId="0" applyAlignment="1" applyBorder="1" applyFont="1" applyNumberFormat="1">
      <alignment vertical="bottom"/>
    </xf>
    <xf borderId="2" fillId="0" fontId="16" numFmtId="170" xfId="0" applyAlignment="1" applyBorder="1" applyFont="1" applyNumberFormat="1">
      <alignment horizontal="right" vertical="bottom"/>
    </xf>
    <xf borderId="0" fillId="0" fontId="37" numFmtId="0" xfId="0" applyAlignment="1" applyFont="1">
      <alignment vertical="bottom"/>
    </xf>
    <xf borderId="0" fillId="0" fontId="37" numFmtId="10" xfId="0" applyAlignment="1" applyFont="1" applyNumberFormat="1">
      <alignment horizontal="right" vertical="bottom"/>
    </xf>
    <xf borderId="0" fillId="0" fontId="23" numFmtId="173" xfId="0" applyAlignment="1" applyFont="1" applyNumberFormat="1">
      <alignment vertical="bottom"/>
    </xf>
    <xf borderId="2" fillId="0" fontId="16" numFmtId="173" xfId="0" applyAlignment="1" applyBorder="1" applyFont="1" applyNumberFormat="1">
      <alignment vertical="bottom"/>
    </xf>
    <xf borderId="2" fillId="0" fontId="16" numFmtId="169" xfId="0" applyAlignment="1" applyBorder="1" applyFont="1" applyNumberFormat="1">
      <alignment horizontal="right" vertical="bottom"/>
    </xf>
    <xf borderId="0" fillId="0" fontId="23" numFmtId="4" xfId="0" applyAlignment="1" applyFont="1" applyNumberFormat="1">
      <alignment readingOrder="0" vertical="bottom"/>
    </xf>
    <xf borderId="0" fillId="0" fontId="38" numFmtId="174" xfId="0" applyFont="1" applyNumberFormat="1"/>
    <xf borderId="0" fillId="0" fontId="17" numFmtId="4" xfId="0" applyAlignment="1" applyFont="1" applyNumberFormat="1">
      <alignment readingOrder="0" vertical="bottom"/>
    </xf>
    <xf borderId="0" fillId="0" fontId="16" numFmtId="167" xfId="0" applyAlignment="1" applyFont="1" applyNumberFormat="1">
      <alignment horizontal="right" vertical="bottom"/>
    </xf>
    <xf borderId="3" fillId="0" fontId="23" numFmtId="4" xfId="0" applyAlignment="1" applyBorder="1" applyFont="1" applyNumberFormat="1">
      <alignment readingOrder="0" shrinkToFit="0" vertical="bottom" wrapText="0"/>
    </xf>
    <xf borderId="0" fillId="0" fontId="5" numFmtId="169" xfId="0" applyAlignment="1" applyFont="1" applyNumberFormat="1">
      <alignment horizontal="right" vertical="bottom"/>
    </xf>
    <xf borderId="3" fillId="0" fontId="15" numFmtId="4" xfId="0" applyAlignment="1" applyBorder="1" applyFont="1" applyNumberFormat="1">
      <alignment readingOrder="0" shrinkToFit="0" vertical="bottom" wrapText="0"/>
    </xf>
    <xf borderId="0" fillId="0" fontId="31" numFmtId="4" xfId="0" applyAlignment="1" applyFont="1" applyNumberFormat="1">
      <alignment readingOrder="0"/>
    </xf>
    <xf borderId="2" fillId="0" fontId="0" numFmtId="3" xfId="0" applyAlignment="1" applyBorder="1" applyFont="1" applyNumberFormat="1">
      <alignment horizontal="right" vertical="bottom"/>
    </xf>
    <xf borderId="0" fillId="0" fontId="0" numFmtId="3" xfId="0" applyAlignment="1" applyFont="1" applyNumberFormat="1">
      <alignment horizontal="right"/>
    </xf>
    <xf borderId="0" fillId="0" fontId="0" numFmtId="175" xfId="0" applyAlignment="1" applyFont="1" applyNumberFormat="1">
      <alignment horizontal="right"/>
    </xf>
    <xf borderId="0" fillId="0" fontId="0" numFmtId="4" xfId="0" applyAlignment="1" applyFont="1" applyNumberFormat="1">
      <alignment horizontal="right" readingOrder="0" shrinkToFit="0" vertical="center" wrapText="0"/>
    </xf>
    <xf borderId="0" fillId="0" fontId="0" numFmtId="9" xfId="0" applyAlignment="1" applyFont="1" applyNumberFormat="1">
      <alignment horizontal="right" shrinkToFit="0" vertical="center" wrapText="0"/>
    </xf>
    <xf borderId="0" fillId="3" fontId="18" numFmtId="0" xfId="0" applyAlignment="1" applyFont="1">
      <alignment horizontal="left" readingOrder="0" shrinkToFit="0" wrapText="0"/>
    </xf>
    <xf borderId="0" fillId="3" fontId="14" numFmtId="0" xfId="0" applyAlignment="1" applyFont="1">
      <alignment horizontal="center" shrinkToFit="0" vertical="bottom" wrapText="1"/>
    </xf>
    <xf borderId="0" fillId="3" fontId="14" numFmtId="0" xfId="0" applyAlignment="1" applyFont="1">
      <alignment horizontal="center" vertical="bottom"/>
    </xf>
    <xf borderId="0" fillId="3" fontId="14" numFmtId="0" xfId="0" applyAlignment="1" applyFont="1">
      <alignment horizontal="center" readingOrder="0" vertical="bottom"/>
    </xf>
    <xf borderId="0" fillId="3" fontId="14" numFmtId="0" xfId="0" applyAlignment="1" applyFont="1">
      <alignment horizontal="center" vertical="bottom"/>
    </xf>
    <xf borderId="0" fillId="0" fontId="0" numFmtId="0" xfId="0" applyAlignment="1" applyFont="1">
      <alignment readingOrder="0"/>
    </xf>
    <xf borderId="0" fillId="0" fontId="39" numFmtId="9" xfId="0" applyFont="1" applyNumberFormat="1"/>
    <xf borderId="0" fillId="0" fontId="0" numFmtId="167" xfId="0" applyAlignment="1" applyFont="1" applyNumberFormat="1">
      <alignment horizontal="right" vertical="bottom"/>
    </xf>
    <xf borderId="0" fillId="0" fontId="0" numFmtId="171" xfId="0" applyAlignment="1" applyFont="1" applyNumberFormat="1">
      <alignment readingOrder="0"/>
    </xf>
    <xf borderId="0" fillId="0" fontId="0" numFmtId="171" xfId="0" applyAlignment="1" applyFont="1" applyNumberFormat="1">
      <alignment horizontal="right" vertical="bottom"/>
    </xf>
    <xf borderId="0" fillId="0" fontId="0" numFmtId="171" xfId="0" applyAlignment="1" applyFont="1" applyNumberFormat="1">
      <alignment horizontal="right"/>
    </xf>
    <xf borderId="0" fillId="0" fontId="0" numFmtId="164" xfId="0" applyFont="1" applyNumberFormat="1"/>
    <xf borderId="0" fillId="0" fontId="0" numFmtId="173" xfId="0" applyAlignment="1" applyFont="1" applyNumberFormat="1">
      <alignment readingOrder="0"/>
    </xf>
    <xf borderId="0" fillId="0" fontId="0" numFmtId="173" xfId="0" applyAlignment="1" applyFont="1" applyNumberFormat="1">
      <alignment horizontal="right" vertical="bottom"/>
    </xf>
    <xf borderId="0" fillId="0" fontId="0" numFmtId="173" xfId="0" applyAlignment="1" applyFont="1" applyNumberFormat="1">
      <alignment horizontal="right"/>
    </xf>
    <xf borderId="0" fillId="0" fontId="0" numFmtId="170" xfId="0" applyAlignment="1" applyFont="1" applyNumberFormat="1">
      <alignment readingOrder="0"/>
    </xf>
    <xf borderId="0" fillId="0" fontId="0" numFmtId="170" xfId="0" applyFont="1" applyNumberFormat="1"/>
    <xf borderId="0" fillId="0" fontId="16" numFmtId="0" xfId="0" applyAlignment="1" applyFont="1">
      <alignment horizontal="left" shrinkToFit="0" wrapText="0"/>
    </xf>
    <xf borderId="0" fillId="5" fontId="18" numFmtId="0" xfId="0" applyAlignment="1" applyFont="1">
      <alignment readingOrder="0"/>
    </xf>
    <xf borderId="0" fillId="5" fontId="16" numFmtId="0" xfId="0" applyFont="1"/>
    <xf borderId="0" fillId="0" fontId="18" numFmtId="0" xfId="0" applyAlignment="1" applyFont="1">
      <alignment readingOrder="0"/>
    </xf>
    <xf borderId="0" fillId="0" fontId="16" numFmtId="178" xfId="0" applyFont="1" applyNumberFormat="1"/>
    <xf borderId="0" fillId="0" fontId="16" numFmtId="0" xfId="0" applyAlignment="1" applyFont="1">
      <alignment readingOrder="0"/>
    </xf>
    <xf borderId="0" fillId="5" fontId="18" numFmtId="0" xfId="0" applyAlignment="1" applyFont="1">
      <alignment horizontal="left" readingOrder="0" shrinkToFit="0" wrapText="0"/>
    </xf>
    <xf borderId="0" fillId="0" fontId="16" numFmtId="171" xfId="0" applyAlignment="1" applyFont="1" applyNumberFormat="1">
      <alignment horizontal="left" readingOrder="0" shrinkToFit="0" wrapText="0"/>
    </xf>
    <xf borderId="0" fillId="0" fontId="29" numFmtId="171" xfId="0" applyAlignment="1" applyFont="1" applyNumberFormat="1">
      <alignment horizontal="right" vertical="bottom"/>
    </xf>
    <xf borderId="0" fillId="0" fontId="29" numFmtId="171" xfId="0" applyAlignment="1" applyFont="1" applyNumberFormat="1">
      <alignment horizontal="right"/>
    </xf>
    <xf borderId="0" fillId="0" fontId="16" numFmtId="164" xfId="0" applyAlignment="1" applyFont="1" applyNumberFormat="1">
      <alignment horizontal="left" readingOrder="0" shrinkToFit="0" wrapText="0"/>
    </xf>
    <xf borderId="0" fillId="0" fontId="29" numFmtId="4" xfId="0" applyAlignment="1" applyFont="1" applyNumberFormat="1">
      <alignment horizontal="right"/>
    </xf>
    <xf borderId="1" fillId="0" fontId="29" numFmtId="3" xfId="0" applyAlignment="1" applyBorder="1" applyFont="1" applyNumberFormat="1">
      <alignment horizontal="right" vertical="bottom"/>
    </xf>
    <xf borderId="0" fillId="0" fontId="29" numFmtId="3" xfId="0" applyAlignment="1" applyFont="1" applyNumberFormat="1">
      <alignment horizontal="right"/>
    </xf>
    <xf borderId="1" fillId="0" fontId="29" numFmtId="3" xfId="0" applyAlignment="1" applyBorder="1" applyFont="1" applyNumberFormat="1">
      <alignment horizontal="right"/>
    </xf>
    <xf borderId="2" fillId="0" fontId="16" numFmtId="0" xfId="0" applyAlignment="1" applyBorder="1" applyFont="1">
      <alignment readingOrder="0"/>
    </xf>
    <xf borderId="2" fillId="0" fontId="16" numFmtId="3" xfId="0" applyBorder="1" applyFont="1" applyNumberFormat="1"/>
    <xf borderId="0" fillId="0" fontId="18" numFmtId="165" xfId="0" applyFont="1" applyNumberFormat="1"/>
    <xf borderId="0" fillId="0" fontId="16" numFmtId="1" xfId="0" applyAlignment="1" applyFont="1" applyNumberFormat="1">
      <alignment horizontal="right" vertical="bottom"/>
    </xf>
    <xf borderId="0" fillId="0" fontId="16" numFmtId="1" xfId="0" applyFont="1" applyNumberFormat="1"/>
    <xf borderId="0" fillId="0" fontId="16" numFmtId="0" xfId="0" applyFont="1"/>
    <xf borderId="0" fillId="0" fontId="16" numFmtId="3" xfId="0" applyFont="1" applyNumberFormat="1"/>
    <xf borderId="0" fillId="0" fontId="18" numFmtId="3" xfId="0" applyFont="1" applyNumberFormat="1"/>
    <xf borderId="0" fillId="0" fontId="22" numFmtId="4" xfId="0" applyAlignment="1" applyFont="1" applyNumberFormat="1">
      <alignment readingOrder="0" vertical="bottom"/>
    </xf>
    <xf borderId="0" fillId="0" fontId="0" numFmtId="170" xfId="0" applyAlignment="1" applyFont="1" applyNumberFormat="1">
      <alignment horizontal="right" vertical="bottom"/>
    </xf>
    <xf borderId="1" fillId="0" fontId="0" numFmtId="170" xfId="0" applyAlignment="1" applyBorder="1" applyFont="1" applyNumberFormat="1">
      <alignment horizontal="right" vertical="bottom"/>
    </xf>
    <xf borderId="2" fillId="0" fontId="17" numFmtId="4" xfId="0" applyAlignment="1" applyBorder="1" applyFont="1" applyNumberFormat="1">
      <alignment readingOrder="0" vertical="bottom"/>
    </xf>
    <xf borderId="0" fillId="0" fontId="16" numFmtId="170" xfId="0" applyAlignment="1" applyFont="1" applyNumberFormat="1">
      <alignment horizontal="right" vertical="bottom"/>
    </xf>
    <xf borderId="2" fillId="0" fontId="16" numFmtId="170" xfId="0" applyBorder="1" applyFont="1" applyNumberFormat="1"/>
    <xf borderId="0" fillId="0" fontId="16" numFmtId="170" xfId="0" applyAlignment="1" applyFont="1" applyNumberFormat="1">
      <alignment horizontal="right" vertical="bottom"/>
    </xf>
    <xf borderId="0" fillId="0" fontId="40" numFmtId="0" xfId="0" applyAlignment="1" applyFont="1">
      <alignment readingOrder="0"/>
    </xf>
    <xf borderId="0" fillId="0" fontId="40" numFmtId="10" xfId="0" applyAlignment="1" applyFont="1" applyNumberFormat="1">
      <alignment readingOrder="0"/>
    </xf>
    <xf borderId="0" fillId="0" fontId="29" numFmtId="169" xfId="0" applyAlignment="1" applyFont="1" applyNumberFormat="1">
      <alignment horizontal="right" vertical="bottom"/>
    </xf>
    <xf borderId="0" fillId="0" fontId="29" numFmtId="169" xfId="0" applyFont="1" applyNumberFormat="1"/>
    <xf borderId="0" fillId="0" fontId="16" numFmtId="169" xfId="0" applyFont="1" applyNumberFormat="1"/>
    <xf borderId="1" fillId="0" fontId="17" numFmtId="4" xfId="0" applyAlignment="1" applyBorder="1" applyFont="1" applyNumberFormat="1">
      <alignment readingOrder="0" vertical="bottom"/>
    </xf>
    <xf borderId="1" fillId="0" fontId="16" numFmtId="169" xfId="0" applyAlignment="1" applyBorder="1" applyFont="1" applyNumberFormat="1">
      <alignment horizontal="right" vertical="bottom"/>
    </xf>
    <xf borderId="2" fillId="0" fontId="16" numFmtId="173" xfId="0" applyAlignment="1" applyBorder="1" applyFont="1" applyNumberFormat="1">
      <alignment readingOrder="0" vertical="bottom"/>
    </xf>
    <xf borderId="2" fillId="0" fontId="16" numFmtId="169" xfId="0" applyBorder="1" applyFont="1" applyNumberFormat="1"/>
    <xf borderId="0" fillId="0" fontId="16" numFmtId="9" xfId="0" applyAlignment="1" applyFont="1" applyNumberFormat="1">
      <alignment readingOrder="0" vertical="bottom"/>
    </xf>
    <xf borderId="0" fillId="0" fontId="15" numFmtId="4" xfId="0" applyAlignment="1" applyFont="1" applyNumberFormat="1">
      <alignment shrinkToFit="0" vertical="bottom" wrapText="0"/>
    </xf>
    <xf borderId="1" fillId="0" fontId="16" numFmtId="3" xfId="0" applyAlignment="1" applyBorder="1" applyFont="1" applyNumberFormat="1">
      <alignment horizontal="right" vertical="bottom"/>
    </xf>
    <xf borderId="0" fillId="0" fontId="34" numFmtId="9" xfId="0" applyAlignment="1" applyFont="1" applyNumberFormat="1">
      <alignment horizontal="right" vertical="bottom"/>
    </xf>
    <xf borderId="0" fillId="0" fontId="33" numFmtId="1" xfId="0" applyFont="1" applyNumberFormat="1"/>
    <xf borderId="0" fillId="0" fontId="33" numFmtId="174" xfId="0" applyFont="1" applyNumberFormat="1"/>
    <xf borderId="0" fillId="0" fontId="34" numFmtId="170" xfId="0" applyAlignment="1" applyFont="1" applyNumberFormat="1">
      <alignment horizontal="right" vertical="bottom"/>
    </xf>
    <xf borderId="0" fillId="0" fontId="18" numFmtId="164" xfId="0" applyAlignment="1" applyFont="1" applyNumberFormat="1">
      <alignment horizontal="right"/>
    </xf>
    <xf borderId="0" fillId="3" fontId="18" numFmtId="0" xfId="0" applyAlignment="1" applyFont="1">
      <alignment horizontal="left" readingOrder="0" shrinkToFit="0" wrapText="1"/>
    </xf>
    <xf borderId="0" fillId="3" fontId="14" numFmtId="0" xfId="0" applyAlignment="1" applyFont="1">
      <alignment horizontal="center" readingOrder="0" shrinkToFit="0" wrapText="1"/>
    </xf>
    <xf borderId="0" fillId="3" fontId="18" numFmtId="0" xfId="0" applyAlignment="1" applyFont="1">
      <alignment horizontal="center" shrinkToFit="0" wrapText="1"/>
    </xf>
    <xf borderId="0" fillId="3" fontId="14" numFmtId="0" xfId="0" applyAlignment="1" applyFont="1">
      <alignment horizontal="center" shrinkToFit="0" wrapText="1"/>
    </xf>
    <xf borderId="0" fillId="0" fontId="23" numFmtId="0" xfId="0" applyAlignment="1" applyFont="1">
      <alignment readingOrder="0"/>
    </xf>
    <xf borderId="0" fillId="0" fontId="5" numFmtId="169" xfId="0" applyAlignment="1" applyFont="1" applyNumberFormat="1">
      <alignment readingOrder="0"/>
    </xf>
    <xf borderId="0" fillId="0" fontId="7" numFmtId="4" xfId="0" applyAlignment="1" applyFont="1" applyNumberFormat="1">
      <alignment readingOrder="0" shrinkToFit="0" wrapText="0"/>
    </xf>
    <xf borderId="0" fillId="0" fontId="0" numFmtId="171" xfId="0" applyAlignment="1" applyFont="1" applyNumberFormat="1">
      <alignment horizontal="left" readingOrder="0" shrinkToFit="0" vertical="center" wrapText="0"/>
    </xf>
    <xf borderId="0" fillId="0" fontId="0" numFmtId="171" xfId="0" applyAlignment="1" applyFont="1" applyNumberFormat="1">
      <alignment horizontal="right" shrinkToFit="0" vertical="center" wrapText="0"/>
    </xf>
    <xf borderId="0" fillId="0" fontId="29" numFmtId="4" xfId="0" applyAlignment="1" applyFont="1" applyNumberFormat="1">
      <alignment horizontal="right" shrinkToFit="0" vertical="center" wrapText="0"/>
    </xf>
    <xf borderId="0" fillId="0" fontId="0" numFmtId="173" xfId="0" applyAlignment="1" applyFont="1" applyNumberFormat="1">
      <alignment horizontal="right" shrinkToFit="0" vertical="center" wrapText="0"/>
    </xf>
    <xf borderId="0" fillId="0" fontId="5" numFmtId="170" xfId="0" applyAlignment="1" applyFont="1" applyNumberFormat="1">
      <alignment horizontal="right" readingOrder="0" shrinkToFit="0" vertical="center" wrapText="0"/>
    </xf>
    <xf borderId="0" fillId="0" fontId="5" numFmtId="170" xfId="0" applyAlignment="1" applyFont="1" applyNumberFormat="1">
      <alignment horizontal="right"/>
    </xf>
    <xf borderId="0" fillId="0" fontId="5" numFmtId="170" xfId="0" applyAlignment="1" applyFont="1" applyNumberFormat="1">
      <alignment horizontal="right" readingOrder="0" shrinkToFit="0" vertical="center" wrapText="0"/>
    </xf>
    <xf borderId="0" fillId="0" fontId="0" numFmtId="3" xfId="0" applyAlignment="1" applyFont="1" applyNumberFormat="1">
      <alignment horizontal="right" shrinkToFit="0" vertical="center" wrapText="0"/>
    </xf>
    <xf borderId="0" fillId="0" fontId="14" numFmtId="170" xfId="0" applyAlignment="1" applyFont="1" applyNumberFormat="1">
      <alignment horizontal="left" readingOrder="0" shrinkToFit="0" vertical="center" wrapText="0"/>
    </xf>
    <xf borderId="0" fillId="5" fontId="14" numFmtId="170" xfId="0" applyAlignment="1" applyFont="1" applyNumberFormat="1">
      <alignment horizontal="left" readingOrder="0" shrinkToFit="0" vertical="center" wrapText="0"/>
    </xf>
    <xf borderId="0" fillId="0" fontId="16" numFmtId="171" xfId="0" applyAlignment="1" applyFont="1" applyNumberFormat="1">
      <alignment readingOrder="0"/>
    </xf>
    <xf borderId="0" fillId="0" fontId="29" numFmtId="171" xfId="0" applyAlignment="1" applyFont="1" applyNumberFormat="1">
      <alignment readingOrder="0"/>
    </xf>
    <xf borderId="0" fillId="0" fontId="16" numFmtId="169" xfId="0" applyAlignment="1" applyFont="1" applyNumberFormat="1">
      <alignment horizontal="right"/>
    </xf>
    <xf borderId="0" fillId="0" fontId="16" numFmtId="175" xfId="0" applyAlignment="1" applyFont="1" applyNumberFormat="1">
      <alignment horizontal="right"/>
    </xf>
    <xf borderId="0" fillId="0" fontId="18" numFmtId="164" xfId="0" applyFont="1" applyNumberFormat="1"/>
    <xf borderId="0" fillId="0" fontId="16" numFmtId="4" xfId="0" applyAlignment="1" applyFont="1" applyNumberFormat="1">
      <alignment horizontal="right"/>
    </xf>
    <xf borderId="0" fillId="0" fontId="16" numFmtId="179" xfId="0" applyAlignment="1" applyFont="1" applyNumberFormat="1">
      <alignment horizontal="right"/>
    </xf>
    <xf borderId="0" fillId="0" fontId="28" numFmtId="170" xfId="0" applyFont="1" applyNumberFormat="1"/>
    <xf borderId="2" fillId="0" fontId="16" numFmtId="170" xfId="0" applyBorder="1" applyFont="1" applyNumberFormat="1"/>
    <xf borderId="1" fillId="0" fontId="16" numFmtId="169" xfId="0" applyBorder="1" applyFont="1" applyNumberFormat="1"/>
    <xf borderId="0" fillId="0" fontId="16" numFmtId="3" xfId="0" applyAlignment="1" applyFont="1" applyNumberFormat="1">
      <alignment horizontal="right"/>
    </xf>
    <xf borderId="0" fillId="3" fontId="18" numFmtId="0" xfId="0" applyAlignment="1" applyFont="1">
      <alignment horizontal="center" readingOrder="0"/>
    </xf>
    <xf borderId="0" fillId="3" fontId="18" numFmtId="0" xfId="0" applyAlignment="1" applyFont="1">
      <alignment horizontal="center" readingOrder="0" shrinkToFit="0" wrapText="1"/>
    </xf>
    <xf borderId="0" fillId="5" fontId="29" numFmtId="0" xfId="0" applyFont="1"/>
    <xf borderId="0" fillId="0" fontId="5" numFmtId="164" xfId="0" applyAlignment="1" applyFont="1" applyNumberFormat="1">
      <alignment horizontal="right" readingOrder="0" vertical="bottom"/>
    </xf>
    <xf borderId="0" fillId="0" fontId="0" numFmtId="170" xfId="0" applyAlignment="1" applyFont="1" applyNumberFormat="1">
      <alignment horizontal="right" readingOrder="0" vertical="bottom"/>
    </xf>
    <xf borderId="0" fillId="0" fontId="16" numFmtId="3" xfId="0" applyAlignment="1" applyFont="1" applyNumberFormat="1">
      <alignment readingOrder="0"/>
    </xf>
    <xf borderId="0" fillId="0" fontId="16" numFmtId="0" xfId="0" applyAlignment="1" applyFont="1">
      <alignment readingOrder="0"/>
    </xf>
    <xf borderId="0" fillId="0" fontId="5" numFmtId="4" xfId="0" applyAlignment="1" applyFont="1" applyNumberFormat="1">
      <alignment horizontal="right" readingOrder="0" vertical="bottom"/>
    </xf>
    <xf borderId="0" fillId="0" fontId="16" numFmtId="0" xfId="0" applyAlignment="1" applyFont="1">
      <alignment horizontal="left" readingOrder="0" shrinkToFit="0" vertical="bottom" wrapText="0"/>
    </xf>
    <xf borderId="0" fillId="0" fontId="0" numFmtId="9" xfId="0" applyAlignment="1" applyFont="1" applyNumberFormat="1">
      <alignment horizontal="right" shrinkToFit="0" wrapText="0"/>
    </xf>
    <xf borderId="4" fillId="0" fontId="0" numFmtId="9" xfId="0" applyAlignment="1" applyBorder="1" applyFont="1" applyNumberFormat="1">
      <alignment vertical="bottom"/>
    </xf>
    <xf borderId="0" fillId="0" fontId="0" numFmtId="9" xfId="0" applyAlignment="1" applyFont="1" applyNumberFormat="1">
      <alignment horizontal="right" vertical="bottom"/>
    </xf>
    <xf borderId="0" fillId="0" fontId="15" numFmtId="0" xfId="0" applyAlignment="1" applyFont="1">
      <alignment readingOrder="0" shrinkToFit="0" vertical="bottom" wrapText="1"/>
    </xf>
    <xf borderId="0" fillId="0" fontId="15" numFmtId="0" xfId="0" applyAlignment="1" applyFont="1">
      <alignment shrinkToFit="0" vertical="bottom" wrapText="1"/>
    </xf>
    <xf borderId="0" fillId="0" fontId="0" numFmtId="0" xfId="0" applyAlignment="1" applyFont="1">
      <alignment vertical="top"/>
    </xf>
    <xf borderId="0" fillId="0" fontId="5" numFmtId="3" xfId="0" applyAlignment="1" applyFont="1" applyNumberFormat="1">
      <alignment horizontal="right" vertical="top"/>
    </xf>
    <xf borderId="0" fillId="0" fontId="0" numFmtId="165" xfId="0" applyAlignment="1" applyFont="1" applyNumberFormat="1">
      <alignment vertical="bottom"/>
    </xf>
    <xf borderId="0" fillId="0" fontId="0" numFmtId="9" xfId="0" applyAlignment="1" applyFont="1" applyNumberFormat="1">
      <alignment vertical="top"/>
    </xf>
    <xf borderId="0" fillId="0" fontId="5" numFmtId="3" xfId="0" applyAlignment="1" applyFont="1" applyNumberFormat="1">
      <alignment horizontal="right" readingOrder="0" vertical="top"/>
    </xf>
    <xf borderId="0" fillId="0" fontId="7" numFmtId="3" xfId="0" applyAlignment="1" applyFont="1" applyNumberFormat="1">
      <alignment horizontal="right" vertical="bottom"/>
    </xf>
    <xf borderId="0" fillId="0" fontId="0" numFmtId="3" xfId="0" applyAlignment="1" applyFont="1" applyNumberFormat="1">
      <alignment readingOrder="0" vertical="bottom"/>
    </xf>
    <xf borderId="0" fillId="0" fontId="5" numFmtId="3" xfId="0" applyAlignment="1" applyFont="1" applyNumberFormat="1">
      <alignment readingOrder="0" shrinkToFit="0" wrapText="0"/>
    </xf>
    <xf borderId="0" fillId="0" fontId="18" numFmtId="0" xfId="0" applyAlignment="1" applyFont="1">
      <alignment vertical="bottom"/>
    </xf>
    <xf borderId="0" fillId="0" fontId="14" numFmtId="167" xfId="0" applyAlignment="1" applyFont="1" applyNumberFormat="1">
      <alignment horizontal="center" vertical="bottom"/>
    </xf>
    <xf borderId="0" fillId="0" fontId="33" numFmtId="0" xfId="0" applyFont="1"/>
    <xf borderId="3" fillId="5" fontId="18" numFmtId="0" xfId="0" applyAlignment="1" applyBorder="1" applyFont="1">
      <alignment readingOrder="0" shrinkToFit="0" vertical="bottom" wrapText="0"/>
    </xf>
    <xf borderId="0" fillId="0" fontId="7" numFmtId="165" xfId="0" applyAlignment="1" applyFont="1" applyNumberFormat="1">
      <alignment horizontal="right" vertical="bottom"/>
    </xf>
    <xf borderId="0" fillId="0" fontId="0" numFmtId="0" xfId="0" applyAlignment="1" applyFont="1">
      <alignment horizontal="right" readingOrder="0" vertical="bottom"/>
    </xf>
    <xf borderId="0" fillId="0" fontId="16" numFmtId="165" xfId="0" applyAlignment="1" applyFont="1" applyNumberFormat="1">
      <alignment readingOrder="0" vertical="bottom"/>
    </xf>
    <xf borderId="0" fillId="0" fontId="0" numFmtId="165" xfId="0" applyAlignment="1" applyFont="1" applyNumberFormat="1">
      <alignment horizontal="right" vertical="bottom"/>
    </xf>
    <xf borderId="0" fillId="0" fontId="5" numFmtId="9" xfId="0" applyAlignment="1" applyFont="1" applyNumberFormat="1">
      <alignment horizontal="right" vertical="bottom"/>
    </xf>
    <xf borderId="0" fillId="0" fontId="16" numFmtId="2" xfId="0" applyAlignment="1" applyFont="1" applyNumberFormat="1">
      <alignment readingOrder="0" vertical="bottom"/>
    </xf>
    <xf borderId="0" fillId="0" fontId="16" numFmtId="164" xfId="0" applyAlignment="1" applyFont="1" applyNumberFormat="1">
      <alignment horizontal="right" vertical="bottom"/>
    </xf>
    <xf borderId="0" fillId="0" fontId="18" numFmtId="3" xfId="0" applyAlignment="1" applyFont="1" applyNumberFormat="1">
      <alignment readingOrder="0" vertical="bottom"/>
    </xf>
    <xf borderId="0" fillId="0" fontId="7" numFmtId="9" xfId="0" applyAlignment="1" applyFont="1" applyNumberFormat="1">
      <alignment horizontal="right" vertical="bottom"/>
    </xf>
    <xf borderId="0" fillId="0" fontId="0" numFmtId="1" xfId="0" applyAlignment="1" applyFont="1" applyNumberFormat="1">
      <alignment readingOrder="0" vertical="bottom"/>
    </xf>
    <xf borderId="0" fillId="0" fontId="7" numFmtId="1" xfId="0" applyAlignment="1" applyFont="1" applyNumberFormat="1">
      <alignment horizontal="right" vertical="bottom"/>
    </xf>
    <xf borderId="0" fillId="0" fontId="0" numFmtId="1" xfId="0" applyAlignment="1" applyFont="1" applyNumberFormat="1">
      <alignment vertical="bottom"/>
    </xf>
    <xf borderId="0" fillId="0" fontId="18" numFmtId="1" xfId="0" applyAlignment="1" applyFont="1" applyNumberFormat="1">
      <alignment readingOrder="0" vertical="bottom"/>
    </xf>
    <xf borderId="0" fillId="0" fontId="33" numFmtId="173" xfId="0" applyFont="1" applyNumberFormat="1"/>
    <xf borderId="0" fillId="5" fontId="18" numFmtId="173" xfId="0" applyAlignment="1" applyFont="1" applyNumberFormat="1">
      <alignment readingOrder="0" vertical="bottom"/>
    </xf>
    <xf borderId="0" fillId="0" fontId="33" numFmtId="164" xfId="0" applyFont="1" applyNumberFormat="1"/>
    <xf borderId="0" fillId="5" fontId="16" numFmtId="0" xfId="0" applyAlignment="1" applyFont="1">
      <alignment readingOrder="0"/>
    </xf>
    <xf borderId="0" fillId="0" fontId="0" numFmtId="9" xfId="0" applyAlignment="1" applyFont="1" applyNumberFormat="1">
      <alignment vertical="bottom"/>
    </xf>
    <xf borderId="0" fillId="0" fontId="7" numFmtId="0" xfId="0" applyFont="1"/>
    <xf borderId="0" fillId="0" fontId="7" numFmtId="10" xfId="0" applyAlignment="1" applyFont="1" applyNumberFormat="1">
      <alignment horizontal="right" vertical="bottom"/>
    </xf>
    <xf borderId="0" fillId="0" fontId="16" numFmtId="173" xfId="0" applyAlignment="1" applyFont="1" applyNumberFormat="1">
      <alignment horizontal="right" vertical="bottom"/>
    </xf>
    <xf borderId="0" fillId="0" fontId="7" numFmtId="4" xfId="0" applyAlignment="1" applyFont="1" applyNumberFormat="1">
      <alignment horizontal="right" vertical="bottom"/>
    </xf>
    <xf borderId="0" fillId="0" fontId="16" numFmtId="173" xfId="0" applyFont="1" applyNumberFormat="1"/>
    <xf borderId="0" fillId="0" fontId="18" numFmtId="3" xfId="0" applyAlignment="1" applyFont="1" applyNumberFormat="1">
      <alignment vertical="bottom"/>
    </xf>
    <xf borderId="0" fillId="0" fontId="17" numFmtId="174" xfId="0" applyAlignment="1" applyFont="1" applyNumberFormat="1">
      <alignment readingOrder="0"/>
    </xf>
    <xf borderId="0" fillId="0" fontId="16" numFmtId="174" xfId="0" applyFont="1" applyNumberFormat="1"/>
    <xf borderId="0" fillId="0" fontId="16" numFmtId="164" xfId="0" applyFont="1" applyNumberFormat="1"/>
    <xf borderId="0" fillId="0" fontId="0" numFmtId="175" xfId="0" applyAlignment="1" applyFont="1" applyNumberFormat="1">
      <alignment horizontal="right" vertical="bottom"/>
    </xf>
    <xf borderId="0" fillId="0" fontId="5" numFmtId="9" xfId="0" applyAlignment="1" applyFont="1" applyNumberFormat="1">
      <alignment readingOrder="0" shrinkToFit="0" wrapText="0"/>
    </xf>
    <xf borderId="0" fillId="0" fontId="40" numFmtId="4" xfId="0" applyAlignment="1" applyFont="1" applyNumberFormat="1">
      <alignment readingOrder="0"/>
    </xf>
    <xf borderId="0" fillId="0" fontId="21" numFmtId="172" xfId="0" applyAlignment="1" applyFont="1" applyNumberFormat="1">
      <alignment readingOrder="0"/>
    </xf>
    <xf borderId="0" fillId="0" fontId="34" numFmtId="10" xfId="0" applyAlignment="1" applyFont="1" applyNumberFormat="1">
      <alignment horizontal="right" vertical="bottom"/>
    </xf>
    <xf borderId="0" fillId="0" fontId="16" numFmtId="165" xfId="0" applyFont="1" applyNumberFormat="1"/>
    <xf borderId="0" fillId="0" fontId="41" numFmtId="3" xfId="0" applyFont="1" applyNumberFormat="1"/>
    <xf borderId="0" fillId="0" fontId="33" numFmtId="169" xfId="0" applyFont="1" applyNumberFormat="1"/>
    <xf borderId="0" fillId="3" fontId="18" numFmtId="0" xfId="0" applyAlignment="1" applyFont="1">
      <alignment horizontal="left" readingOrder="0" shrinkToFit="0" vertical="bottom" wrapText="1"/>
    </xf>
    <xf borderId="0" fillId="0" fontId="16" numFmtId="0" xfId="0" applyAlignment="1" applyFont="1">
      <alignment readingOrder="0"/>
    </xf>
    <xf borderId="0" fillId="0" fontId="42" numFmtId="3" xfId="0" applyFont="1" applyNumberFormat="1"/>
    <xf borderId="0" fillId="0" fontId="16" numFmtId="170" xfId="0" applyFont="1" applyNumberFormat="1"/>
    <xf borderId="0" fillId="0" fontId="28" numFmtId="170" xfId="0" applyAlignment="1" applyFont="1" applyNumberFormat="1">
      <alignment horizontal="right" readingOrder="0"/>
    </xf>
    <xf borderId="0" fillId="0" fontId="5" numFmtId="0" xfId="0" applyAlignment="1" applyFont="1">
      <alignment readingOrder="0"/>
    </xf>
    <xf borderId="0" fillId="0" fontId="16" numFmtId="170" xfId="0" applyFont="1" applyNumberFormat="1"/>
    <xf borderId="0" fillId="0" fontId="16" numFmtId="4" xfId="0" applyAlignment="1" applyFont="1" applyNumberFormat="1">
      <alignment readingOrder="0"/>
    </xf>
    <xf borderId="0" fillId="0" fontId="16" numFmtId="4" xfId="0" applyFont="1" applyNumberFormat="1"/>
    <xf borderId="0" fillId="0" fontId="5" numFmtId="4" xfId="0" applyFont="1" applyNumberFormat="1"/>
    <xf borderId="0" fillId="0" fontId="5" numFmtId="165" xfId="0" applyAlignment="1" applyFont="1" applyNumberFormat="1">
      <alignment readingOrder="0"/>
    </xf>
    <xf borderId="0" fillId="0" fontId="5" numFmtId="9" xfId="0" applyAlignment="1" applyFont="1" applyNumberFormat="1">
      <alignment readingOrder="0"/>
    </xf>
    <xf borderId="0" fillId="0" fontId="17" numFmtId="9" xfId="0" applyAlignment="1" applyFont="1" applyNumberFormat="1">
      <alignment horizontal="right" readingOrder="0" vertical="bottom"/>
    </xf>
    <xf borderId="0" fillId="0" fontId="35" numFmtId="3" xfId="0" applyFont="1" applyNumberFormat="1"/>
    <xf borderId="0" fillId="0" fontId="35" numFmtId="4" xfId="0" applyAlignment="1" applyFont="1" applyNumberFormat="1">
      <alignment horizontal="right" vertical="bottom"/>
    </xf>
    <xf borderId="0" fillId="0" fontId="16" numFmtId="175" xfId="0" applyAlignment="1" applyFont="1" applyNumberFormat="1">
      <alignment readingOrder="0"/>
    </xf>
    <xf borderId="0" fillId="0" fontId="26" numFmtId="170" xfId="0" applyFont="1" applyNumberFormat="1"/>
    <xf borderId="0" fillId="0" fontId="29" numFmtId="167" xfId="0" applyAlignment="1" applyFont="1" applyNumberFormat="1">
      <alignment vertical="bottom"/>
    </xf>
    <xf borderId="0" fillId="0" fontId="17" numFmtId="170" xfId="0" applyAlignment="1" applyFont="1" applyNumberFormat="1">
      <alignment readingOrder="0" vertical="bottom"/>
    </xf>
    <xf borderId="0" fillId="0" fontId="26" numFmtId="170" xfId="0" applyFont="1" applyNumberFormat="1"/>
    <xf borderId="0" fillId="0" fontId="16" numFmtId="170" xfId="0" applyAlignment="1" applyFont="1" applyNumberFormat="1">
      <alignment vertical="bottom"/>
    </xf>
    <xf borderId="0" fillId="0" fontId="5" numFmtId="170" xfId="0" applyAlignment="1" applyFont="1" applyNumberFormat="1">
      <alignment horizontal="right" vertical="bottom"/>
    </xf>
    <xf borderId="1" fillId="0" fontId="16" numFmtId="170" xfId="0" applyAlignment="1" applyBorder="1" applyFont="1" applyNumberFormat="1">
      <alignment vertical="bottom"/>
    </xf>
    <xf borderId="1" fillId="0" fontId="5" numFmtId="170" xfId="0" applyAlignment="1" applyBorder="1" applyFont="1" applyNumberFormat="1">
      <alignment horizontal="right" vertical="bottom"/>
    </xf>
    <xf borderId="0" fillId="0" fontId="17" numFmtId="4" xfId="0" applyAlignment="1" applyFont="1" applyNumberFormat="1">
      <alignment readingOrder="0" vertical="bottom"/>
    </xf>
    <xf borderId="0" fillId="0" fontId="21" numFmtId="170" xfId="0" applyFont="1" applyNumberFormat="1"/>
    <xf borderId="0" fillId="0" fontId="21" numFmtId="169" xfId="0" applyFont="1" applyNumberFormat="1"/>
    <xf borderId="1" fillId="0" fontId="0" numFmtId="169" xfId="0" applyAlignment="1" applyBorder="1" applyFont="1" applyNumberFormat="1">
      <alignment horizontal="right" vertical="bottom"/>
    </xf>
    <xf borderId="0" fillId="0" fontId="29" numFmtId="4" xfId="0" applyAlignment="1" applyFont="1" applyNumberFormat="1">
      <alignment vertical="bottom"/>
    </xf>
    <xf borderId="0" fillId="0" fontId="23" numFmtId="4" xfId="0" applyAlignment="1" applyFont="1" applyNumberFormat="1">
      <alignment shrinkToFit="0" vertical="bottom" wrapText="0"/>
    </xf>
    <xf borderId="1" fillId="0" fontId="16" numFmtId="4" xfId="0" applyAlignment="1" applyBorder="1" applyFont="1" applyNumberFormat="1">
      <alignment vertical="bottom"/>
    </xf>
    <xf borderId="1" fillId="0" fontId="0" numFmtId="3" xfId="0" applyAlignment="1" applyBorder="1" applyFont="1" applyNumberFormat="1">
      <alignment horizontal="right" vertical="bottom"/>
    </xf>
    <xf borderId="0" fillId="0" fontId="43" numFmtId="9" xfId="0" applyFont="1" applyNumberFormat="1"/>
    <xf borderId="0" fillId="0" fontId="17" numFmtId="4" xfId="0" applyAlignment="1" applyFont="1" applyNumberFormat="1">
      <alignment vertical="bottom"/>
    </xf>
    <xf borderId="0" fillId="0" fontId="33" numFmtId="3" xfId="0" applyFont="1" applyNumberFormat="1"/>
    <xf borderId="0" fillId="0" fontId="43" numFmtId="169" xfId="0" applyFont="1" applyNumberFormat="1"/>
    <xf borderId="0" fillId="0" fontId="44" numFmtId="3" xfId="0" applyFont="1" applyNumberFormat="1"/>
    <xf borderId="0" fillId="0" fontId="29" numFmtId="0" xfId="0" applyFont="1"/>
    <xf borderId="0" fillId="0" fontId="28" numFmtId="2" xfId="0" applyFont="1" applyNumberFormat="1"/>
    <xf borderId="0" fillId="0" fontId="16" numFmtId="2" xfId="0" applyAlignment="1" applyFont="1" applyNumberFormat="1">
      <alignment vertical="bottom"/>
    </xf>
    <xf borderId="0" fillId="0" fontId="5" numFmtId="170" xfId="0" applyAlignment="1" applyFont="1" applyNumberFormat="1">
      <alignment readingOrder="0"/>
    </xf>
    <xf borderId="0" fillId="0" fontId="26" numFmtId="170" xfId="0" applyAlignment="1" applyFont="1" applyNumberFormat="1">
      <alignment horizontal="right" vertical="bottom"/>
    </xf>
    <xf borderId="0" fillId="0" fontId="26" numFmtId="170" xfId="0" applyAlignment="1" applyFont="1" applyNumberFormat="1">
      <alignment horizontal="right" readingOrder="0" vertical="bottom"/>
    </xf>
    <xf borderId="0" fillId="0" fontId="0" numFmtId="9" xfId="0" applyAlignment="1" applyFont="1" applyNumberFormat="1">
      <alignment readingOrder="0"/>
    </xf>
    <xf borderId="0" fillId="0" fontId="0" numFmtId="3" xfId="0" applyAlignment="1" applyFont="1" applyNumberFormat="1">
      <alignment readingOrder="0"/>
    </xf>
    <xf borderId="0" fillId="0" fontId="0" numFmtId="3" xfId="0" applyFont="1" applyNumberFormat="1"/>
    <xf borderId="0" fillId="0" fontId="0" numFmtId="169" xfId="0" applyFont="1" applyNumberFormat="1"/>
    <xf borderId="0" fillId="0" fontId="29" numFmtId="170" xfId="0" applyFont="1" applyNumberFormat="1"/>
    <xf borderId="0" fillId="0" fontId="29" numFmtId="4" xfId="0" applyFont="1" applyNumberFormat="1"/>
    <xf borderId="0" fillId="0" fontId="22" numFmtId="0" xfId="0" applyAlignment="1" applyFont="1">
      <alignment readingOrder="0" vertical="bottom"/>
    </xf>
    <xf borderId="0" fillId="0" fontId="23" numFmtId="4" xfId="0" applyAlignment="1" applyFont="1" applyNumberFormat="1">
      <alignment readingOrder="0"/>
    </xf>
    <xf borderId="0" fillId="0" fontId="26" numFmtId="2" xfId="0" applyAlignment="1" applyFont="1" applyNumberFormat="1">
      <alignment horizontal="right" readingOrder="0" vertical="bottom"/>
    </xf>
    <xf borderId="0" fillId="0" fontId="5" numFmtId="2" xfId="0" applyAlignment="1" applyFont="1" applyNumberFormat="1">
      <alignment horizontal="right" vertical="bottom"/>
    </xf>
    <xf borderId="0" fillId="0" fontId="21" numFmtId="2" xfId="0" applyAlignment="1" applyFont="1" applyNumberFormat="1">
      <alignment horizontal="right" readingOrder="0" vertical="bottom"/>
    </xf>
    <xf borderId="0" fillId="0" fontId="0" numFmtId="2" xfId="0" applyAlignment="1" applyFont="1" applyNumberFormat="1">
      <alignment horizontal="right" vertical="bottom"/>
    </xf>
    <xf borderId="0" fillId="0" fontId="26" numFmtId="4" xfId="0" applyAlignment="1" applyFont="1" applyNumberFormat="1">
      <alignment horizontal="right" readingOrder="0" vertical="bottom"/>
    </xf>
    <xf borderId="0" fillId="0" fontId="26" numFmtId="4" xfId="0" applyAlignment="1" applyFont="1" applyNumberFormat="1">
      <alignment horizontal="right" vertical="bottom"/>
    </xf>
    <xf borderId="0" fillId="0" fontId="26" numFmtId="180" xfId="0" applyAlignment="1" applyFont="1" applyNumberFormat="1">
      <alignment horizontal="right" readingOrder="0" vertical="bottom"/>
    </xf>
    <xf borderId="0" fillId="0" fontId="16" numFmtId="180" xfId="0" applyAlignment="1" applyFont="1" applyNumberFormat="1">
      <alignment vertical="bottom"/>
    </xf>
    <xf borderId="0" fillId="0" fontId="16" numFmtId="49" xfId="0" applyAlignment="1" applyFont="1" applyNumberFormat="1">
      <alignment readingOrder="0" vertical="bottom"/>
    </xf>
    <xf borderId="0" fillId="0" fontId="26" numFmtId="164" xfId="0" applyAlignment="1" applyFont="1" applyNumberFormat="1">
      <alignment horizontal="right" readingOrder="0" vertical="bottom"/>
    </xf>
    <xf borderId="0" fillId="0" fontId="21" numFmtId="4" xfId="0" applyAlignment="1" applyFont="1" applyNumberFormat="1">
      <alignment horizontal="right" readingOrder="0" vertical="bottom"/>
    </xf>
    <xf borderId="0" fillId="0" fontId="35" numFmtId="9" xfId="0" applyAlignment="1" applyFont="1" applyNumberFormat="1">
      <alignment readingOrder="0"/>
    </xf>
    <xf borderId="0" fillId="0" fontId="35" numFmtId="9" xfId="0" applyAlignment="1" applyFont="1" applyNumberFormat="1">
      <alignment horizontal="right" vertical="bottom"/>
    </xf>
    <xf borderId="0" fillId="0" fontId="21" numFmtId="9" xfId="0" applyAlignment="1" applyFont="1" applyNumberFormat="1">
      <alignment horizontal="right" readingOrder="0" vertical="bottom"/>
    </xf>
    <xf borderId="0" fillId="0" fontId="35" numFmtId="4" xfId="0" applyAlignment="1" applyFont="1" applyNumberFormat="1">
      <alignment readingOrder="0"/>
    </xf>
    <xf borderId="0" fillId="0" fontId="33" numFmtId="2" xfId="0" applyFont="1" applyNumberFormat="1"/>
    <xf borderId="0" fillId="0" fontId="21" numFmtId="10" xfId="0" applyAlignment="1" applyFont="1" applyNumberFormat="1">
      <alignment readingOrder="0" vertical="bottom"/>
    </xf>
    <xf borderId="0" fillId="0" fontId="21" numFmtId="4" xfId="0" applyAlignment="1" applyFont="1" applyNumberFormat="1">
      <alignment horizontal="right" vertical="bottom"/>
    </xf>
    <xf borderId="0" fillId="0" fontId="0" numFmtId="4" xfId="0" applyAlignment="1" applyFont="1" applyNumberFormat="1">
      <alignment horizontal="right" vertical="bottom"/>
    </xf>
    <xf borderId="0" fillId="0" fontId="21" numFmtId="167" xfId="0" applyAlignment="1" applyFont="1" applyNumberFormat="1">
      <alignment horizontal="right" readingOrder="0" vertical="bottom"/>
    </xf>
    <xf borderId="0" fillId="0" fontId="33" numFmtId="4" xfId="0" applyFont="1" applyNumberFormat="1"/>
    <xf borderId="0" fillId="0" fontId="21" numFmtId="164" xfId="0" applyAlignment="1" applyFont="1" applyNumberFormat="1">
      <alignment horizontal="right" readingOrder="0" vertical="bottom"/>
    </xf>
    <xf borderId="0" fillId="0" fontId="29" numFmtId="4" xfId="0" applyAlignment="1" applyFont="1" applyNumberFormat="1">
      <alignment horizontal="right" readingOrder="0" shrinkToFit="0" wrapText="1"/>
    </xf>
    <xf borderId="0" fillId="0" fontId="27" numFmtId="167" xfId="0" applyAlignment="1" applyFont="1" applyNumberFormat="1">
      <alignment horizontal="right" vertical="bottom"/>
    </xf>
    <xf borderId="0" fillId="0" fontId="27" numFmtId="9" xfId="0" applyAlignment="1" applyFont="1" applyNumberFormat="1">
      <alignment horizontal="right" vertical="bottom"/>
    </xf>
    <xf borderId="0" fillId="0" fontId="0" numFmtId="1" xfId="0" applyFont="1" applyNumberFormat="1"/>
    <xf borderId="0" fillId="0" fontId="29" numFmtId="1" xfId="0" applyFont="1" applyNumberFormat="1"/>
    <xf borderId="0" fillId="0" fontId="5" numFmtId="167" xfId="0" applyAlignment="1" applyFont="1" applyNumberFormat="1">
      <alignment readingOrder="0"/>
    </xf>
    <xf borderId="0" fillId="0" fontId="33" numFmtId="10" xfId="0" applyAlignment="1" applyFont="1" applyNumberFormat="1">
      <alignment readingOrder="0"/>
    </xf>
    <xf borderId="0" fillId="0" fontId="5" numFmtId="10" xfId="0" applyAlignment="1" applyFont="1" applyNumberFormat="1">
      <alignment horizontal="right" vertical="bottom"/>
    </xf>
    <xf borderId="0" fillId="0" fontId="0" numFmtId="4" xfId="0" applyFont="1" applyNumberFormat="1"/>
    <xf borderId="0" fillId="0" fontId="0" numFmtId="167" xfId="0" applyFont="1" applyNumberFormat="1"/>
    <xf borderId="0" fillId="0" fontId="17" numFmtId="10" xfId="0" applyAlignment="1" applyFont="1" applyNumberFormat="1">
      <alignment horizontal="right" vertical="bottom"/>
    </xf>
    <xf borderId="0" fillId="0" fontId="0" numFmtId="10" xfId="0" applyFont="1" applyNumberFormat="1"/>
    <xf borderId="0" fillId="0" fontId="0" numFmtId="2" xfId="0" applyFont="1" applyNumberFormat="1"/>
    <xf borderId="0" fillId="0" fontId="0" numFmtId="9" xfId="0" applyFont="1" applyNumberFormat="1"/>
    <xf borderId="0" fillId="0" fontId="0" numFmtId="165" xfId="0" applyFont="1" applyNumberFormat="1"/>
    <xf borderId="0" fillId="0" fontId="17" numFmtId="167" xfId="0" applyAlignment="1" applyFont="1" applyNumberFormat="1">
      <alignment horizontal="right" vertical="bottom"/>
    </xf>
    <xf borderId="0" fillId="0" fontId="29" numFmtId="2" xfId="0" applyFont="1" applyNumberFormat="1"/>
    <xf borderId="0" fillId="0" fontId="39" numFmtId="4" xfId="0" applyFont="1" applyNumberFormat="1"/>
    <xf borderId="0" fillId="0" fontId="0" numFmtId="4" xfId="0" applyAlignment="1" applyFont="1" applyNumberFormat="1">
      <alignment horizontal="right" readingOrder="0" vertical="bottom"/>
    </xf>
    <xf borderId="0" fillId="0" fontId="29" numFmtId="9" xfId="0" applyFont="1" applyNumberFormat="1"/>
    <xf borderId="0" fillId="0" fontId="35" numFmtId="170" xfId="0" applyFont="1" applyNumberFormat="1"/>
    <xf borderId="0" fillId="0" fontId="5" numFmtId="181" xfId="0" applyAlignment="1" applyFont="1" applyNumberFormat="1">
      <alignment readingOrder="0"/>
    </xf>
    <xf borderId="0" fillId="0" fontId="35" numFmtId="164" xfId="0" applyFont="1" applyNumberFormat="1"/>
    <xf borderId="0" fillId="0" fontId="29" numFmtId="182" xfId="0" applyFont="1" applyNumberFormat="1"/>
    <xf borderId="0" fillId="0" fontId="16" numFmtId="182" xfId="0" applyAlignment="1" applyFont="1" applyNumberFormat="1">
      <alignment vertical="bottom"/>
    </xf>
    <xf borderId="0" fillId="0" fontId="0" numFmtId="169" xfId="0" applyAlignment="1" applyFont="1" applyNumberFormat="1">
      <alignment readingOrder="0"/>
    </xf>
    <xf borderId="0" fillId="0" fontId="0" numFmtId="175" xfId="0" applyAlignment="1" applyFont="1" applyNumberFormat="1">
      <alignment readingOrder="0"/>
    </xf>
    <xf borderId="0" fillId="0" fontId="14" numFmtId="164" xfId="0" applyAlignment="1" applyFont="1" applyNumberFormat="1">
      <alignment readingOrder="0"/>
    </xf>
    <xf borderId="0" fillId="0" fontId="26" numFmtId="9" xfId="0" applyAlignment="1" applyFont="1" applyNumberFormat="1">
      <alignment readingOrder="0"/>
    </xf>
    <xf borderId="2" fillId="0" fontId="21" numFmtId="9" xfId="0" applyBorder="1" applyFont="1" applyNumberFormat="1"/>
    <xf borderId="0" fillId="0" fontId="27" numFmtId="0" xfId="0" applyFont="1"/>
    <xf borderId="0" fillId="0" fontId="21" numFmtId="9" xfId="0" applyAlignment="1" applyFont="1" applyNumberFormat="1">
      <alignment readingOrder="0"/>
    </xf>
    <xf borderId="0" fillId="0" fontId="21" numFmtId="165" xfId="0" applyFont="1" applyNumberFormat="1"/>
    <xf borderId="0" fillId="0" fontId="21" numFmtId="1" xfId="0" applyFont="1" applyNumberFormat="1"/>
    <xf borderId="0" fillId="0" fontId="21" numFmtId="175" xfId="0" applyFont="1" applyNumberFormat="1"/>
    <xf borderId="0" fillId="0" fontId="45" numFmtId="165" xfId="0" applyFont="1" applyNumberFormat="1"/>
    <xf borderId="0" fillId="5" fontId="46" numFmtId="0" xfId="0" applyAlignment="1" applyFont="1">
      <alignment readingOrder="0"/>
    </xf>
    <xf borderId="0" fillId="0" fontId="35" numFmtId="3" xfId="0" applyAlignment="1" applyFont="1" applyNumberFormat="1">
      <alignment shrinkToFit="0" wrapText="0"/>
    </xf>
    <xf borderId="0" fillId="0" fontId="35" numFmtId="9" xfId="0" applyAlignment="1" applyFont="1" applyNumberFormat="1">
      <alignment shrinkToFit="0" wrapText="0"/>
    </xf>
    <xf borderId="0" fillId="0" fontId="33" numFmtId="9" xfId="0" applyAlignment="1" applyFont="1" applyNumberFormat="1">
      <alignment readingOrder="0"/>
    </xf>
    <xf borderId="0" fillId="0" fontId="47" numFmtId="3" xfId="0" applyAlignment="1" applyFont="1" applyNumberFormat="1">
      <alignment readingOrder="0"/>
    </xf>
    <xf borderId="0" fillId="0" fontId="27" numFmtId="167" xfId="0" applyAlignment="1" applyFont="1" applyNumberFormat="1">
      <alignment vertical="bottom"/>
    </xf>
    <xf borderId="0" fillId="0" fontId="16" numFmtId="170" xfId="0" applyAlignment="1" applyFont="1" applyNumberFormat="1">
      <alignment readingOrder="0" vertical="bottom"/>
    </xf>
    <xf borderId="2" fillId="0" fontId="17" numFmtId="4" xfId="0" applyAlignment="1" applyBorder="1" applyFont="1" applyNumberFormat="1">
      <alignment readingOrder="0" vertical="bottom"/>
    </xf>
    <xf borderId="2" fillId="0" fontId="21" numFmtId="169" xfId="0" applyBorder="1" applyFont="1" applyNumberFormat="1"/>
    <xf borderId="0" fillId="0" fontId="29" numFmtId="173" xfId="0" applyAlignment="1" applyFont="1" applyNumberFormat="1">
      <alignment vertical="bottom"/>
    </xf>
    <xf borderId="0" fillId="0" fontId="29" numFmtId="172" xfId="0" applyAlignment="1" applyFont="1" applyNumberFormat="1">
      <alignment horizontal="right" vertical="bottom"/>
    </xf>
    <xf borderId="0" fillId="0" fontId="16" numFmtId="4" xfId="0" applyAlignment="1" applyFont="1" applyNumberFormat="1">
      <alignment readingOrder="0" shrinkToFit="0" vertical="bottom" wrapText="1"/>
    </xf>
    <xf borderId="0" fillId="0" fontId="15" numFmtId="4" xfId="0" applyAlignment="1" applyFont="1" applyNumberFormat="1">
      <alignment readingOrder="0" shrinkToFit="0" vertical="bottom" wrapText="0"/>
    </xf>
    <xf borderId="0" fillId="0" fontId="27" numFmtId="9" xfId="0" applyFont="1" applyNumberFormat="1"/>
    <xf borderId="0" fillId="5" fontId="47" numFmtId="0" xfId="0" applyAlignment="1" applyFont="1">
      <alignment readingOrder="0"/>
    </xf>
    <xf borderId="0" fillId="0" fontId="48" numFmtId="3" xfId="0" applyFont="1" applyNumberFormat="1"/>
    <xf borderId="0" fillId="0" fontId="27" numFmtId="169" xfId="0" applyFont="1" applyNumberFormat="1"/>
    <xf borderId="0" fillId="0" fontId="47" numFmtId="9" xfId="0" applyAlignment="1" applyFont="1" applyNumberFormat="1">
      <alignment horizontal="right" vertical="bottom"/>
    </xf>
    <xf borderId="0" fillId="5" fontId="49" numFmtId="3" xfId="0" applyAlignment="1" applyFont="1" applyNumberFormat="1">
      <alignment horizontal="right" vertical="bottom"/>
    </xf>
    <xf borderId="0" fillId="0" fontId="50" numFmtId="0" xfId="0" applyAlignment="1" applyFont="1">
      <alignment readingOrder="0" vertical="bottom"/>
    </xf>
    <xf borderId="0" fillId="0" fontId="32" numFmtId="171" xfId="0" applyAlignment="1" applyFont="1" applyNumberFormat="1">
      <alignment readingOrder="0"/>
    </xf>
    <xf borderId="0" fillId="0" fontId="51" numFmtId="0" xfId="0" applyAlignment="1" applyFont="1">
      <alignment readingOrder="0" vertical="bottom"/>
    </xf>
    <xf borderId="0" fillId="0" fontId="41" numFmtId="1" xfId="0" applyAlignment="1" applyFont="1" applyNumberFormat="1">
      <alignment readingOrder="0"/>
    </xf>
    <xf borderId="0" fillId="0" fontId="33" numFmtId="171" xfId="0" applyAlignment="1" applyFont="1" applyNumberFormat="1">
      <alignment readingOrder="0"/>
    </xf>
    <xf borderId="0" fillId="0" fontId="41" numFmtId="2" xfId="0" applyAlignment="1" applyFont="1" applyNumberFormat="1">
      <alignment readingOrder="0"/>
    </xf>
    <xf borderId="0" fillId="0" fontId="52" numFmtId="0" xfId="0" applyAlignment="1" applyFont="1">
      <alignment readingOrder="0"/>
    </xf>
    <xf borderId="0" fillId="0" fontId="50" numFmtId="0" xfId="0" applyAlignment="1" applyFont="1">
      <alignment vertical="bottom"/>
    </xf>
    <xf borderId="0" fillId="0" fontId="25" numFmtId="169" xfId="0" applyAlignment="1" applyFont="1" applyNumberFormat="1">
      <alignment horizontal="right" readingOrder="0" vertical="bottom"/>
    </xf>
    <xf borderId="0" fillId="0" fontId="25" numFmtId="9" xfId="0" applyAlignment="1" applyFont="1" applyNumberFormat="1">
      <alignment horizontal="right" readingOrder="0" vertical="bottom"/>
    </xf>
    <xf borderId="0" fillId="0" fontId="25" numFmtId="9" xfId="0" applyAlignment="1" applyFont="1" applyNumberFormat="1">
      <alignment readingOrder="0"/>
    </xf>
    <xf borderId="0" fillId="0" fontId="53" numFmtId="173" xfId="0" applyAlignment="1" applyFont="1" applyNumberFormat="1">
      <alignment readingOrder="0"/>
    </xf>
    <xf borderId="0" fillId="0" fontId="54" numFmtId="173" xfId="0" applyAlignment="1" applyFont="1" applyNumberFormat="1">
      <alignment readingOrder="0"/>
    </xf>
    <xf borderId="0" fillId="0" fontId="25" numFmtId="169" xfId="0" applyAlignment="1" applyFont="1" applyNumberFormat="1">
      <alignment readingOrder="0"/>
    </xf>
    <xf borderId="0" fillId="0" fontId="33" numFmtId="177" xfId="0" applyFont="1" applyNumberFormat="1"/>
    <xf borderId="0" fillId="0" fontId="55" numFmtId="175" xfId="0" applyAlignment="1" applyFont="1" applyNumberFormat="1">
      <alignment readingOrder="0"/>
    </xf>
    <xf borderId="0" fillId="0" fontId="55" numFmtId="175" xfId="0" applyAlignment="1" applyFont="1" applyNumberFormat="1">
      <alignment readingOrder="0" vertical="bottom"/>
    </xf>
    <xf borderId="0" fillId="0" fontId="16" numFmtId="177" xfId="0" applyAlignment="1" applyFont="1" applyNumberFormat="1">
      <alignment horizontal="right" vertical="bottom"/>
    </xf>
    <xf borderId="0" fillId="0" fontId="56" numFmtId="0" xfId="0" applyAlignment="1" applyFont="1">
      <alignment vertical="bottom"/>
    </xf>
    <xf borderId="0" fillId="0" fontId="22" numFmtId="169" xfId="0" applyAlignment="1" applyFont="1" applyNumberFormat="1">
      <alignment shrinkToFit="0" vertical="bottom" wrapText="0"/>
    </xf>
    <xf borderId="0" fillId="0" fontId="33" numFmtId="177" xfId="0" applyAlignment="1" applyFont="1" applyNumberFormat="1">
      <alignment readingOrder="0"/>
    </xf>
    <xf borderId="0" fillId="0" fontId="16" numFmtId="0" xfId="0" applyAlignment="1" applyFont="1">
      <alignment readingOrder="0" shrinkToFit="0" vertical="bottom" wrapText="0"/>
    </xf>
    <xf borderId="0" fillId="7" fontId="16" numFmtId="3" xfId="0" applyAlignment="1" applyFill="1" applyFont="1" applyNumberFormat="1">
      <alignment vertical="bottom"/>
    </xf>
    <xf borderId="0" fillId="7" fontId="16" numFmtId="3" xfId="0" applyAlignment="1" applyFont="1" applyNumberFormat="1">
      <alignment readingOrder="0" shrinkToFit="0" vertical="bottom" wrapText="1"/>
    </xf>
    <xf borderId="0" fillId="7" fontId="16" numFmtId="3" xfId="0" applyAlignment="1" applyFont="1" applyNumberFormat="1">
      <alignment readingOrder="0" vertical="bottom"/>
    </xf>
    <xf borderId="0" fillId="7" fontId="16" numFmtId="175" xfId="0" applyAlignment="1" applyFont="1" applyNumberFormat="1">
      <alignment readingOrder="0" vertical="bottom"/>
    </xf>
    <xf borderId="0" fillId="0" fontId="57" numFmtId="0" xfId="0" applyAlignment="1" applyFont="1">
      <alignment horizontal="center" readingOrder="0" vertical="center"/>
    </xf>
    <xf borderId="0" fillId="0" fontId="30" numFmtId="0" xfId="0" applyAlignment="1" applyFont="1">
      <alignment readingOrder="0" shrinkToFit="0" wrapText="0"/>
    </xf>
    <xf borderId="5" fillId="3" fontId="18" numFmtId="0" xfId="0" applyAlignment="1" applyBorder="1" applyFont="1">
      <alignment shrinkToFit="0" vertical="bottom" wrapText="1"/>
    </xf>
    <xf borderId="6" fillId="3" fontId="18" numFmtId="0" xfId="0" applyAlignment="1" applyBorder="1" applyFont="1">
      <alignment shrinkToFit="0" vertical="bottom" wrapText="1"/>
    </xf>
    <xf borderId="4" fillId="0" fontId="16" numFmtId="0" xfId="0" applyAlignment="1" applyBorder="1" applyFont="1">
      <alignment horizontal="right" vertical="bottom"/>
    </xf>
    <xf borderId="7" fillId="0" fontId="16" numFmtId="9" xfId="0" applyAlignment="1" applyBorder="1" applyFont="1" applyNumberFormat="1">
      <alignment horizontal="right" vertical="bottom"/>
    </xf>
    <xf borderId="5" fillId="0" fontId="16" numFmtId="0" xfId="0" applyAlignment="1" applyBorder="1" applyFont="1">
      <alignment horizontal="right" vertical="bottom"/>
    </xf>
    <xf borderId="6" fillId="0" fontId="16" numFmtId="9" xfId="0" applyAlignment="1" applyBorder="1" applyFont="1" applyNumberFormat="1">
      <alignment horizontal="right" vertical="bottom"/>
    </xf>
    <xf borderId="0" fillId="0" fontId="17" numFmtId="0" xfId="0" applyAlignment="1" applyFont="1">
      <alignment readingOrder="0" shrinkToFit="0" wrapText="1"/>
    </xf>
    <xf borderId="0" fillId="8" fontId="17" numFmtId="0" xfId="0" applyAlignment="1" applyFill="1" applyFont="1">
      <alignment readingOrder="0" shrinkToFit="0" wrapText="0"/>
    </xf>
    <xf borderId="0" fillId="0" fontId="57" numFmtId="0" xfId="0" applyAlignment="1" applyFont="1">
      <alignment horizontal="right" readingOrder="0" vertical="center"/>
    </xf>
    <xf borderId="0" fillId="9" fontId="17" numFmtId="0" xfId="0" applyAlignment="1" applyFill="1" applyFont="1">
      <alignment readingOrder="0" shrinkToFit="0" wrapText="0"/>
    </xf>
    <xf borderId="0" fillId="10" fontId="17" numFmtId="0" xfId="0" applyAlignment="1" applyFill="1" applyFont="1">
      <alignment readingOrder="0" shrinkToFit="0" wrapText="0"/>
    </xf>
    <xf borderId="0" fillId="11" fontId="17" numFmtId="0" xfId="0" applyAlignment="1" applyFill="1" applyFont="1">
      <alignment readingOrder="0" shrinkToFit="0" wrapText="0"/>
    </xf>
    <xf borderId="0" fillId="0" fontId="17" numFmtId="0" xfId="0" applyAlignment="1" applyFont="1">
      <alignment readingOrder="0" shrinkToFit="0" wrapText="0"/>
    </xf>
    <xf borderId="0" fillId="0" fontId="30" numFmtId="0" xfId="0" applyAlignment="1" applyFont="1">
      <alignment readingOrder="0"/>
    </xf>
    <xf borderId="0" fillId="12" fontId="18" numFmtId="0" xfId="0" applyAlignment="1" applyFill="1" applyFont="1">
      <alignment shrinkToFit="0" vertical="bottom" wrapText="1"/>
    </xf>
    <xf borderId="0" fillId="12" fontId="18" numFmtId="0" xfId="0" applyAlignment="1" applyFont="1">
      <alignment readingOrder="0" shrinkToFit="0" vertical="bottom" wrapText="1"/>
    </xf>
    <xf borderId="0" fillId="0" fontId="16" numFmtId="0" xfId="0" applyAlignment="1" applyFont="1">
      <alignment horizontal="right" readingOrder="0" vertical="bottom"/>
    </xf>
    <xf borderId="0" fillId="0" fontId="17" numFmtId="9" xfId="0" applyAlignment="1" applyFont="1" applyNumberFormat="1">
      <alignment readingOrder="0"/>
    </xf>
    <xf borderId="0" fillId="13" fontId="17" numFmtId="0" xfId="0" applyAlignment="1" applyFill="1" applyFont="1">
      <alignment readingOrder="0"/>
    </xf>
    <xf borderId="0" fillId="6" fontId="58" numFmtId="0" xfId="0" applyAlignment="1" applyFont="1">
      <alignment readingOrder="0" vertical="bottom"/>
    </xf>
    <xf borderId="0" fillId="0" fontId="17" numFmtId="0" xfId="0" applyAlignment="1" applyFont="1">
      <alignment horizontal="right" readingOrder="0"/>
    </xf>
    <xf borderId="0" fillId="0" fontId="59" numFmtId="0" xfId="0" applyAlignment="1" applyFont="1">
      <alignment readingOrder="0" shrinkToFit="0" wrapText="0"/>
    </xf>
    <xf borderId="0" fillId="0" fontId="16" numFmtId="10" xfId="0" applyAlignment="1" applyFont="1" applyNumberFormat="1">
      <alignment horizontal="right" readingOrder="0" vertical="bottom"/>
    </xf>
    <xf borderId="0" fillId="8" fontId="16" numFmtId="9" xfId="0" applyAlignment="1" applyFont="1" applyNumberFormat="1">
      <alignment horizontal="right" vertical="bottom"/>
    </xf>
    <xf borderId="0" fillId="14" fontId="16" numFmtId="0" xfId="0" applyAlignment="1" applyFill="1" applyFont="1">
      <alignment horizontal="right" vertical="bottom"/>
    </xf>
    <xf borderId="0" fillId="10" fontId="16" numFmtId="0" xfId="0" applyAlignment="1" applyFont="1">
      <alignment horizontal="right" vertical="bottom"/>
    </xf>
    <xf borderId="0" fillId="0" fontId="16" numFmtId="0" xfId="0" applyAlignment="1" applyFont="1">
      <alignment readingOrder="0" shrinkToFit="0" vertical="bottom" wrapText="0"/>
    </xf>
    <xf borderId="0" fillId="9" fontId="16" numFmtId="0" xfId="0" applyAlignment="1" applyFont="1">
      <alignment horizontal="right" vertical="bottom"/>
    </xf>
    <xf borderId="0" fillId="0" fontId="16" numFmtId="0" xfId="0" applyAlignment="1" applyFont="1">
      <alignment shrinkToFit="0" vertical="bottom" wrapText="0"/>
    </xf>
    <xf borderId="3" fillId="15" fontId="16" numFmtId="0" xfId="0" applyAlignment="1" applyBorder="1" applyFill="1" applyFont="1">
      <alignment shrinkToFit="0" vertical="bottom" wrapText="0"/>
    </xf>
    <xf borderId="0" fillId="15" fontId="16" numFmtId="0" xfId="0" applyAlignment="1" applyFont="1">
      <alignment vertical="bottom"/>
    </xf>
    <xf borderId="0" fillId="15" fontId="16" numFmtId="10" xfId="0" applyAlignment="1" applyFont="1" applyNumberFormat="1">
      <alignment horizontal="right" vertical="bottom"/>
    </xf>
    <xf borderId="0" fillId="10" fontId="16" numFmtId="0" xfId="0" applyAlignment="1" applyFont="1">
      <alignment horizontal="right" vertical="bottom"/>
    </xf>
    <xf borderId="0" fillId="9" fontId="16" numFmtId="0" xfId="0" applyAlignment="1" applyFont="1">
      <alignment horizontal="right" vertical="bottom"/>
    </xf>
    <xf borderId="0" fillId="15" fontId="16" numFmtId="0" xfId="0" applyAlignment="1" applyFont="1">
      <alignment readingOrder="0" shrinkToFit="0" vertical="bottom" wrapText="0"/>
    </xf>
    <xf borderId="0" fillId="0" fontId="21" numFmtId="0" xfId="0" applyAlignment="1" applyFont="1">
      <alignment readingOrder="0"/>
    </xf>
    <xf borderId="0" fillId="8" fontId="16" numFmtId="9" xfId="0" applyAlignment="1" applyFont="1" applyNumberFormat="1">
      <alignment horizontal="right" readingOrder="0" vertical="bottom"/>
    </xf>
    <xf borderId="0" fillId="14" fontId="16" numFmtId="0" xfId="0" applyAlignment="1" applyFont="1">
      <alignment horizontal="right" readingOrder="0" vertical="bottom"/>
    </xf>
    <xf borderId="0" fillId="11" fontId="16" numFmtId="0" xfId="0" applyAlignment="1" applyFont="1">
      <alignment horizontal="right" vertical="bottom"/>
    </xf>
    <xf borderId="0" fillId="0" fontId="60" numFmtId="0" xfId="0" applyAlignment="1" applyFont="1">
      <alignment readingOrder="0" shrinkToFit="0" vertical="bottom" wrapText="0"/>
    </xf>
    <xf borderId="0" fillId="11" fontId="16" numFmtId="0" xfId="0" applyAlignment="1" applyFont="1">
      <alignment horizontal="right" readingOrder="0" vertical="bottom"/>
    </xf>
    <xf borderId="0" fillId="10" fontId="16" numFmtId="0" xfId="0" applyAlignment="1" applyFont="1">
      <alignment horizontal="right" readingOrder="0" vertical="bottom"/>
    </xf>
    <xf borderId="0" fillId="9" fontId="16" numFmtId="0" xfId="0" applyAlignment="1" applyFont="1">
      <alignment horizontal="right" readingOrder="0" vertical="bottom"/>
    </xf>
    <xf borderId="0" fillId="11" fontId="16" numFmtId="0" xfId="0" applyAlignment="1" applyFont="1">
      <alignment horizontal="right" vertical="bottom"/>
    </xf>
    <xf borderId="0" fillId="10" fontId="16" numFmtId="9" xfId="0" applyAlignment="1" applyFont="1" applyNumberFormat="1">
      <alignment horizontal="right" readingOrder="0" vertical="bottom"/>
    </xf>
    <xf borderId="0" fillId="12" fontId="16" numFmtId="0" xfId="0" applyAlignment="1" applyFont="1">
      <alignment readingOrder="0" vertical="bottom"/>
    </xf>
    <xf borderId="0" fillId="9" fontId="16" numFmtId="9" xfId="0" applyAlignment="1" applyFont="1" applyNumberFormat="1">
      <alignment horizontal="right" vertical="bottom"/>
    </xf>
    <xf borderId="0" fillId="9" fontId="16" numFmtId="9" xfId="0" applyAlignment="1" applyFont="1" applyNumberFormat="1">
      <alignment horizontal="right" readingOrder="0" vertical="bottom"/>
    </xf>
    <xf borderId="0" fillId="10" fontId="16" numFmtId="9" xfId="0" applyAlignment="1" applyFont="1" applyNumberFormat="1">
      <alignment horizontal="right" vertical="bottom"/>
    </xf>
    <xf borderId="0" fillId="9" fontId="58" numFmtId="0" xfId="0" applyAlignment="1" applyFont="1">
      <alignment horizontal="right" vertical="bottom"/>
    </xf>
    <xf borderId="3" fillId="0" fontId="16" numFmtId="0" xfId="0" applyAlignment="1" applyBorder="1" applyFont="1">
      <alignment shrinkToFit="0" vertical="bottom" wrapText="0"/>
    </xf>
    <xf borderId="0" fillId="0" fontId="17" numFmtId="0" xfId="0" applyAlignment="1" applyFont="1">
      <alignment shrinkToFit="0" wrapText="0"/>
    </xf>
    <xf borderId="0" fillId="0" fontId="16" numFmtId="0" xfId="0" applyAlignment="1" applyFont="1">
      <alignment shrinkToFit="0" vertical="bottom" wrapText="0"/>
    </xf>
    <xf borderId="0" fillId="0" fontId="61" numFmtId="0" xfId="0" applyAlignment="1" applyFont="1">
      <alignment vertical="bottom"/>
    </xf>
    <xf borderId="0" fillId="0" fontId="17" numFmtId="0" xfId="0" applyAlignment="1" applyFont="1">
      <alignment shrinkToFit="0" vertical="bottom" wrapText="0"/>
    </xf>
    <xf borderId="0" fillId="0" fontId="16" numFmtId="0" xfId="0" applyAlignment="1" applyFont="1">
      <alignment shrinkToFit="0" vertical="bottom" wrapText="0"/>
    </xf>
    <xf borderId="0" fillId="8" fontId="17" numFmtId="9" xfId="0" applyAlignment="1" applyFont="1" applyNumberFormat="1">
      <alignment horizontal="right" vertical="bottom"/>
    </xf>
    <xf borderId="0" fillId="10" fontId="17" numFmtId="0" xfId="0" applyAlignment="1" applyFont="1">
      <alignment horizontal="right" vertical="bottom"/>
    </xf>
    <xf borderId="3" fillId="15" fontId="16" numFmtId="0" xfId="0" applyAlignment="1" applyBorder="1" applyFont="1">
      <alignment readingOrder="0" shrinkToFit="0" vertical="bottom" wrapText="0"/>
    </xf>
    <xf borderId="0" fillId="15" fontId="16" numFmtId="9" xfId="0" applyAlignment="1" applyFont="1" applyNumberFormat="1">
      <alignment horizontal="right" vertical="bottom"/>
    </xf>
  </cellXfs>
  <cellStyles count="1">
    <cellStyle xfId="0" name="Normal" builtinId="0"/>
  </cellStyles>
  <dxfs count="5">
    <dxf>
      <font/>
      <fill>
        <patternFill patternType="solid">
          <fgColor rgb="FFDD7E6B"/>
          <bgColor rgb="FFDD7E6B"/>
        </patternFill>
      </fill>
      <border/>
    </dxf>
    <dxf>
      <font/>
      <fill>
        <patternFill patternType="solid">
          <fgColor rgb="FFF9CB9C"/>
          <bgColor rgb="FFF9CB9C"/>
        </patternFill>
      </fill>
      <border/>
    </dxf>
    <dxf>
      <font/>
      <fill>
        <patternFill patternType="solid">
          <fgColor rgb="FFB6D7A8"/>
          <bgColor rgb="FFB6D7A8"/>
        </patternFill>
      </fill>
      <border/>
    </dxf>
    <dxf>
      <font/>
      <fill>
        <patternFill patternType="solid">
          <fgColor rgb="FF6AA84F"/>
          <bgColor rgb="FF6AA84F"/>
        </patternFill>
      </fill>
      <border/>
    </dxf>
    <dxf>
      <font/>
      <fill>
        <patternFill patternType="solid">
          <fgColor rgb="FFCCCCCC"/>
          <bgColor rgb="FFCCCCCC"/>
        </patternFill>
      </fill>
      <border/>
    </dxf>
  </dxfs>
</styleSheet>
</file>

<file path=xl/_rels/workbook.xml.rels><?xml version="1.0" encoding="UTF-8" standalone="yes"?><Relationships xmlns="http://schemas.openxmlformats.org/package/2006/relationships"><Relationship Id="rId11" Type="http://schemas.openxmlformats.org/officeDocument/2006/relationships/worksheet" Target="worksheets/sheet9.xml"/><Relationship Id="rId10" Type="http://schemas.openxmlformats.org/officeDocument/2006/relationships/worksheet" Target="worksheets/sheet8.xml"/><Relationship Id="rId13" Type="http://schemas.openxmlformats.org/officeDocument/2006/relationships/worksheet" Target="worksheets/sheet11.xml"/><Relationship Id="rId12" Type="http://schemas.openxmlformats.org/officeDocument/2006/relationships/worksheet" Target="worksheets/sheet10.xml"/><Relationship Id="rId1" Type="http://schemas.openxmlformats.org/officeDocument/2006/relationships/styles" Target="styles.xml"/><Relationship Id="rId2" Type="http://schemas.openxmlformats.org/officeDocument/2006/relationships/sharedStrings" Target="sharedStrings.xml"/><Relationship Id="rId3" Type="http://schemas.openxmlformats.org/officeDocument/2006/relationships/worksheet" Target="worksheets/sheet1.xml"/><Relationship Id="rId4" Type="http://schemas.openxmlformats.org/officeDocument/2006/relationships/worksheet" Target="worksheets/sheet2.xml"/><Relationship Id="rId9" Type="http://schemas.openxmlformats.org/officeDocument/2006/relationships/worksheet" Target="worksheets/sheet7.xml"/><Relationship Id="rId14" Type="http://schemas.openxmlformats.org/officeDocument/2006/relationships/worksheet" Target="worksheets/sheet1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worksheets/_rels/sheet1.xml.rels><?xml version="1.0" encoding="UTF-8" standalone="yes"?><Relationships xmlns="http://schemas.openxmlformats.org/package/2006/relationships"><Relationship Id="rId1" Type="http://schemas.openxmlformats.org/officeDocument/2006/relationships/hyperlink" Target="https://www.givewell.org/maximum-impact-fund"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hyperlink" Target="http://www.givewell.org/files/DWDA%202009/Interventions/Global%20Burden%20of%20Disease%20and%20Risk%20Factors.pdf" TargetMode="External"/><Relationship Id="rId3" Type="http://schemas.openxmlformats.org/officeDocument/2006/relationships/hyperlink" Target="http://www.givewell.org/files/DWDA%202009/Interventions/Global%20Burden%20of%20Disease%20and%20Risk%20Factors.pdf" TargetMode="External"/><Relationship Id="rId4" Type="http://schemas.openxmlformats.org/officeDocument/2006/relationships/hyperlink" Target="http://www.givewell.org/files/DWDA%202009/Interventions/Global%20Burden%20of%20Disease%20and%20Risk%20Factors.pdf" TargetMode="External"/><Relationship Id="rId10" Type="http://schemas.openxmlformats.org/officeDocument/2006/relationships/vmlDrawing" Target="../drawings/vmlDrawing1.vml"/><Relationship Id="rId9" Type="http://schemas.openxmlformats.org/officeDocument/2006/relationships/drawing" Target="../drawings/drawing2.xml"/><Relationship Id="rId5" Type="http://schemas.openxmlformats.org/officeDocument/2006/relationships/hyperlink" Target="http://www.givewell.org/files/DWDA%202009/Interventions/Global%20Burden%20of%20Disease%20and%20Risk%20Factors.pdf" TargetMode="External"/><Relationship Id="rId6" Type="http://schemas.openxmlformats.org/officeDocument/2006/relationships/hyperlink" Target="http://www.givewell.org/files/DWDA%202009/Interventions/Global%20Burden%20of%20Disease%20and%20Risk%20Factors.pdf" TargetMode="External"/><Relationship Id="rId7" Type="http://schemas.openxmlformats.org/officeDocument/2006/relationships/hyperlink" Target="http://www.givewell.org/files/DWDA%202009/Interventions/Global%20Burden%20of%20Disease%20and%20Risk%20Factors.pdf" TargetMode="External"/><Relationship Id="rId8" Type="http://schemas.openxmlformats.org/officeDocument/2006/relationships/hyperlink" Target="http://www.givewell.org/files/DWDA%202009/Interventions/Global%20Burden%20of%20Disease%20and%20Risk%20Factors.pdf" TargetMode="External"/></Relationships>
</file>

<file path=xl/worksheets/_rels/sheet3.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3.xml"/><Relationship Id="rId3" Type="http://schemas.openxmlformats.org/officeDocument/2006/relationships/vmlDrawing" Target="../drawings/vmlDrawing2.vml"/></Relationships>
</file>

<file path=xl/worksheets/_rels/sheet4.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4.xml"/><Relationship Id="rId3" Type="http://schemas.openxmlformats.org/officeDocument/2006/relationships/vmlDrawing" Target="../drawings/vmlDrawing3.vml"/></Relationships>
</file>

<file path=xl/worksheets/_rels/sheet5.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drawing" Target="../drawings/drawing5.xml"/><Relationship Id="rId3" Type="http://schemas.openxmlformats.org/officeDocument/2006/relationships/vmlDrawing" Target="../drawings/vmlDrawing4.vml"/></Relationships>
</file>

<file path=xl/worksheets/_rels/sheet6.xml.rels><?xml version="1.0" encoding="UTF-8" standalone="yes"?><Relationships xmlns="http://schemas.openxmlformats.org/package/2006/relationships"><Relationship Id="rId1" Type="http://schemas.openxmlformats.org/officeDocument/2006/relationships/comments" Target="../comments5.xml"/><Relationship Id="rId2" Type="http://schemas.openxmlformats.org/officeDocument/2006/relationships/drawing" Target="../drawings/drawing6.xml"/><Relationship Id="rId3" Type="http://schemas.openxmlformats.org/officeDocument/2006/relationships/vmlDrawing" Target="../drawings/vmlDrawing5.vml"/></Relationships>
</file>

<file path=xl/worksheets/_rels/sheet7.xml.rels><?xml version="1.0" encoding="UTF-8" standalone="yes"?><Relationships xmlns="http://schemas.openxmlformats.org/package/2006/relationships"><Relationship Id="rId1" Type="http://schemas.openxmlformats.org/officeDocument/2006/relationships/comments" Target="../comments6.xml"/><Relationship Id="rId2" Type="http://schemas.openxmlformats.org/officeDocument/2006/relationships/drawing" Target="../drawings/drawing7.xml"/><Relationship Id="rId3" Type="http://schemas.openxmlformats.org/officeDocument/2006/relationships/vmlDrawing" Target="../drawings/vmlDrawing6.vml"/></Relationships>
</file>

<file path=xl/worksheets/_rels/sheet8.xml.rels><?xml version="1.0" encoding="UTF-8" standalone="yes"?><Relationships xmlns="http://schemas.openxmlformats.org/package/2006/relationships"><Relationship Id="rId1" Type="http://schemas.openxmlformats.org/officeDocument/2006/relationships/comments" Target="../comments7.xml"/><Relationship Id="rId2" Type="http://schemas.openxmlformats.org/officeDocument/2006/relationships/drawing" Target="../drawings/drawing8.xml"/><Relationship Id="rId3" Type="http://schemas.openxmlformats.org/officeDocument/2006/relationships/vmlDrawing" Target="../drawings/vmlDrawing7.vml"/></Relationships>
</file>

<file path=xl/worksheets/_rels/sheet9.xml.rels><?xml version="1.0" encoding="UTF-8" standalone="yes"?><Relationships xmlns="http://schemas.openxmlformats.org/package/2006/relationships"><Relationship Id="rId1" Type="http://schemas.openxmlformats.org/officeDocument/2006/relationships/comments" Target="../comments8.xml"/><Relationship Id="rId2" Type="http://schemas.openxmlformats.org/officeDocument/2006/relationships/drawing" Target="../drawings/drawing9.xml"/><Relationship Id="rId3" Type="http://schemas.openxmlformats.org/officeDocument/2006/relationships/vmlDrawing" Target="../drawings/vmlDrawing8.vml"/></Relationships>
</file>

<file path=xl/worksheets/_rels/sheet10.xml.rels><?xml version="1.0" encoding="UTF-8" standalone="yes"?><Relationships xmlns="http://schemas.openxmlformats.org/package/2006/relationships"><Relationship Id="rId1" Type="http://schemas.openxmlformats.org/officeDocument/2006/relationships/comments" Target="../comments9.xml"/><Relationship Id="rId2" Type="http://schemas.openxmlformats.org/officeDocument/2006/relationships/drawing" Target="../drawings/drawing10.xml"/><Relationship Id="rId3" Type="http://schemas.openxmlformats.org/officeDocument/2006/relationships/vmlDrawing" Target="../drawings/vmlDrawing9.vml"/></Relationships>
</file>

<file path=xl/worksheets/_rels/sheet11.xml.rels><?xml version="1.0" encoding="UTF-8" standalone="yes"?><Relationships xmlns="http://schemas.openxmlformats.org/package/2006/relationships"><Relationship Id="rId11" Type="http://schemas.openxmlformats.org/officeDocument/2006/relationships/hyperlink" Target="https://docs.google.com/spreadsheets/d/15_gs-zfPDRnFHs4uWDOJGzo1pccntqIA4XAK5aa4OBA/edit" TargetMode="External"/><Relationship Id="rId10" Type="http://schemas.openxmlformats.org/officeDocument/2006/relationships/hyperlink" Target="https://docs.google.com/spreadsheets/d/15_gs-zfPDRnFHs4uWDOJGzo1pccntqIA4XAK5aa4OBA/edit" TargetMode="External"/><Relationship Id="rId13" Type="http://schemas.openxmlformats.org/officeDocument/2006/relationships/hyperlink" Target="https://docs.google.com/spreadsheets/d/1W-_XtJPo2OYKyCdJ2Iyih_n2nCcQC5WSpEKNzfC2cwo/edit" TargetMode="External"/><Relationship Id="rId12" Type="http://schemas.openxmlformats.org/officeDocument/2006/relationships/hyperlink" Target="https://docs.google.com/spreadsheets/d/15_gs-zfPDRnFHs4uWDOJGzo1pccntqIA4XAK5aa4OBA/edit" TargetMode="External"/><Relationship Id="rId1" Type="http://schemas.openxmlformats.org/officeDocument/2006/relationships/comments" Target="../comments10.xml"/><Relationship Id="rId2" Type="http://schemas.openxmlformats.org/officeDocument/2006/relationships/hyperlink" Target="https://docs.google.com/spreadsheets/d/15_gs-zfPDRnFHs4uWDOJGzo1pccntqIA4XAK5aa4OBA/edit" TargetMode="External"/><Relationship Id="rId3" Type="http://schemas.openxmlformats.org/officeDocument/2006/relationships/hyperlink" Target="https://docs.google.com/spreadsheets/d/15_gs-zfPDRnFHs4uWDOJGzo1pccntqIA4XAK5aa4OBA/edit" TargetMode="External"/><Relationship Id="rId4" Type="http://schemas.openxmlformats.org/officeDocument/2006/relationships/hyperlink" Target="https://docs.google.com/spreadsheets/d/15_gs-zfPDRnFHs4uWDOJGzo1pccntqIA4XAK5aa4OBA/edit" TargetMode="External"/><Relationship Id="rId9" Type="http://schemas.openxmlformats.org/officeDocument/2006/relationships/hyperlink" Target="https://docs.google.com/spreadsheets/d/15_gs-zfPDRnFHs4uWDOJGzo1pccntqIA4XAK5aa4OBA/edit" TargetMode="External"/><Relationship Id="rId15" Type="http://schemas.openxmlformats.org/officeDocument/2006/relationships/drawing" Target="../drawings/drawing11.xml"/><Relationship Id="rId14" Type="http://schemas.openxmlformats.org/officeDocument/2006/relationships/hyperlink" Target="https://docs.google.com/spreadsheets/d/1a3yHRo67Vp2nPyDZYCayiL8RQNtBxnrQkpOxM1vh_6A/edit?usp=sharing" TargetMode="External"/><Relationship Id="rId16" Type="http://schemas.openxmlformats.org/officeDocument/2006/relationships/vmlDrawing" Target="../drawings/vmlDrawing10.vml"/><Relationship Id="rId5" Type="http://schemas.openxmlformats.org/officeDocument/2006/relationships/hyperlink" Target="https://docs.google.com/spreadsheets/d/15_gs-zfPDRnFHs4uWDOJGzo1pccntqIA4XAK5aa4OBA/edit" TargetMode="External"/><Relationship Id="rId6" Type="http://schemas.openxmlformats.org/officeDocument/2006/relationships/hyperlink" Target="https://docs.google.com/spreadsheets/d/15_gs-zfPDRnFHs4uWDOJGzo1pccntqIA4XAK5aa4OBA/edit" TargetMode="External"/><Relationship Id="rId7" Type="http://schemas.openxmlformats.org/officeDocument/2006/relationships/hyperlink" Target="https://docs.google.com/spreadsheets/d/15_gs-zfPDRnFHs4uWDOJGzo1pccntqIA4XAK5aa4OBA/edit" TargetMode="External"/><Relationship Id="rId8" Type="http://schemas.openxmlformats.org/officeDocument/2006/relationships/hyperlink" Target="https://docs.google.com/spreadsheets/d/15_gs-zfPDRnFHs4uWDOJGzo1pccntqIA4XAK5aa4OBA/edit" TargetMode="External"/></Relationships>
</file>

<file path=xl/worksheets/_rels/sheet12.xml.rels><?xml version="1.0" encoding="UTF-8" standalone="yes"?><Relationships xmlns="http://schemas.openxmlformats.org/package/2006/relationships"><Relationship Id="rId1" Type="http://schemas.openxmlformats.org/officeDocument/2006/relationships/comments" Target="../comments11.xml"/><Relationship Id="rId2" Type="http://schemas.openxmlformats.org/officeDocument/2006/relationships/hyperlink" Target="https://docs.google.com/document/d/1frwDp_odHXDK5pIl2q6zUdI07P1bQ0O1mW4IGTouqBA" TargetMode="External"/><Relationship Id="rId3" Type="http://schemas.openxmlformats.org/officeDocument/2006/relationships/hyperlink" Target="https://blog.givewell.org/2016/12/06/why-i-mostly-believe-in-worms/" TargetMode="External"/><Relationship Id="rId4" Type="http://schemas.openxmlformats.org/officeDocument/2006/relationships/hyperlink" Target="https://docs.google.com/document/d/1r7WhAkJTGrhwjU2xF-SvQxOy-CVhFunessPfchI3T_U/edit?usp=sharing." TargetMode="External"/><Relationship Id="rId5" Type="http://schemas.openxmlformats.org/officeDocument/2006/relationships/hyperlink" Target="https://www.givewell.org/charities/malaria-consortium" TargetMode="External"/><Relationship Id="rId6" Type="http://schemas.openxmlformats.org/officeDocument/2006/relationships/drawing" Target="../drawings/drawing12.xml"/><Relationship Id="rId7" Type="http://schemas.openxmlformats.org/officeDocument/2006/relationships/vmlDrawing" Target="../drawings/vmlDrawing11.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7.29" defaultRowHeight="15.0"/>
  <cols>
    <col customWidth="1" min="1" max="1" width="49.86"/>
    <col customWidth="1" min="2" max="2" width="102.86"/>
  </cols>
  <sheetData>
    <row r="1" ht="22.5" customHeight="1">
      <c r="A1" s="1" t="s">
        <v>0</v>
      </c>
      <c r="B1" s="1"/>
    </row>
    <row r="2" ht="143.25" customHeight="1">
      <c r="A2" s="2" t="s">
        <v>1</v>
      </c>
    </row>
    <row r="3" ht="15.0" customHeight="1">
      <c r="A3" s="3"/>
      <c r="B3" s="3"/>
    </row>
    <row r="4" ht="15.0" customHeight="1">
      <c r="A4" s="4"/>
    </row>
    <row r="5" ht="15.0" customHeight="1">
      <c r="A5" s="5"/>
      <c r="B5" s="5"/>
    </row>
    <row r="6" ht="21.75" customHeight="1">
      <c r="A6" s="6" t="s">
        <v>2</v>
      </c>
      <c r="B6" s="5"/>
    </row>
    <row r="7" ht="15.0" customHeight="1">
      <c r="A7" s="7" t="s">
        <v>3</v>
      </c>
      <c r="B7" s="8"/>
    </row>
    <row r="8" ht="15.0" customHeight="1">
      <c r="A8" s="9" t="s">
        <v>4</v>
      </c>
      <c r="B8" s="8"/>
    </row>
    <row r="9" ht="15.0" customHeight="1">
      <c r="A9" s="5" t="s">
        <v>5</v>
      </c>
      <c r="B9" s="8"/>
    </row>
    <row r="10" ht="15.0" customHeight="1">
      <c r="A10" s="5"/>
      <c r="B10" s="8"/>
    </row>
    <row r="11" ht="21.0" customHeight="1">
      <c r="A11" s="10" t="s">
        <v>6</v>
      </c>
      <c r="B11" s="8"/>
    </row>
    <row r="12" ht="15.0" customHeight="1">
      <c r="A12" s="11" t="s">
        <v>7</v>
      </c>
      <c r="B12" s="12" t="s">
        <v>8</v>
      </c>
    </row>
    <row r="13" ht="15.0" customHeight="1">
      <c r="A13" s="13" t="s">
        <v>9</v>
      </c>
      <c r="B13" s="14" t="s">
        <v>10</v>
      </c>
    </row>
    <row r="14" ht="15.0" customHeight="1">
      <c r="A14" s="13" t="s">
        <v>11</v>
      </c>
      <c r="B14" s="14" t="s">
        <v>12</v>
      </c>
    </row>
    <row r="15" ht="15.0" customHeight="1">
      <c r="A15" s="15" t="s">
        <v>13</v>
      </c>
      <c r="B15" s="14" t="s">
        <v>14</v>
      </c>
    </row>
    <row r="16" ht="15.0" customHeight="1">
      <c r="A16" s="15" t="s">
        <v>15</v>
      </c>
      <c r="B16" s="14" t="s">
        <v>16</v>
      </c>
    </row>
    <row r="17" ht="15.0" customHeight="1">
      <c r="A17" s="15" t="s">
        <v>17</v>
      </c>
      <c r="B17" s="14" t="s">
        <v>18</v>
      </c>
    </row>
    <row r="18" ht="15.0" customHeight="1">
      <c r="A18" s="15" t="s">
        <v>19</v>
      </c>
      <c r="B18" s="14" t="s">
        <v>20</v>
      </c>
    </row>
    <row r="19" ht="15.0" customHeight="1">
      <c r="A19" s="15" t="s">
        <v>21</v>
      </c>
      <c r="B19" s="14" t="s">
        <v>22</v>
      </c>
    </row>
    <row r="20" ht="15.0" customHeight="1">
      <c r="A20" s="16" t="s">
        <v>23</v>
      </c>
      <c r="B20" s="14" t="s">
        <v>24</v>
      </c>
    </row>
    <row r="21" ht="15.0" customHeight="1">
      <c r="A21" s="17" t="s">
        <v>25</v>
      </c>
      <c r="B21" s="18" t="s">
        <v>26</v>
      </c>
    </row>
    <row r="22" ht="15.0" customHeight="1">
      <c r="A22" s="17" t="s">
        <v>27</v>
      </c>
      <c r="B22" s="18" t="s">
        <v>28</v>
      </c>
    </row>
    <row r="23" ht="15.0" customHeight="1">
      <c r="A23" s="8"/>
      <c r="B23" s="19"/>
    </row>
    <row r="24" ht="21.75" customHeight="1">
      <c r="A24" s="10" t="s">
        <v>29</v>
      </c>
      <c r="B24" s="19"/>
    </row>
    <row r="25" ht="15.0" customHeight="1">
      <c r="A25" s="20" t="str">
        <f>HYPERLINK("https://docs.google.com/document/d/1ZKq-MNU-xtn_48uN33L6VvBEZRAduvjwWMeaEffL4K4/","Guide to GiveWell cost-effectiveness analyses")</f>
        <v>Guide to GiveWell cost-effectiveness analyses</v>
      </c>
      <c r="B25" s="19"/>
    </row>
    <row r="26" ht="15.0" customHeight="1">
      <c r="A26" s="20" t="str">
        <f>HYPERLINK("http://www.givewell.org/charities/top-charities","Full reviews of our top charities")</f>
        <v>Full reviews of our top charities</v>
      </c>
      <c r="B26" s="19"/>
    </row>
    <row r="27" ht="15.0" customHeight="1">
      <c r="A27" s="20" t="str">
        <f>HYPERLINK("http://www.givewell.org/international/technical/criteria/cost-effectiveness/cost-effectiveness-models","Past versions of our cost-effectiveness analyses")</f>
        <v>Past versions of our cost-effectiveness analyses</v>
      </c>
      <c r="B27" s="19"/>
    </row>
    <row r="28" ht="15.0" customHeight="1">
      <c r="A28" s="20" t="str">
        <f>HYPERLINK("http://www.givewell.org/international/technical/criteria/cost-effectiveness","Discussion of cost-effectiveness as a criterion")</f>
        <v>Discussion of cost-effectiveness as a criterion</v>
      </c>
      <c r="B28" s="19"/>
    </row>
    <row r="29" ht="15.0" customHeight="1">
      <c r="A29" s="20" t="str">
        <f>HYPERLINK("http://www.givewell.org/international/technical/criteria/cost-effectiveness#MoreonGiveWellsviewsoncosteffectivenessestimates","Blog posts discussing cost-effectiveness")</f>
        <v>Blog posts discussing cost-effectiveness</v>
      </c>
      <c r="B29" s="19"/>
    </row>
  </sheetData>
  <mergeCells count="2">
    <mergeCell ref="A2:B2"/>
    <mergeCell ref="A4:B4"/>
  </mergeCells>
  <hyperlinks>
    <hyperlink r:id="rId1" ref="A2"/>
    <hyperlink display="Moral weights and discount rate" location="'Moral weights and discount rate'!A1" ref="A12"/>
    <hyperlink display="AMF" location="AMF!A1" ref="A13"/>
    <hyperlink display="GiveDirectly" location="GiveDirectly!A1" ref="A14"/>
    <hyperlink display="Deworm the World" location="'Deworm the World'!A1" ref="A15"/>
    <hyperlink display="Unlimit Health" location="'Unlimit Health'!A1" ref="A16"/>
    <hyperlink display="Sightsavers" location="Sightsavers!A1" ref="A17"/>
    <hyperlink display="Malaria Consortium" location="'Malaria Consortium'!A1" ref="A18"/>
    <hyperlink display="Helen Keller International" location="'Helen Keller International'!A1" ref="A19"/>
    <hyperlink display="New Incentives" location="'New Incentives'!A1" ref="A20"/>
    <hyperlink display="Value of counterfactual spending by other actors" location="'Value of counterfactual spendin'!A1" ref="A21"/>
    <hyperlink display="Supplemental intervention-level adjustments" location="'Supplemental intervention-level'!A1" ref="A22"/>
  </hyperlinks>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D966"/>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7.29" defaultRowHeight="15.0"/>
  <cols>
    <col customWidth="1" min="1" max="1" width="90.0"/>
    <col customWidth="1" min="2" max="2" width="10.86"/>
    <col customWidth="1" min="3" max="3" width="15.29"/>
    <col customWidth="1" min="4" max="4" width="12.43"/>
    <col customWidth="1" min="5" max="5" width="17.86"/>
    <col customWidth="1" hidden="1" min="6" max="19" width="17.86"/>
    <col customWidth="1" min="20" max="20" width="10.86"/>
    <col customWidth="1" min="21" max="21" width="15.57"/>
    <col customWidth="1" min="22" max="22" width="61.71"/>
  </cols>
  <sheetData>
    <row r="1" ht="13.5" customHeight="1">
      <c r="A1" s="21" t="s">
        <v>7</v>
      </c>
      <c r="B1" s="22" t="s">
        <v>30</v>
      </c>
      <c r="C1" s="22" t="s">
        <v>31</v>
      </c>
      <c r="D1" s="22" t="s">
        <v>32</v>
      </c>
      <c r="E1" s="22" t="s">
        <v>33</v>
      </c>
      <c r="F1" s="22" t="s">
        <v>34</v>
      </c>
      <c r="G1" s="22" t="s">
        <v>35</v>
      </c>
      <c r="H1" s="22" t="s">
        <v>36</v>
      </c>
      <c r="I1" s="22" t="s">
        <v>37</v>
      </c>
      <c r="J1" s="22" t="s">
        <v>38</v>
      </c>
      <c r="K1" s="22" t="s">
        <v>39</v>
      </c>
      <c r="L1" s="22" t="s">
        <v>40</v>
      </c>
      <c r="M1" s="22" t="s">
        <v>41</v>
      </c>
      <c r="N1" s="22" t="s">
        <v>42</v>
      </c>
      <c r="O1" s="22" t="s">
        <v>43</v>
      </c>
      <c r="P1" s="22" t="s">
        <v>44</v>
      </c>
      <c r="Q1" s="22" t="s">
        <v>45</v>
      </c>
      <c r="R1" s="22" t="s">
        <v>46</v>
      </c>
      <c r="S1" s="22" t="s">
        <v>47</v>
      </c>
      <c r="T1" s="23" t="s">
        <v>48</v>
      </c>
      <c r="U1" s="24"/>
      <c r="V1" s="24"/>
    </row>
    <row r="2" ht="13.5" customHeight="1">
      <c r="A2" s="25" t="s">
        <v>49</v>
      </c>
      <c r="B2" s="26"/>
      <c r="C2" s="26"/>
      <c r="D2" s="26"/>
      <c r="E2" s="26"/>
      <c r="F2" s="26"/>
      <c r="G2" s="26"/>
      <c r="H2" s="26"/>
      <c r="I2" s="26"/>
      <c r="J2" s="26"/>
      <c r="K2" s="26"/>
      <c r="L2" s="26"/>
      <c r="M2" s="26"/>
      <c r="N2" s="26"/>
      <c r="O2" s="26"/>
      <c r="P2" s="26"/>
      <c r="Q2" s="26"/>
      <c r="R2" s="26"/>
      <c r="S2" s="26"/>
      <c r="T2" s="26"/>
      <c r="U2" s="27"/>
      <c r="V2" s="27"/>
    </row>
    <row r="3" ht="13.5" customHeight="1">
      <c r="A3" s="28"/>
      <c r="B3" s="29"/>
      <c r="C3" s="29"/>
      <c r="D3" s="29"/>
      <c r="E3" s="29"/>
      <c r="F3" s="29"/>
      <c r="G3" s="29"/>
      <c r="H3" s="29"/>
      <c r="I3" s="29"/>
      <c r="J3" s="29"/>
      <c r="K3" s="29"/>
      <c r="L3" s="29"/>
      <c r="M3" s="29"/>
      <c r="N3" s="29"/>
      <c r="O3" s="29"/>
      <c r="P3" s="29"/>
      <c r="Q3" s="29"/>
      <c r="R3" s="29"/>
      <c r="S3" s="29"/>
      <c r="T3" s="30"/>
      <c r="U3" s="31"/>
      <c r="V3" s="31"/>
    </row>
    <row r="4" ht="13.5" customHeight="1">
      <c r="A4" s="28" t="s">
        <v>50</v>
      </c>
      <c r="B4" s="29"/>
      <c r="C4" s="29"/>
      <c r="D4" s="29"/>
      <c r="E4" s="29"/>
      <c r="F4" s="29"/>
      <c r="G4" s="29"/>
      <c r="H4" s="29"/>
      <c r="I4" s="29"/>
      <c r="J4" s="29"/>
      <c r="K4" s="29"/>
      <c r="L4" s="29"/>
      <c r="M4" s="29"/>
      <c r="N4" s="29"/>
      <c r="O4" s="29"/>
      <c r="P4" s="29"/>
      <c r="Q4" s="29"/>
      <c r="R4" s="29"/>
      <c r="S4" s="29"/>
      <c r="T4" s="30"/>
      <c r="U4" s="31"/>
      <c r="V4" s="31"/>
    </row>
    <row r="5" ht="8.25" customHeight="1">
      <c r="A5" s="32" t="s">
        <v>51</v>
      </c>
      <c r="B5" s="33">
        <f t="array" ref="B5">index($A$1:$V$39,match($A5,$A$1:$A$39,0),match($A$17,$A$1:$T$1,0))</f>
        <v>1</v>
      </c>
      <c r="C5" s="34">
        <v>1.0</v>
      </c>
      <c r="D5" s="35"/>
      <c r="E5" s="35">
        <f>1/2.5</f>
        <v>0.4</v>
      </c>
      <c r="F5" s="35"/>
      <c r="G5" s="35"/>
      <c r="H5" s="35"/>
      <c r="I5" s="35"/>
      <c r="J5" s="35"/>
      <c r="K5" s="35"/>
      <c r="L5" s="35"/>
      <c r="M5" s="35"/>
      <c r="N5" s="35"/>
      <c r="O5" s="35"/>
      <c r="P5" s="35"/>
      <c r="Q5" s="35"/>
      <c r="R5" s="35"/>
      <c r="S5" s="35"/>
      <c r="T5" s="36"/>
      <c r="U5" s="31"/>
      <c r="V5" s="31"/>
    </row>
    <row r="6" ht="13.5" customHeight="1">
      <c r="A6" s="28"/>
      <c r="B6" s="37"/>
      <c r="C6" s="38"/>
      <c r="D6" s="38"/>
      <c r="E6" s="39"/>
      <c r="F6" s="39"/>
      <c r="G6" s="39"/>
      <c r="H6" s="39"/>
      <c r="I6" s="39"/>
      <c r="J6" s="39"/>
      <c r="K6" s="39"/>
      <c r="L6" s="39"/>
      <c r="M6" s="39"/>
      <c r="N6" s="39"/>
      <c r="O6" s="39"/>
      <c r="P6" s="39"/>
      <c r="Q6" s="39"/>
      <c r="R6" s="39"/>
      <c r="S6" s="39"/>
      <c r="T6" s="40"/>
      <c r="U6" s="31"/>
      <c r="V6" s="31"/>
    </row>
    <row r="7" ht="13.5" customHeight="1">
      <c r="A7" s="28" t="s">
        <v>52</v>
      </c>
      <c r="B7" s="37"/>
      <c r="C7" s="38"/>
      <c r="D7" s="38"/>
      <c r="E7" s="39"/>
      <c r="F7" s="39"/>
      <c r="G7" s="39"/>
      <c r="H7" s="39"/>
      <c r="I7" s="39"/>
      <c r="J7" s="39"/>
      <c r="K7" s="39"/>
      <c r="L7" s="39"/>
      <c r="M7" s="39"/>
      <c r="N7" s="39"/>
      <c r="O7" s="39"/>
      <c r="P7" s="39"/>
      <c r="Q7" s="39"/>
      <c r="R7" s="39"/>
      <c r="S7" s="39"/>
      <c r="T7" s="40"/>
      <c r="U7" s="31"/>
      <c r="V7" s="31"/>
    </row>
    <row r="8" ht="13.5" customHeight="1">
      <c r="A8" s="34" t="s">
        <v>53</v>
      </c>
      <c r="B8" s="41">
        <f t="shared" ref="B8:B14" si="1">index($A$1:$V$39,match($A8,$A$1:$A$39,0),match($A$17,$A$1:$T$1,0))</f>
        <v>116.2526158</v>
      </c>
      <c r="C8" s="34">
        <v>116.252615789931</v>
      </c>
      <c r="D8" s="35"/>
      <c r="E8" s="34">
        <v>36.53</v>
      </c>
      <c r="F8" s="34"/>
      <c r="G8" s="34"/>
      <c r="H8" s="34"/>
      <c r="I8" s="34"/>
      <c r="J8" s="34"/>
      <c r="K8" s="34"/>
      <c r="L8" s="34"/>
      <c r="M8" s="34"/>
      <c r="N8" s="34"/>
      <c r="O8" s="34"/>
      <c r="P8" s="34"/>
      <c r="Q8" s="34"/>
      <c r="R8" s="34"/>
      <c r="S8" s="34"/>
      <c r="T8" s="42" t="s">
        <v>54</v>
      </c>
      <c r="U8" s="31"/>
      <c r="V8" s="31"/>
    </row>
    <row r="9" ht="13.5" customHeight="1">
      <c r="A9" s="34" t="s">
        <v>55</v>
      </c>
      <c r="B9" s="41">
        <f t="shared" si="1"/>
        <v>73.19140463</v>
      </c>
      <c r="C9" s="34">
        <v>73.1914046254006</v>
      </c>
      <c r="D9" s="35"/>
      <c r="E9" s="34">
        <v>29.77</v>
      </c>
      <c r="F9" s="34"/>
      <c r="G9" s="34"/>
      <c r="H9" s="34"/>
      <c r="I9" s="34"/>
      <c r="J9" s="34"/>
      <c r="K9" s="34"/>
      <c r="L9" s="34"/>
      <c r="M9" s="34"/>
      <c r="N9" s="34"/>
      <c r="O9" s="34"/>
      <c r="P9" s="34"/>
      <c r="Q9" s="34"/>
      <c r="R9" s="34"/>
      <c r="S9" s="34"/>
      <c r="T9" s="42" t="s">
        <v>54</v>
      </c>
      <c r="U9" s="31"/>
      <c r="V9" s="31"/>
    </row>
    <row r="10" ht="13.5" customHeight="1">
      <c r="A10" s="43" t="s">
        <v>56</v>
      </c>
      <c r="B10" s="41">
        <f t="shared" si="1"/>
        <v>118.7325895</v>
      </c>
      <c r="C10" s="44">
        <v>118.732589546845</v>
      </c>
      <c r="D10" s="35"/>
      <c r="E10" s="34">
        <v>36.53</v>
      </c>
      <c r="F10" s="44"/>
      <c r="G10" s="44"/>
      <c r="H10" s="44"/>
      <c r="I10" s="44"/>
      <c r="J10" s="44"/>
      <c r="K10" s="44"/>
      <c r="L10" s="44"/>
      <c r="M10" s="44"/>
      <c r="N10" s="44"/>
      <c r="O10" s="44"/>
      <c r="P10" s="44"/>
      <c r="Q10" s="44"/>
      <c r="R10" s="44"/>
      <c r="S10" s="44"/>
      <c r="T10" s="42" t="s">
        <v>54</v>
      </c>
      <c r="U10" s="31"/>
      <c r="V10" s="31"/>
    </row>
    <row r="11" ht="13.5" customHeight="1">
      <c r="A11" s="43" t="s">
        <v>57</v>
      </c>
      <c r="B11" s="41">
        <f t="shared" si="1"/>
        <v>116.2526158</v>
      </c>
      <c r="C11" s="44">
        <f>C8</f>
        <v>116.2526158</v>
      </c>
      <c r="D11" s="35"/>
      <c r="E11" s="34">
        <v>36.53</v>
      </c>
      <c r="F11" s="44"/>
      <c r="G11" s="44"/>
      <c r="H11" s="44"/>
      <c r="I11" s="44"/>
      <c r="J11" s="44"/>
      <c r="K11" s="44"/>
      <c r="L11" s="44"/>
      <c r="M11" s="44"/>
      <c r="N11" s="44"/>
      <c r="O11" s="44"/>
      <c r="P11" s="44"/>
      <c r="Q11" s="44"/>
      <c r="R11" s="44"/>
      <c r="S11" s="44"/>
      <c r="T11" s="42" t="s">
        <v>54</v>
      </c>
      <c r="U11" s="31"/>
      <c r="V11" s="31"/>
    </row>
    <row r="12" ht="13.5" customHeight="1">
      <c r="A12" s="43" t="s">
        <v>58</v>
      </c>
      <c r="B12" s="41">
        <f t="shared" si="1"/>
        <v>133.7</v>
      </c>
      <c r="C12" s="44">
        <v>133.7</v>
      </c>
      <c r="D12" s="35"/>
      <c r="E12" s="44">
        <v>36.9</v>
      </c>
      <c r="F12" s="44"/>
      <c r="G12" s="44"/>
      <c r="H12" s="44"/>
      <c r="I12" s="44"/>
      <c r="J12" s="44"/>
      <c r="K12" s="44"/>
      <c r="L12" s="44"/>
      <c r="M12" s="44"/>
      <c r="N12" s="44"/>
      <c r="O12" s="44"/>
      <c r="P12" s="44"/>
      <c r="Q12" s="44"/>
      <c r="R12" s="44"/>
      <c r="S12" s="44"/>
      <c r="T12" s="42" t="s">
        <v>54</v>
      </c>
      <c r="U12" s="31"/>
      <c r="V12" s="31"/>
    </row>
    <row r="13" ht="13.5" customHeight="1">
      <c r="A13" s="43" t="s">
        <v>59</v>
      </c>
      <c r="B13" s="41">
        <f t="shared" si="1"/>
        <v>103.5857143</v>
      </c>
      <c r="C13" s="44">
        <v>103.585714285714</v>
      </c>
      <c r="D13" s="35"/>
      <c r="E13" s="44">
        <v>29.77</v>
      </c>
      <c r="F13" s="44"/>
      <c r="G13" s="44"/>
      <c r="H13" s="44"/>
      <c r="I13" s="44"/>
      <c r="J13" s="44"/>
      <c r="K13" s="44"/>
      <c r="L13" s="44"/>
      <c r="M13" s="44"/>
      <c r="N13" s="44"/>
      <c r="O13" s="44"/>
      <c r="P13" s="44"/>
      <c r="Q13" s="44"/>
      <c r="R13" s="44"/>
      <c r="S13" s="44"/>
      <c r="T13" s="42" t="s">
        <v>54</v>
      </c>
      <c r="U13" s="31"/>
      <c r="V13" s="31"/>
    </row>
    <row r="14" ht="13.5" customHeight="1">
      <c r="A14" s="43" t="s">
        <v>60</v>
      </c>
      <c r="B14" s="41">
        <f t="shared" si="1"/>
        <v>42.44</v>
      </c>
      <c r="C14" s="44">
        <v>42.44</v>
      </c>
      <c r="D14" s="35"/>
      <c r="E14" s="44">
        <v>11.85</v>
      </c>
      <c r="F14" s="44"/>
      <c r="G14" s="44"/>
      <c r="H14" s="44"/>
      <c r="I14" s="44"/>
      <c r="J14" s="44"/>
      <c r="K14" s="44"/>
      <c r="L14" s="44"/>
      <c r="M14" s="44"/>
      <c r="N14" s="44"/>
      <c r="O14" s="44"/>
      <c r="P14" s="44"/>
      <c r="Q14" s="44"/>
      <c r="R14" s="44"/>
      <c r="S14" s="44"/>
      <c r="T14" s="42" t="s">
        <v>54</v>
      </c>
      <c r="U14" s="31"/>
      <c r="V14" s="31"/>
    </row>
    <row r="15" ht="13.5" customHeight="1">
      <c r="A15" s="28"/>
      <c r="B15" s="45"/>
      <c r="C15" s="46"/>
      <c r="D15" s="46"/>
      <c r="E15" s="44"/>
      <c r="F15" s="44"/>
      <c r="G15" s="44"/>
      <c r="H15" s="44"/>
      <c r="I15" s="44"/>
      <c r="J15" s="44"/>
      <c r="K15" s="44"/>
      <c r="L15" s="44"/>
      <c r="M15" s="44"/>
      <c r="N15" s="44"/>
      <c r="O15" s="44"/>
      <c r="P15" s="44"/>
      <c r="Q15" s="44"/>
      <c r="R15" s="44"/>
      <c r="S15" s="44"/>
      <c r="T15" s="40"/>
      <c r="U15" s="31"/>
      <c r="V15" s="31"/>
    </row>
    <row r="16">
      <c r="A16" s="47" t="s">
        <v>61</v>
      </c>
      <c r="B16" s="48"/>
      <c r="C16" s="48"/>
      <c r="D16" s="48"/>
      <c r="E16" s="48"/>
      <c r="F16" s="48"/>
      <c r="G16" s="48"/>
      <c r="H16" s="48"/>
      <c r="I16" s="48"/>
      <c r="J16" s="48"/>
      <c r="K16" s="48"/>
      <c r="L16" s="48"/>
      <c r="M16" s="48"/>
      <c r="N16" s="48"/>
      <c r="O16" s="48"/>
      <c r="P16" s="48"/>
      <c r="Q16" s="48"/>
      <c r="R16" s="48"/>
      <c r="S16" s="48"/>
      <c r="T16" s="49"/>
      <c r="U16" s="31"/>
      <c r="V16" s="31"/>
    </row>
    <row r="17">
      <c r="A17" s="43" t="s">
        <v>31</v>
      </c>
      <c r="B17" s="48"/>
      <c r="C17" s="48"/>
      <c r="D17" s="48"/>
      <c r="E17" s="48"/>
      <c r="F17" s="48"/>
      <c r="G17" s="48"/>
      <c r="H17" s="48"/>
      <c r="I17" s="48"/>
      <c r="J17" s="48"/>
      <c r="K17" s="48"/>
      <c r="L17" s="48"/>
      <c r="M17" s="48"/>
      <c r="N17" s="48"/>
      <c r="O17" s="48"/>
      <c r="P17" s="48"/>
      <c r="Q17" s="48"/>
      <c r="R17" s="48"/>
      <c r="S17" s="48"/>
      <c r="T17" s="49"/>
      <c r="U17" s="31"/>
      <c r="V17" s="31"/>
    </row>
    <row r="18">
      <c r="A18" s="28"/>
      <c r="B18" s="48"/>
      <c r="C18" s="48"/>
      <c r="D18" s="48"/>
      <c r="E18" s="48"/>
      <c r="F18" s="48"/>
      <c r="G18" s="48"/>
      <c r="H18" s="48"/>
      <c r="I18" s="48"/>
      <c r="J18" s="48"/>
      <c r="K18" s="48"/>
      <c r="L18" s="48"/>
      <c r="M18" s="48"/>
      <c r="N18" s="48"/>
      <c r="O18" s="48"/>
      <c r="P18" s="48"/>
      <c r="Q18" s="48"/>
      <c r="R18" s="48"/>
      <c r="S18" s="48"/>
      <c r="T18" s="49"/>
      <c r="U18" s="31"/>
      <c r="V18" s="31"/>
    </row>
    <row r="19" ht="13.5" customHeight="1">
      <c r="A19" s="50" t="s">
        <v>62</v>
      </c>
      <c r="B19" s="26"/>
      <c r="C19" s="26"/>
      <c r="D19" s="26"/>
      <c r="E19" s="26"/>
      <c r="F19" s="26"/>
      <c r="G19" s="26"/>
      <c r="H19" s="26"/>
      <c r="I19" s="26"/>
      <c r="J19" s="26"/>
      <c r="K19" s="26"/>
      <c r="L19" s="26"/>
      <c r="M19" s="26"/>
      <c r="N19" s="26"/>
      <c r="O19" s="26"/>
      <c r="P19" s="26"/>
      <c r="Q19" s="26"/>
      <c r="R19" s="26"/>
      <c r="S19" s="26"/>
      <c r="T19" s="26"/>
      <c r="U19" s="27"/>
      <c r="V19" s="27"/>
    </row>
    <row r="20" ht="13.5" customHeight="1">
      <c r="A20" s="51" t="s">
        <v>63</v>
      </c>
      <c r="B20" s="52">
        <f>B5*(ln(1.1)/ln(2))</f>
        <v>0.1375035237</v>
      </c>
      <c r="C20" s="52">
        <f t="shared" ref="C20:D20" si="2">if(C5&gt;0,C5*(ln(1.1)/ln(2)),"")</f>
        <v>0.1375035237</v>
      </c>
      <c r="D20" s="52" t="str">
        <f t="shared" si="2"/>
        <v/>
      </c>
      <c r="E20" s="52">
        <f>E5*(ln(1.1)/ln(2))</f>
        <v>0.0550014095</v>
      </c>
      <c r="F20" s="52"/>
      <c r="G20" s="52"/>
      <c r="H20" s="52"/>
      <c r="I20" s="52"/>
      <c r="J20" s="52"/>
      <c r="K20" s="52"/>
      <c r="L20" s="52"/>
      <c r="M20" s="52"/>
      <c r="N20" s="52"/>
      <c r="O20" s="52"/>
      <c r="P20" s="52"/>
      <c r="Q20" s="52"/>
      <c r="R20" s="52"/>
      <c r="S20" s="52"/>
      <c r="T20" s="53"/>
      <c r="U20" s="54"/>
      <c r="V20" s="31"/>
    </row>
    <row r="21" ht="13.5" customHeight="1">
      <c r="A21" s="51" t="s">
        <v>64</v>
      </c>
      <c r="B21" s="52">
        <f>B5*(ln(1.25)/ln(2))</f>
        <v>0.3219280949</v>
      </c>
      <c r="C21" s="52">
        <f t="shared" ref="C21:D21" si="3">if(C5&gt;0,C5*(ln(1.25)/ln(2)),"")</f>
        <v>0.3219280949</v>
      </c>
      <c r="D21" s="52" t="str">
        <f t="shared" si="3"/>
        <v/>
      </c>
      <c r="E21" s="52">
        <f>E5*(ln(1.25)/ln(2))</f>
        <v>0.128771238</v>
      </c>
      <c r="F21" s="52"/>
      <c r="G21" s="52"/>
      <c r="H21" s="52"/>
      <c r="I21" s="52"/>
      <c r="J21" s="52"/>
      <c r="K21" s="52"/>
      <c r="L21" s="52"/>
      <c r="M21" s="52"/>
      <c r="N21" s="52"/>
      <c r="O21" s="52"/>
      <c r="P21" s="52"/>
      <c r="Q21" s="52"/>
      <c r="R21" s="52"/>
      <c r="S21" s="52"/>
      <c r="T21" s="53"/>
      <c r="U21" s="54"/>
      <c r="V21" s="31"/>
    </row>
    <row r="22" ht="13.5" customHeight="1">
      <c r="A22" s="55" t="s">
        <v>65</v>
      </c>
      <c r="B22" s="52">
        <f>B5/ln(2)</f>
        <v>1.442695041</v>
      </c>
      <c r="C22" s="52">
        <f t="shared" ref="C22:D22" si="4">if(C5&gt;0,C5/ln(2),"")</f>
        <v>1.442695041</v>
      </c>
      <c r="D22" s="52" t="str">
        <f t="shared" si="4"/>
        <v/>
      </c>
      <c r="E22" s="52">
        <f>E5/ln(2)</f>
        <v>0.5770780164</v>
      </c>
      <c r="F22" s="52"/>
      <c r="G22" s="52"/>
      <c r="H22" s="52"/>
      <c r="I22" s="52"/>
      <c r="J22" s="52"/>
      <c r="K22" s="52"/>
      <c r="L22" s="52"/>
      <c r="M22" s="52"/>
      <c r="N22" s="52"/>
      <c r="O22" s="52"/>
      <c r="P22" s="52"/>
      <c r="Q22" s="52"/>
      <c r="R22" s="52"/>
      <c r="S22" s="52"/>
      <c r="T22" s="53"/>
      <c r="U22" s="54"/>
      <c r="V22" s="31"/>
    </row>
    <row r="23" ht="13.5" customHeight="1">
      <c r="A23" s="56"/>
      <c r="B23" s="57"/>
      <c r="C23" s="57"/>
      <c r="D23" s="57"/>
      <c r="E23" s="57"/>
      <c r="F23" s="57"/>
      <c r="G23" s="57"/>
      <c r="H23" s="57"/>
      <c r="I23" s="57"/>
      <c r="J23" s="57"/>
      <c r="K23" s="57"/>
      <c r="L23" s="57"/>
      <c r="M23" s="57"/>
      <c r="N23" s="57"/>
      <c r="O23" s="57"/>
      <c r="P23" s="57"/>
      <c r="Q23" s="57"/>
      <c r="R23" s="57"/>
      <c r="S23" s="57"/>
      <c r="T23" s="57"/>
      <c r="U23" s="54"/>
      <c r="V23" s="31"/>
    </row>
    <row r="24" ht="13.5" customHeight="1">
      <c r="A24" s="58" t="s">
        <v>66</v>
      </c>
      <c r="B24" s="59">
        <f>100*B5*(ln(1.1)/ln(2))</f>
        <v>13.75035237</v>
      </c>
      <c r="C24" s="59">
        <f t="shared" ref="C24:D24" si="5">if(C5&gt;0,100*C5*(ln(1.1)/ln(2)),"")</f>
        <v>13.75035237</v>
      </c>
      <c r="D24" s="59" t="str">
        <f t="shared" si="5"/>
        <v/>
      </c>
      <c r="E24" s="59">
        <f>100*E5*(ln(1.1)/ln(2))</f>
        <v>5.50014095</v>
      </c>
      <c r="F24" s="59"/>
      <c r="G24" s="59"/>
      <c r="H24" s="59"/>
      <c r="I24" s="59"/>
      <c r="J24" s="59"/>
      <c r="K24" s="59"/>
      <c r="L24" s="59"/>
      <c r="M24" s="59"/>
      <c r="N24" s="59"/>
      <c r="O24" s="59"/>
      <c r="P24" s="59"/>
      <c r="Q24" s="59"/>
      <c r="R24" s="59"/>
      <c r="S24" s="59"/>
      <c r="T24" s="57"/>
      <c r="U24" s="54"/>
      <c r="V24" s="31"/>
    </row>
    <row r="25" ht="13.5" customHeight="1">
      <c r="A25" s="58" t="s">
        <v>67</v>
      </c>
      <c r="B25" s="59">
        <f>100*B5*(ln(1.25)/ln(2))</f>
        <v>32.19280949</v>
      </c>
      <c r="C25" s="59">
        <f t="shared" ref="C25:D25" si="6">if(C5&gt;0,100*C5*(ln(1.25)/ln(2)),"")</f>
        <v>32.19280949</v>
      </c>
      <c r="D25" s="59" t="str">
        <f t="shared" si="6"/>
        <v/>
      </c>
      <c r="E25" s="59">
        <f>100*E5*(ln(1.25)/ln(2))</f>
        <v>12.8771238</v>
      </c>
      <c r="F25" s="59"/>
      <c r="G25" s="59"/>
      <c r="H25" s="59"/>
      <c r="I25" s="59"/>
      <c r="J25" s="59"/>
      <c r="K25" s="59"/>
      <c r="L25" s="59"/>
      <c r="M25" s="59"/>
      <c r="N25" s="59"/>
      <c r="O25" s="59"/>
      <c r="P25" s="59"/>
      <c r="Q25" s="59"/>
      <c r="R25" s="59"/>
      <c r="S25" s="59"/>
      <c r="T25" s="57"/>
      <c r="U25" s="54"/>
      <c r="V25" s="31"/>
    </row>
    <row r="26" ht="13.5" customHeight="1">
      <c r="A26" s="60"/>
      <c r="B26" s="61"/>
      <c r="C26" s="61"/>
      <c r="D26" s="62"/>
      <c r="E26" s="61"/>
      <c r="F26" s="61"/>
      <c r="G26" s="61"/>
      <c r="H26" s="61"/>
      <c r="I26" s="61"/>
      <c r="J26" s="61"/>
      <c r="K26" s="61"/>
      <c r="L26" s="61"/>
      <c r="M26" s="61"/>
      <c r="N26" s="61"/>
      <c r="O26" s="61"/>
      <c r="P26" s="61"/>
      <c r="Q26" s="61"/>
      <c r="R26" s="61"/>
      <c r="S26" s="61"/>
      <c r="T26" s="63"/>
      <c r="U26" s="54"/>
      <c r="V26" s="31"/>
    </row>
    <row r="27" ht="13.5" customHeight="1">
      <c r="A27" s="64" t="s">
        <v>68</v>
      </c>
      <c r="B27" s="65"/>
      <c r="C27" s="65"/>
      <c r="D27" s="65"/>
      <c r="E27" s="65"/>
      <c r="F27" s="65"/>
      <c r="G27" s="65"/>
      <c r="H27" s="65"/>
      <c r="I27" s="65"/>
      <c r="J27" s="65"/>
      <c r="K27" s="65"/>
      <c r="L27" s="65"/>
      <c r="M27" s="65"/>
      <c r="N27" s="65"/>
      <c r="O27" s="65"/>
      <c r="P27" s="65"/>
      <c r="Q27" s="65"/>
      <c r="R27" s="65"/>
      <c r="S27" s="65"/>
      <c r="T27" s="66"/>
      <c r="U27" s="67"/>
      <c r="V27" s="27"/>
    </row>
    <row r="28" ht="13.5" customHeight="1">
      <c r="A28" s="68" t="s">
        <v>69</v>
      </c>
      <c r="B28" s="69">
        <f t="shared" ref="B28:E28" si="7">iferror(B9/B8, " ")</f>
        <v>0.629589314</v>
      </c>
      <c r="C28" s="69">
        <f t="shared" si="7"/>
        <v>0.629589314</v>
      </c>
      <c r="D28" s="69" t="str">
        <f t="shared" si="7"/>
        <v> </v>
      </c>
      <c r="E28" s="69">
        <f t="shared" si="7"/>
        <v>0.8149466192</v>
      </c>
      <c r="F28" s="69"/>
      <c r="G28" s="69"/>
      <c r="H28" s="69"/>
      <c r="I28" s="69"/>
      <c r="J28" s="69"/>
      <c r="K28" s="69"/>
      <c r="L28" s="69"/>
      <c r="M28" s="69"/>
      <c r="N28" s="69"/>
      <c r="O28" s="69"/>
      <c r="P28" s="69"/>
      <c r="Q28" s="69"/>
      <c r="R28" s="69"/>
      <c r="S28" s="69"/>
      <c r="T28" s="70"/>
      <c r="U28" s="54"/>
      <c r="V28" s="31"/>
    </row>
    <row r="29" ht="13.5" customHeight="1">
      <c r="A29" s="71" t="s">
        <v>70</v>
      </c>
      <c r="B29" s="69">
        <f t="shared" ref="B29:E29" si="8">iferror(B5/B8, " ")</f>
        <v>0.008601956981</v>
      </c>
      <c r="C29" s="69">
        <f t="shared" si="8"/>
        <v>0.008601956981</v>
      </c>
      <c r="D29" s="69" t="str">
        <f t="shared" si="8"/>
        <v> </v>
      </c>
      <c r="E29" s="69">
        <f t="shared" si="8"/>
        <v>0.01094990419</v>
      </c>
      <c r="F29" s="69"/>
      <c r="G29" s="69"/>
      <c r="H29" s="69"/>
      <c r="I29" s="69"/>
      <c r="J29" s="69"/>
      <c r="K29" s="69"/>
      <c r="L29" s="69"/>
      <c r="M29" s="69"/>
      <c r="N29" s="69"/>
      <c r="O29" s="69"/>
      <c r="P29" s="69"/>
      <c r="Q29" s="69"/>
      <c r="R29" s="69"/>
      <c r="S29" s="69"/>
      <c r="T29" s="70"/>
      <c r="U29" s="54"/>
      <c r="V29" s="31"/>
    </row>
    <row r="30" ht="13.5" customHeight="1">
      <c r="A30" s="71"/>
      <c r="B30" s="69" t="str">
        <f t="shared" ref="B30:E30" si="9">iferror(B8/#REF!, " ")</f>
        <v> </v>
      </c>
      <c r="C30" s="69" t="str">
        <f t="shared" si="9"/>
        <v> </v>
      </c>
      <c r="D30" s="69" t="str">
        <f t="shared" si="9"/>
        <v> </v>
      </c>
      <c r="E30" s="69" t="str">
        <f t="shared" si="9"/>
        <v> </v>
      </c>
      <c r="F30" s="69"/>
      <c r="G30" s="69"/>
      <c r="H30" s="69"/>
      <c r="I30" s="69"/>
      <c r="J30" s="69"/>
      <c r="K30" s="69"/>
      <c r="L30" s="69"/>
      <c r="M30" s="69"/>
      <c r="N30" s="69"/>
      <c r="O30" s="69"/>
      <c r="P30" s="69"/>
      <c r="Q30" s="69"/>
      <c r="R30" s="69"/>
      <c r="S30" s="69"/>
      <c r="T30" s="70"/>
      <c r="U30" s="54"/>
      <c r="V30" s="31"/>
    </row>
    <row r="31" ht="13.5" customHeight="1">
      <c r="A31" s="25" t="s">
        <v>71</v>
      </c>
      <c r="B31" s="26"/>
      <c r="C31" s="26"/>
      <c r="D31" s="26"/>
      <c r="E31" s="26"/>
      <c r="F31" s="26"/>
      <c r="G31" s="26"/>
      <c r="H31" s="26"/>
      <c r="I31" s="26"/>
      <c r="J31" s="26"/>
      <c r="K31" s="26"/>
      <c r="L31" s="26"/>
      <c r="M31" s="26"/>
      <c r="N31" s="26"/>
      <c r="O31" s="26"/>
      <c r="P31" s="26"/>
      <c r="Q31" s="26"/>
      <c r="R31" s="26"/>
      <c r="S31" s="26"/>
      <c r="T31" s="26"/>
      <c r="U31" s="27"/>
      <c r="V31" s="27"/>
    </row>
    <row r="32" ht="13.5" customHeight="1">
      <c r="A32" s="71" t="s">
        <v>72</v>
      </c>
      <c r="B32" s="72">
        <f t="shared" ref="B32:B37" si="10">index($A$1:$V$39,match($A32,$A$1:$A$39,0),match($A$17,$A$1:$T$1,0))</f>
        <v>0.017</v>
      </c>
      <c r="C32" s="73">
        <v>0.017</v>
      </c>
      <c r="D32" s="74"/>
      <c r="E32" s="75"/>
      <c r="F32" s="75"/>
      <c r="G32" s="75"/>
      <c r="H32" s="75"/>
      <c r="I32" s="75"/>
      <c r="J32" s="75"/>
      <c r="K32" s="75"/>
      <c r="L32" s="75"/>
      <c r="M32" s="75"/>
      <c r="N32" s="75"/>
      <c r="O32" s="75"/>
      <c r="P32" s="75"/>
      <c r="Q32" s="75"/>
      <c r="R32" s="75"/>
      <c r="S32" s="75"/>
      <c r="T32" s="75"/>
      <c r="U32" s="75"/>
      <c r="V32" s="76"/>
    </row>
    <row r="33" ht="13.5" customHeight="1">
      <c r="A33" s="77" t="s">
        <v>73</v>
      </c>
      <c r="B33" s="72">
        <f t="shared" si="10"/>
        <v>0.009</v>
      </c>
      <c r="C33" s="73">
        <v>0.009</v>
      </c>
      <c r="D33" s="75"/>
      <c r="E33" s="75"/>
      <c r="F33" s="75"/>
      <c r="G33" s="75"/>
      <c r="H33" s="75"/>
      <c r="I33" s="75"/>
      <c r="J33" s="75"/>
      <c r="K33" s="75"/>
      <c r="L33" s="75"/>
      <c r="M33" s="75"/>
      <c r="N33" s="75"/>
      <c r="O33" s="75"/>
      <c r="P33" s="75"/>
      <c r="Q33" s="75"/>
      <c r="R33" s="75"/>
      <c r="S33" s="75"/>
      <c r="T33" s="75"/>
      <c r="U33" s="75"/>
      <c r="V33" s="40"/>
    </row>
    <row r="34" ht="13.5" customHeight="1">
      <c r="A34" s="77" t="s">
        <v>74</v>
      </c>
      <c r="B34" s="72">
        <f t="shared" si="10"/>
        <v>0.014</v>
      </c>
      <c r="C34" s="73">
        <v>0.014</v>
      </c>
      <c r="D34" s="75"/>
      <c r="E34" s="75"/>
      <c r="F34" s="75"/>
      <c r="G34" s="75"/>
      <c r="H34" s="75"/>
      <c r="I34" s="75"/>
      <c r="J34" s="75"/>
      <c r="K34" s="75"/>
      <c r="L34" s="75"/>
      <c r="M34" s="75"/>
      <c r="N34" s="75"/>
      <c r="O34" s="75"/>
      <c r="P34" s="75"/>
      <c r="Q34" s="75"/>
      <c r="R34" s="75"/>
      <c r="S34" s="75"/>
      <c r="T34" s="75"/>
      <c r="U34" s="75"/>
      <c r="V34" s="40"/>
    </row>
    <row r="35" ht="13.5" customHeight="1">
      <c r="A35" s="77" t="s">
        <v>75</v>
      </c>
      <c r="B35" s="72">
        <f t="shared" si="10"/>
        <v>0</v>
      </c>
      <c r="C35" s="73">
        <v>0.0</v>
      </c>
      <c r="D35" s="75"/>
      <c r="E35" s="75"/>
      <c r="F35" s="75"/>
      <c r="G35" s="75"/>
      <c r="H35" s="75"/>
      <c r="I35" s="75"/>
      <c r="J35" s="75"/>
      <c r="K35" s="75"/>
      <c r="L35" s="75"/>
      <c r="M35" s="75"/>
      <c r="N35" s="75"/>
      <c r="O35" s="75"/>
      <c r="P35" s="75"/>
      <c r="Q35" s="75"/>
      <c r="R35" s="75"/>
      <c r="S35" s="75"/>
      <c r="T35" s="75"/>
      <c r="U35" s="75"/>
      <c r="V35" s="40"/>
    </row>
    <row r="36" ht="13.5" customHeight="1">
      <c r="A36" s="77" t="s">
        <v>76</v>
      </c>
      <c r="B36" s="72">
        <f t="shared" si="10"/>
        <v>0</v>
      </c>
      <c r="C36" s="73">
        <v>0.0</v>
      </c>
      <c r="D36" s="75"/>
      <c r="E36" s="75"/>
      <c r="F36" s="75"/>
      <c r="G36" s="75"/>
      <c r="H36" s="75"/>
      <c r="I36" s="75"/>
      <c r="J36" s="75"/>
      <c r="K36" s="75"/>
      <c r="L36" s="75"/>
      <c r="M36" s="75"/>
      <c r="N36" s="75"/>
      <c r="O36" s="75"/>
      <c r="P36" s="75"/>
      <c r="Q36" s="75"/>
      <c r="R36" s="75"/>
      <c r="S36" s="75"/>
      <c r="T36" s="75"/>
      <c r="U36" s="75"/>
      <c r="V36" s="40"/>
    </row>
    <row r="37" ht="13.5" customHeight="1">
      <c r="A37" s="77" t="s">
        <v>77</v>
      </c>
      <c r="B37" s="72">
        <f t="shared" si="10"/>
        <v>0.04</v>
      </c>
      <c r="C37" s="78">
        <f>sum(C32:C36)</f>
        <v>0.04</v>
      </c>
      <c r="D37" s="75"/>
      <c r="E37" s="73">
        <f>C37</f>
        <v>0.04</v>
      </c>
      <c r="F37" s="75"/>
      <c r="G37" s="75"/>
      <c r="H37" s="75"/>
      <c r="I37" s="75"/>
      <c r="J37" s="75"/>
      <c r="K37" s="75"/>
      <c r="L37" s="75"/>
      <c r="M37" s="75"/>
      <c r="N37" s="75"/>
      <c r="O37" s="75"/>
      <c r="P37" s="75"/>
      <c r="Q37" s="75"/>
      <c r="R37" s="75"/>
      <c r="S37" s="75"/>
      <c r="T37" s="75"/>
      <c r="U37" s="75"/>
      <c r="V37" s="40"/>
    </row>
    <row r="38" ht="13.5" customHeight="1">
      <c r="A38" s="31"/>
      <c r="B38" s="75"/>
      <c r="C38" s="75"/>
      <c r="D38" s="75"/>
      <c r="E38" s="75"/>
      <c r="F38" s="75"/>
      <c r="G38" s="75"/>
      <c r="H38" s="75"/>
      <c r="I38" s="75"/>
      <c r="J38" s="75"/>
      <c r="K38" s="75"/>
      <c r="L38" s="75"/>
      <c r="M38" s="75"/>
      <c r="N38" s="75"/>
      <c r="O38" s="75"/>
      <c r="P38" s="75"/>
      <c r="Q38" s="75"/>
      <c r="R38" s="75"/>
      <c r="S38" s="75"/>
      <c r="T38" s="75"/>
      <c r="U38" s="75"/>
      <c r="V38" s="40"/>
    </row>
    <row r="39" ht="13.5" customHeight="1">
      <c r="A39" s="31"/>
      <c r="B39" s="75"/>
      <c r="C39" s="75"/>
      <c r="D39" s="75"/>
      <c r="E39" s="75"/>
      <c r="F39" s="75"/>
      <c r="G39" s="75"/>
      <c r="H39" s="75"/>
      <c r="I39" s="75"/>
      <c r="J39" s="75"/>
      <c r="K39" s="75"/>
      <c r="L39" s="75"/>
      <c r="M39" s="75"/>
      <c r="N39" s="75"/>
      <c r="O39" s="75"/>
      <c r="P39" s="75"/>
      <c r="Q39" s="75"/>
      <c r="R39" s="75"/>
      <c r="S39" s="75"/>
      <c r="T39" s="75"/>
      <c r="U39" s="75"/>
      <c r="V39" s="40"/>
    </row>
  </sheetData>
  <dataValidations>
    <dataValidation type="list" allowBlank="1" sqref="A17">
      <formula1>"GiveWell 2020,Anyone,Conventional"</formula1>
    </dataValidation>
  </dataValidations>
  <hyperlinks>
    <hyperlink r:id="rId2" ref="T8"/>
    <hyperlink r:id="rId3" ref="T9"/>
    <hyperlink r:id="rId4" ref="T10"/>
    <hyperlink r:id="rId5" ref="T11"/>
    <hyperlink r:id="rId6" ref="T12"/>
    <hyperlink r:id="rId7" ref="T13"/>
    <hyperlink r:id="rId8" ref="T14"/>
  </hyperlinks>
  <drawing r:id="rId9"/>
  <legacyDrawing r:id="rId10"/>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3D85C6"/>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7.29" defaultRowHeight="15.0" outlineLevelRow="1"/>
  <cols>
    <col customWidth="1" min="1" max="1" width="97.86"/>
    <col customWidth="1" min="2" max="16" width="17.29"/>
  </cols>
  <sheetData>
    <row r="1" ht="15.0" customHeight="1">
      <c r="A1" s="79" t="s">
        <v>78</v>
      </c>
      <c r="B1" s="80" t="s">
        <v>79</v>
      </c>
      <c r="C1" s="81" t="s">
        <v>80</v>
      </c>
      <c r="D1" s="81" t="s">
        <v>81</v>
      </c>
      <c r="E1" s="81" t="s">
        <v>82</v>
      </c>
      <c r="F1" s="82" t="s">
        <v>83</v>
      </c>
      <c r="G1" s="82" t="s">
        <v>84</v>
      </c>
      <c r="H1" s="81" t="s">
        <v>85</v>
      </c>
      <c r="I1" s="81" t="s">
        <v>86</v>
      </c>
      <c r="J1" s="81"/>
      <c r="K1" s="81"/>
      <c r="L1" s="81"/>
      <c r="M1" s="81"/>
      <c r="N1" s="81"/>
      <c r="O1" s="81"/>
      <c r="P1" s="81"/>
    </row>
    <row r="2" ht="15.0" customHeight="1">
      <c r="A2" s="83"/>
      <c r="B2" s="84"/>
      <c r="C2" s="85"/>
      <c r="D2" s="85"/>
      <c r="E2" s="85"/>
      <c r="F2" s="85"/>
      <c r="G2" s="85"/>
      <c r="H2" s="85"/>
      <c r="I2" s="85"/>
      <c r="J2" s="85"/>
      <c r="K2" s="85"/>
      <c r="L2" s="85"/>
      <c r="M2" s="85"/>
      <c r="N2" s="85"/>
      <c r="O2" s="85"/>
      <c r="P2" s="85"/>
    </row>
    <row r="3" ht="15.0" customHeight="1">
      <c r="A3" s="83"/>
      <c r="B3" s="84"/>
      <c r="C3" s="85"/>
      <c r="D3" s="85"/>
      <c r="E3" s="85"/>
      <c r="F3" s="85"/>
      <c r="G3" s="85"/>
      <c r="H3" s="85"/>
      <c r="I3" s="85"/>
      <c r="J3" s="85"/>
      <c r="K3" s="85"/>
      <c r="L3" s="85"/>
      <c r="M3" s="85"/>
      <c r="N3" s="85"/>
      <c r="O3" s="85"/>
      <c r="P3" s="85"/>
    </row>
    <row r="4" ht="15.0" customHeight="1">
      <c r="A4" s="83"/>
      <c r="B4" s="84"/>
      <c r="C4" s="85"/>
      <c r="D4" s="85"/>
      <c r="E4" s="85"/>
      <c r="F4" s="85"/>
      <c r="G4" s="85"/>
      <c r="H4" s="85"/>
      <c r="I4" s="85"/>
      <c r="J4" s="85"/>
      <c r="K4" s="85"/>
      <c r="L4" s="85"/>
      <c r="M4" s="85"/>
      <c r="N4" s="85"/>
      <c r="O4" s="85"/>
      <c r="P4" s="85"/>
    </row>
    <row r="5" ht="15.0" customHeight="1">
      <c r="A5" s="86" t="s">
        <v>87</v>
      </c>
      <c r="B5" s="87"/>
      <c r="C5" s="88"/>
      <c r="D5" s="88"/>
      <c r="E5" s="88"/>
      <c r="F5" s="88"/>
      <c r="G5" s="88"/>
      <c r="H5" s="88"/>
      <c r="I5" s="88"/>
      <c r="J5" s="88"/>
      <c r="K5" s="88"/>
      <c r="L5" s="88"/>
      <c r="M5" s="88"/>
      <c r="N5" s="88"/>
      <c r="O5" s="88"/>
      <c r="P5" s="88"/>
    </row>
    <row r="6" ht="15.0" customHeight="1">
      <c r="A6" s="77"/>
      <c r="B6" s="89"/>
      <c r="C6" s="90"/>
      <c r="D6" s="90"/>
      <c r="E6" s="90"/>
      <c r="F6" s="90"/>
      <c r="G6" s="90"/>
      <c r="H6" s="90"/>
      <c r="I6" s="90"/>
      <c r="J6" s="90"/>
      <c r="K6" s="90"/>
      <c r="L6" s="90"/>
      <c r="M6" s="90"/>
      <c r="N6" s="90"/>
      <c r="O6" s="90"/>
      <c r="P6" s="90"/>
    </row>
    <row r="7" ht="15.0" customHeight="1">
      <c r="A7" s="91" t="s">
        <v>88</v>
      </c>
      <c r="B7" s="92">
        <v>0.5039085</v>
      </c>
      <c r="C7" s="92">
        <v>0.6365521</v>
      </c>
      <c r="D7" s="92">
        <v>0.6534446</v>
      </c>
      <c r="E7" s="92">
        <v>0.5993375</v>
      </c>
      <c r="F7" s="92">
        <v>0.6809358</v>
      </c>
      <c r="G7" s="92">
        <v>0.6809358</v>
      </c>
      <c r="H7" s="92">
        <v>0.6365521</v>
      </c>
      <c r="I7" s="92">
        <v>0.4300644</v>
      </c>
      <c r="J7" s="92"/>
      <c r="K7" s="92"/>
      <c r="L7" s="92"/>
      <c r="M7" s="92"/>
      <c r="N7" s="92"/>
      <c r="O7" s="92"/>
      <c r="P7" s="92"/>
    </row>
    <row r="8" ht="15.0" customHeight="1">
      <c r="A8" s="91" t="s">
        <v>89</v>
      </c>
      <c r="B8" s="92">
        <v>0.0</v>
      </c>
      <c r="C8" s="92">
        <v>0.0</v>
      </c>
      <c r="D8" s="92">
        <v>0.0</v>
      </c>
      <c r="E8" s="92">
        <v>0.0</v>
      </c>
      <c r="F8" s="92">
        <v>0.0</v>
      </c>
      <c r="G8" s="92">
        <v>0.0</v>
      </c>
      <c r="H8" s="92">
        <v>0.0</v>
      </c>
      <c r="I8" s="92">
        <v>0.0</v>
      </c>
      <c r="J8" s="92"/>
      <c r="K8" s="92"/>
      <c r="L8" s="92"/>
      <c r="M8" s="92"/>
      <c r="N8" s="92"/>
      <c r="O8" s="92"/>
      <c r="P8" s="92"/>
    </row>
    <row r="9" ht="15.0" customHeight="1">
      <c r="A9" s="93"/>
      <c r="B9" s="84"/>
      <c r="C9" s="85"/>
      <c r="D9" s="85"/>
      <c r="E9" s="85"/>
      <c r="F9" s="85"/>
      <c r="G9" s="85"/>
      <c r="H9" s="94"/>
      <c r="I9" s="94"/>
      <c r="J9" s="85"/>
      <c r="K9" s="85"/>
      <c r="L9" s="85"/>
      <c r="M9" s="85"/>
      <c r="N9" s="85"/>
      <c r="O9" s="85"/>
      <c r="P9" s="85"/>
    </row>
    <row r="10" ht="15.0" customHeight="1">
      <c r="A10" s="86" t="s">
        <v>90</v>
      </c>
      <c r="B10" s="87"/>
      <c r="C10" s="88"/>
      <c r="D10" s="88"/>
      <c r="E10" s="88"/>
      <c r="F10" s="88"/>
      <c r="G10" s="88"/>
      <c r="H10" s="88"/>
      <c r="I10" s="88"/>
      <c r="J10" s="88"/>
      <c r="K10" s="88"/>
      <c r="L10" s="88"/>
      <c r="M10" s="88"/>
      <c r="N10" s="88"/>
      <c r="O10" s="88"/>
      <c r="P10" s="88"/>
    </row>
    <row r="11" ht="15.0" customHeight="1">
      <c r="A11" s="77"/>
      <c r="B11" s="95"/>
      <c r="C11" s="96"/>
      <c r="D11" s="96"/>
      <c r="E11" s="96"/>
      <c r="F11" s="96"/>
      <c r="G11" s="96"/>
      <c r="H11" s="96"/>
      <c r="I11" s="96"/>
      <c r="J11" s="96"/>
      <c r="K11" s="96"/>
      <c r="L11" s="96"/>
      <c r="M11" s="96"/>
      <c r="N11" s="96"/>
      <c r="O11" s="96"/>
      <c r="P11" s="96"/>
    </row>
    <row r="12" ht="15.0" customHeight="1">
      <c r="A12" s="97" t="s">
        <v>91</v>
      </c>
      <c r="B12" s="98"/>
      <c r="C12" s="98"/>
      <c r="D12" s="98"/>
      <c r="E12" s="98"/>
      <c r="F12" s="98"/>
      <c r="G12" s="98"/>
      <c r="H12" s="98"/>
      <c r="I12" s="98"/>
      <c r="J12" s="99"/>
      <c r="K12" s="99"/>
      <c r="L12" s="99"/>
      <c r="M12" s="99"/>
      <c r="N12" s="99"/>
      <c r="O12" s="99"/>
      <c r="P12" s="99"/>
    </row>
    <row r="13" ht="15.0" customHeight="1">
      <c r="A13" s="91" t="s">
        <v>92</v>
      </c>
      <c r="B13" s="100">
        <v>100000.0</v>
      </c>
      <c r="C13" s="100">
        <v>100000.0</v>
      </c>
      <c r="D13" s="100">
        <v>100000.0</v>
      </c>
      <c r="E13" s="100">
        <v>100000.0</v>
      </c>
      <c r="F13" s="100">
        <v>100000.0</v>
      </c>
      <c r="G13" s="100">
        <v>100000.0</v>
      </c>
      <c r="H13" s="100">
        <v>100000.0</v>
      </c>
      <c r="I13" s="100">
        <v>100000.0</v>
      </c>
      <c r="J13" s="96"/>
      <c r="K13" s="96"/>
      <c r="L13" s="96"/>
      <c r="M13" s="96"/>
      <c r="N13" s="96"/>
      <c r="O13" s="96"/>
      <c r="P13" s="96"/>
    </row>
    <row r="14" ht="15.0" customHeight="1">
      <c r="A14" s="91" t="s">
        <v>93</v>
      </c>
      <c r="B14" s="101">
        <f t="shared" ref="B14:I14" si="1">B13/B7</f>
        <v>198448.7263</v>
      </c>
      <c r="C14" s="96">
        <f t="shared" si="1"/>
        <v>157096.3319</v>
      </c>
      <c r="D14" s="96">
        <f t="shared" si="1"/>
        <v>153035.1617</v>
      </c>
      <c r="E14" s="96">
        <f t="shared" si="1"/>
        <v>166850.8979</v>
      </c>
      <c r="F14" s="96">
        <f t="shared" si="1"/>
        <v>146856.7228</v>
      </c>
      <c r="G14" s="96">
        <f t="shared" si="1"/>
        <v>146856.7228</v>
      </c>
      <c r="H14" s="96">
        <f t="shared" si="1"/>
        <v>157096.3319</v>
      </c>
      <c r="I14" s="96">
        <f t="shared" si="1"/>
        <v>232523.3151</v>
      </c>
      <c r="J14" s="96"/>
      <c r="K14" s="96"/>
      <c r="L14" s="96"/>
      <c r="M14" s="96"/>
      <c r="N14" s="96"/>
      <c r="O14" s="96"/>
      <c r="P14" s="96"/>
    </row>
    <row r="15" ht="15.0" customHeight="1">
      <c r="A15" s="102" t="s">
        <v>94</v>
      </c>
      <c r="B15" s="103">
        <v>5.85033</v>
      </c>
      <c r="C15" s="103">
        <v>3.93785</v>
      </c>
      <c r="D15" s="103">
        <v>3.66624</v>
      </c>
      <c r="E15" s="103">
        <v>4.44504</v>
      </c>
      <c r="F15" s="104">
        <v>4.34286</v>
      </c>
      <c r="G15" s="104">
        <v>4.34286</v>
      </c>
      <c r="H15" s="103">
        <v>3.93785</v>
      </c>
      <c r="I15" s="104">
        <v>5.32824</v>
      </c>
      <c r="J15" s="105"/>
      <c r="K15" s="105"/>
      <c r="L15" s="105"/>
      <c r="M15" s="105"/>
      <c r="N15" s="105"/>
      <c r="O15" s="105"/>
      <c r="P15" s="105"/>
    </row>
    <row r="16" ht="15.0" customHeight="1">
      <c r="A16" s="102"/>
      <c r="B16" s="106"/>
      <c r="C16" s="106"/>
      <c r="D16" s="106"/>
      <c r="E16" s="106"/>
      <c r="F16" s="106"/>
      <c r="G16" s="106"/>
      <c r="H16" s="106"/>
      <c r="I16" s="106"/>
      <c r="J16" s="107"/>
      <c r="K16" s="107"/>
      <c r="L16" s="107"/>
      <c r="M16" s="107"/>
      <c r="N16" s="107"/>
      <c r="O16" s="107"/>
      <c r="P16" s="107"/>
    </row>
    <row r="17" ht="14.25" customHeight="1">
      <c r="A17" s="108" t="s">
        <v>95</v>
      </c>
      <c r="B17" s="106"/>
      <c r="C17" s="106"/>
      <c r="D17" s="106"/>
      <c r="E17" s="106"/>
      <c r="F17" s="106"/>
      <c r="G17" s="106"/>
      <c r="H17" s="106"/>
      <c r="I17" s="106"/>
      <c r="J17" s="107"/>
      <c r="K17" s="107"/>
      <c r="L17" s="107"/>
      <c r="M17" s="107"/>
      <c r="N17" s="107"/>
      <c r="O17" s="107"/>
      <c r="P17" s="107"/>
    </row>
    <row r="18" ht="15.0" customHeight="1">
      <c r="A18" s="102" t="s">
        <v>96</v>
      </c>
      <c r="B18" s="109">
        <f t="shared" ref="B18:I18" si="2">B14/B15</f>
        <v>33920.94571</v>
      </c>
      <c r="C18" s="109">
        <f t="shared" si="2"/>
        <v>39893.935</v>
      </c>
      <c r="D18" s="109">
        <f t="shared" si="2"/>
        <v>41741.71949</v>
      </c>
      <c r="E18" s="109">
        <f t="shared" si="2"/>
        <v>37536.42214</v>
      </c>
      <c r="F18" s="109">
        <f t="shared" si="2"/>
        <v>33815.67049</v>
      </c>
      <c r="G18" s="109">
        <f t="shared" si="2"/>
        <v>33815.67049</v>
      </c>
      <c r="H18" s="109">
        <f t="shared" si="2"/>
        <v>39893.935</v>
      </c>
      <c r="I18" s="109">
        <f t="shared" si="2"/>
        <v>43639.79759</v>
      </c>
      <c r="J18" s="107"/>
      <c r="K18" s="107"/>
      <c r="L18" s="107"/>
      <c r="M18" s="107"/>
      <c r="N18" s="107"/>
      <c r="O18" s="107"/>
      <c r="P18" s="107"/>
    </row>
    <row r="19" ht="15.0" customHeight="1">
      <c r="A19" s="110" t="s">
        <v>97</v>
      </c>
      <c r="B19" s="111">
        <v>0.7</v>
      </c>
      <c r="C19" s="111">
        <v>0.7</v>
      </c>
      <c r="D19" s="111">
        <v>0.7</v>
      </c>
      <c r="E19" s="111">
        <v>0.7</v>
      </c>
      <c r="F19" s="111">
        <v>0.7</v>
      </c>
      <c r="G19" s="111">
        <v>0.7</v>
      </c>
      <c r="H19" s="111">
        <v>0.7</v>
      </c>
      <c r="I19" s="111">
        <v>0.7</v>
      </c>
      <c r="J19" s="107"/>
      <c r="K19" s="107"/>
      <c r="L19" s="107"/>
      <c r="M19" s="107"/>
      <c r="N19" s="107"/>
      <c r="O19" s="107"/>
      <c r="P19" s="107"/>
    </row>
    <row r="20" ht="15.0" customHeight="1">
      <c r="A20" s="110" t="s">
        <v>98</v>
      </c>
      <c r="B20" s="112">
        <v>0.9</v>
      </c>
      <c r="C20" s="112">
        <v>0.9</v>
      </c>
      <c r="D20" s="112">
        <v>0.9</v>
      </c>
      <c r="E20" s="112">
        <v>0.9</v>
      </c>
      <c r="F20" s="112">
        <v>0.9</v>
      </c>
      <c r="G20" s="112">
        <v>0.9</v>
      </c>
      <c r="H20" s="112">
        <v>0.9</v>
      </c>
      <c r="I20" s="112">
        <v>0.9</v>
      </c>
      <c r="J20" s="107"/>
      <c r="K20" s="107"/>
      <c r="L20" s="107"/>
      <c r="M20" s="107"/>
      <c r="N20" s="107"/>
      <c r="O20" s="107"/>
      <c r="P20" s="107"/>
    </row>
    <row r="21" ht="15.0" customHeight="1">
      <c r="A21" s="102" t="s">
        <v>99</v>
      </c>
      <c r="B21" s="113">
        <f t="shared" ref="B21:I21" si="3">B19*B20</f>
        <v>0.63</v>
      </c>
      <c r="C21" s="113">
        <f t="shared" si="3"/>
        <v>0.63</v>
      </c>
      <c r="D21" s="113">
        <f t="shared" si="3"/>
        <v>0.63</v>
      </c>
      <c r="E21" s="113">
        <f t="shared" si="3"/>
        <v>0.63</v>
      </c>
      <c r="F21" s="113">
        <f t="shared" si="3"/>
        <v>0.63</v>
      </c>
      <c r="G21" s="113">
        <f t="shared" si="3"/>
        <v>0.63</v>
      </c>
      <c r="H21" s="113">
        <f t="shared" si="3"/>
        <v>0.63</v>
      </c>
      <c r="I21" s="113">
        <f t="shared" si="3"/>
        <v>0.63</v>
      </c>
      <c r="J21" s="107"/>
      <c r="K21" s="107"/>
      <c r="L21" s="107"/>
      <c r="M21" s="107"/>
      <c r="N21" s="107"/>
      <c r="O21" s="107"/>
      <c r="P21" s="107"/>
    </row>
    <row r="22" ht="15.0" customHeight="1">
      <c r="A22" s="102" t="s">
        <v>100</v>
      </c>
      <c r="B22" s="109">
        <f t="shared" ref="B22:I22" si="4">B18*B21</f>
        <v>21370.1958</v>
      </c>
      <c r="C22" s="109">
        <f t="shared" si="4"/>
        <v>25133.17905</v>
      </c>
      <c r="D22" s="109">
        <f t="shared" si="4"/>
        <v>26297.28328</v>
      </c>
      <c r="E22" s="109">
        <f t="shared" si="4"/>
        <v>23647.94595</v>
      </c>
      <c r="F22" s="109">
        <f t="shared" si="4"/>
        <v>21303.87241</v>
      </c>
      <c r="G22" s="109">
        <f t="shared" si="4"/>
        <v>21303.87241</v>
      </c>
      <c r="H22" s="109">
        <f t="shared" si="4"/>
        <v>25133.17905</v>
      </c>
      <c r="I22" s="109">
        <f t="shared" si="4"/>
        <v>27493.07248</v>
      </c>
      <c r="J22" s="107"/>
      <c r="K22" s="107"/>
      <c r="L22" s="107"/>
      <c r="M22" s="107"/>
      <c r="N22" s="107"/>
      <c r="O22" s="107"/>
      <c r="P22" s="107"/>
    </row>
    <row r="23" ht="15.0" customHeight="1">
      <c r="A23" s="102"/>
      <c r="B23" s="106"/>
      <c r="C23" s="106"/>
      <c r="D23" s="106"/>
      <c r="E23" s="106"/>
      <c r="F23" s="106"/>
      <c r="G23" s="106"/>
      <c r="H23" s="106"/>
      <c r="I23" s="106"/>
      <c r="J23" s="107"/>
      <c r="K23" s="107"/>
      <c r="L23" s="107"/>
      <c r="M23" s="107"/>
      <c r="N23" s="107"/>
      <c r="O23" s="107"/>
      <c r="P23" s="107"/>
    </row>
    <row r="24" ht="15.0" customHeight="1">
      <c r="A24" s="108" t="s">
        <v>101</v>
      </c>
      <c r="B24" s="106"/>
      <c r="C24" s="106"/>
      <c r="D24" s="106"/>
      <c r="E24" s="106"/>
      <c r="F24" s="106"/>
      <c r="G24" s="106"/>
      <c r="H24" s="106"/>
      <c r="I24" s="106"/>
      <c r="J24" s="107"/>
      <c r="K24" s="107"/>
      <c r="L24" s="107"/>
      <c r="M24" s="107"/>
      <c r="N24" s="107"/>
      <c r="O24" s="107"/>
      <c r="P24" s="107"/>
    </row>
    <row r="25" ht="15.0" customHeight="1">
      <c r="A25" s="102" t="s">
        <v>102</v>
      </c>
      <c r="B25" s="114">
        <v>2.15114</v>
      </c>
      <c r="C25" s="114">
        <v>1.99095</v>
      </c>
      <c r="D25" s="114">
        <v>1.72163</v>
      </c>
      <c r="E25" s="114">
        <v>1.76505</v>
      </c>
      <c r="F25" s="114">
        <v>1.93645</v>
      </c>
      <c r="G25" s="114">
        <v>1.93645</v>
      </c>
      <c r="H25" s="114">
        <v>1.93645</v>
      </c>
      <c r="I25" s="114">
        <v>1.93645</v>
      </c>
      <c r="J25" s="107"/>
      <c r="K25" s="107"/>
      <c r="L25" s="107"/>
      <c r="M25" s="107"/>
      <c r="N25" s="107"/>
      <c r="O25" s="107"/>
      <c r="P25" s="107"/>
    </row>
    <row r="26" ht="15.0" customHeight="1">
      <c r="A26" s="102" t="s">
        <v>103</v>
      </c>
      <c r="B26" s="109">
        <f t="shared" ref="B26:I26" si="5">B22*B25</f>
        <v>45970.28299</v>
      </c>
      <c r="C26" s="109">
        <f t="shared" si="5"/>
        <v>50038.90283</v>
      </c>
      <c r="D26" s="109">
        <f t="shared" si="5"/>
        <v>45274.19181</v>
      </c>
      <c r="E26" s="109">
        <f t="shared" si="5"/>
        <v>41739.807</v>
      </c>
      <c r="F26" s="109">
        <f t="shared" si="5"/>
        <v>41253.88373</v>
      </c>
      <c r="G26" s="109">
        <f t="shared" si="5"/>
        <v>41253.88373</v>
      </c>
      <c r="H26" s="109">
        <f t="shared" si="5"/>
        <v>48669.14457</v>
      </c>
      <c r="I26" s="109">
        <f t="shared" si="5"/>
        <v>53238.96021</v>
      </c>
      <c r="J26" s="107"/>
      <c r="K26" s="107"/>
      <c r="L26" s="107"/>
      <c r="M26" s="107"/>
      <c r="N26" s="107"/>
      <c r="O26" s="107"/>
      <c r="P26" s="107"/>
    </row>
    <row r="27" ht="15.0" customHeight="1">
      <c r="A27" s="55" t="s">
        <v>104</v>
      </c>
      <c r="B27" s="53">
        <f>2.11*(1-0.173704447529312)</f>
        <v>1.743483616</v>
      </c>
      <c r="C27" s="114">
        <v>2.11</v>
      </c>
      <c r="D27" s="114">
        <v>2.11</v>
      </c>
      <c r="E27" s="114">
        <v>2.11</v>
      </c>
      <c r="F27" s="114">
        <v>2.11</v>
      </c>
      <c r="G27" s="114">
        <v>2.11</v>
      </c>
      <c r="H27" s="114">
        <v>2.11</v>
      </c>
      <c r="I27" s="114">
        <v>2.11</v>
      </c>
      <c r="J27" s="107"/>
      <c r="K27" s="107"/>
      <c r="L27" s="107"/>
      <c r="M27" s="107"/>
      <c r="N27" s="107"/>
      <c r="O27" s="107"/>
      <c r="P27" s="107"/>
    </row>
    <row r="28" ht="15.0" customHeight="1">
      <c r="A28" s="55" t="s">
        <v>105</v>
      </c>
      <c r="B28" s="115">
        <v>0.97</v>
      </c>
      <c r="C28" s="115">
        <v>0.97</v>
      </c>
      <c r="D28" s="115">
        <v>0.97</v>
      </c>
      <c r="E28" s="115">
        <v>0.97</v>
      </c>
      <c r="F28" s="115">
        <v>0.98</v>
      </c>
      <c r="G28" s="115">
        <v>0.97</v>
      </c>
      <c r="H28" s="115">
        <v>0.97</v>
      </c>
      <c r="I28" s="115">
        <v>0.97</v>
      </c>
      <c r="J28" s="31"/>
      <c r="K28" s="31"/>
      <c r="L28" s="31"/>
      <c r="M28" s="31"/>
      <c r="N28" s="31"/>
      <c r="O28" s="31"/>
      <c r="P28" s="31"/>
    </row>
    <row r="29" ht="15.0" customHeight="1">
      <c r="A29" s="116" t="s">
        <v>106</v>
      </c>
      <c r="B29" s="117">
        <f>1-29.74486%</f>
        <v>0.7025514</v>
      </c>
      <c r="C29" s="117">
        <v>1.0</v>
      </c>
      <c r="D29" s="117">
        <v>1.0</v>
      </c>
      <c r="E29" s="117">
        <v>1.0</v>
      </c>
      <c r="F29" s="117">
        <f>1-35.0995389911857%</f>
        <v>0.6490046101</v>
      </c>
      <c r="G29" s="117">
        <v>1.0</v>
      </c>
      <c r="H29" s="117">
        <v>1.0</v>
      </c>
      <c r="I29" s="117">
        <f>1-36.86111%</f>
        <v>0.6313889</v>
      </c>
      <c r="J29" s="89"/>
      <c r="K29" s="89"/>
      <c r="L29" s="89"/>
      <c r="M29" s="89"/>
      <c r="N29" s="89"/>
      <c r="O29" s="89"/>
      <c r="P29" s="89"/>
    </row>
    <row r="30" ht="15.0" customHeight="1">
      <c r="A30" s="55" t="s">
        <v>107</v>
      </c>
      <c r="B30" s="118">
        <f t="shared" ref="B30:I30" si="6">B26*B27*B28*B29</f>
        <v>54619.14349</v>
      </c>
      <c r="C30" s="118">
        <f t="shared" si="6"/>
        <v>102414.6224</v>
      </c>
      <c r="D30" s="118">
        <f t="shared" si="6"/>
        <v>92662.68838</v>
      </c>
      <c r="E30" s="118">
        <f t="shared" si="6"/>
        <v>85428.86298</v>
      </c>
      <c r="F30" s="118">
        <f t="shared" si="6"/>
        <v>55363.19599</v>
      </c>
      <c r="G30" s="118">
        <f t="shared" si="6"/>
        <v>84434.32383</v>
      </c>
      <c r="H30" s="118">
        <f t="shared" si="6"/>
        <v>99611.1382</v>
      </c>
      <c r="I30" s="118">
        <f t="shared" si="6"/>
        <v>68798.77366</v>
      </c>
      <c r="J30" s="119"/>
      <c r="K30" s="119"/>
      <c r="L30" s="119"/>
      <c r="M30" s="119"/>
      <c r="N30" s="119"/>
      <c r="O30" s="119"/>
      <c r="P30" s="119"/>
    </row>
    <row r="31" ht="15.0" customHeight="1">
      <c r="A31" s="77"/>
      <c r="B31" s="89"/>
      <c r="C31" s="120"/>
      <c r="D31" s="120"/>
      <c r="E31" s="120"/>
      <c r="F31" s="120"/>
      <c r="G31" s="120"/>
      <c r="H31" s="120"/>
      <c r="I31" s="120"/>
      <c r="J31" s="120"/>
      <c r="K31" s="120"/>
      <c r="L31" s="120"/>
      <c r="M31" s="120"/>
      <c r="N31" s="120"/>
      <c r="O31" s="120"/>
      <c r="P31" s="120"/>
    </row>
    <row r="32" ht="15.0" customHeight="1">
      <c r="A32" s="121" t="s">
        <v>108</v>
      </c>
      <c r="B32" s="122"/>
      <c r="C32" s="123"/>
      <c r="D32" s="123"/>
      <c r="E32" s="123"/>
      <c r="F32" s="123"/>
      <c r="G32" s="123"/>
      <c r="H32" s="123"/>
      <c r="I32" s="123"/>
      <c r="J32" s="123"/>
      <c r="K32" s="123"/>
      <c r="L32" s="123"/>
      <c r="M32" s="123"/>
      <c r="N32" s="123"/>
      <c r="O32" s="123"/>
      <c r="P32" s="123"/>
    </row>
    <row r="33" ht="15.0" customHeight="1">
      <c r="A33" s="116"/>
      <c r="B33" s="124"/>
      <c r="C33" s="125"/>
      <c r="D33" s="117"/>
      <c r="E33" s="117"/>
      <c r="F33" s="117"/>
      <c r="G33" s="117"/>
      <c r="H33" s="117"/>
      <c r="I33" s="117"/>
      <c r="J33" s="117"/>
      <c r="K33" s="117"/>
      <c r="L33" s="117"/>
      <c r="M33" s="117"/>
      <c r="N33" s="117"/>
      <c r="O33" s="117"/>
      <c r="P33" s="117"/>
    </row>
    <row r="34" ht="15.0" customHeight="1">
      <c r="A34" s="126" t="s">
        <v>109</v>
      </c>
      <c r="B34" s="127">
        <f>13629465.1519444/87670443.7766788</f>
        <v>0.1554624862</v>
      </c>
      <c r="C34" s="92">
        <f>2143394.87689442/12643148.9336671</f>
        <v>0.1695301454</v>
      </c>
      <c r="D34" s="92">
        <f>1114855.20710404/7921526.58517355</f>
        <v>0.1407374191</v>
      </c>
      <c r="E34" s="92">
        <f>7089749.81596238/41117856.2413241</f>
        <v>0.172425084</v>
      </c>
      <c r="F34" s="127">
        <f t="shared" ref="F34:G34" si="7">33521637.830718/214823785.7115</f>
        <v>0.1560424872</v>
      </c>
      <c r="G34" s="127">
        <f t="shared" si="7"/>
        <v>0.1560424872</v>
      </c>
      <c r="H34" s="127">
        <f>3332666.56158174/16398859.7420741</f>
        <v>0.2032255056</v>
      </c>
      <c r="I34" s="127">
        <f>1516375.15541563/9282963.04697691</f>
        <v>0.1633503384</v>
      </c>
      <c r="J34" s="92"/>
      <c r="K34" s="92"/>
      <c r="L34" s="92"/>
      <c r="M34" s="92"/>
      <c r="N34" s="92"/>
      <c r="O34" s="92"/>
      <c r="P34" s="92"/>
    </row>
    <row r="35" ht="15.0" customHeight="1">
      <c r="A35" s="126" t="s">
        <v>110</v>
      </c>
      <c r="B35" s="127">
        <f>12763832.6557654/87670443.7766788</f>
        <v>0.1455887766</v>
      </c>
      <c r="C35" s="92">
        <f>1933404.91137462/12643148.9336671</f>
        <v>0.1529211529</v>
      </c>
      <c r="D35" s="92">
        <f>1074824.79732476/7921526.58517355</f>
        <v>0.1356840485</v>
      </c>
      <c r="E35" s="92">
        <f>6314355.69254718/41117856.2413241</f>
        <v>0.1535672399</v>
      </c>
      <c r="F35" s="127">
        <f t="shared" ref="F35:G35" si="8">31315804.4739165/214823785.7115</f>
        <v>0.1457743814</v>
      </c>
      <c r="G35" s="127">
        <f t="shared" si="8"/>
        <v>0.1457743814</v>
      </c>
      <c r="H35" s="127">
        <f>2751338.52652141/16398859.7420741</f>
        <v>0.1677762094</v>
      </c>
      <c r="I35" s="127">
        <f>1342387.97845529/9282963.04697691</f>
        <v>0.1446077046</v>
      </c>
      <c r="J35" s="92"/>
      <c r="K35" s="92"/>
      <c r="L35" s="92"/>
      <c r="M35" s="92"/>
      <c r="N35" s="92"/>
      <c r="O35" s="92"/>
      <c r="P35" s="92"/>
    </row>
    <row r="36" ht="15.0" customHeight="1">
      <c r="A36" s="126" t="s">
        <v>111</v>
      </c>
      <c r="B36" s="127">
        <f>11301847.5012717/87670443.7766788</f>
        <v>0.1289128584</v>
      </c>
      <c r="C36" s="92">
        <f>1636389.58910505/12643148.9336671</f>
        <v>0.1294289577</v>
      </c>
      <c r="D36" s="92">
        <f>957955.990123928/7921526.58517355</f>
        <v>0.1209307297</v>
      </c>
      <c r="E36" s="92">
        <f>5673366.42359162/41117856.2413241</f>
        <v>0.1379781667</v>
      </c>
      <c r="F36" s="127">
        <f t="shared" ref="F36:G36" si="9">28910632.0515107/214823785.7115</f>
        <v>0.1345783567</v>
      </c>
      <c r="G36" s="127">
        <f t="shared" si="9"/>
        <v>0.1345783567</v>
      </c>
      <c r="H36" s="127">
        <f>2226082.47505384/16398859.7420741</f>
        <v>0.1357461744</v>
      </c>
      <c r="I36" s="127">
        <f>1309739.90536986/9282963.04697691</f>
        <v>0.1410907163</v>
      </c>
      <c r="J36" s="92"/>
      <c r="K36" s="92"/>
      <c r="L36" s="92"/>
      <c r="M36" s="92"/>
      <c r="N36" s="92"/>
      <c r="O36" s="92"/>
      <c r="P36" s="92"/>
    </row>
    <row r="37" ht="15.0" customHeight="1">
      <c r="A37" s="126" t="s">
        <v>112</v>
      </c>
      <c r="B37" s="127">
        <f>24065680.1570372/87670443.7766788</f>
        <v>0.274501635</v>
      </c>
      <c r="C37" s="92">
        <f>3569794.50047968/12643148.9336671</f>
        <v>0.2823501107</v>
      </c>
      <c r="D37" s="92">
        <f>2032780.78744869/7921526.58517355</f>
        <v>0.2566147782</v>
      </c>
      <c r="E37" s="92">
        <f>11987722.1161388/41117856.2413241</f>
        <v>0.2915454066</v>
      </c>
      <c r="F37" s="127">
        <f t="shared" ref="F37:G37" si="10">60226436.5254272/214823785.7115</f>
        <v>0.2803527381</v>
      </c>
      <c r="G37" s="127">
        <f t="shared" si="10"/>
        <v>0.2803527381</v>
      </c>
      <c r="H37" s="127">
        <f>4977421.00157526/16398859.7420741</f>
        <v>0.3035223839</v>
      </c>
      <c r="I37" s="127">
        <f>2652127.88382515/9282963.04697691</f>
        <v>0.2856984209</v>
      </c>
      <c r="J37" s="92"/>
      <c r="K37" s="92"/>
      <c r="L37" s="92"/>
      <c r="M37" s="92"/>
      <c r="N37" s="92"/>
      <c r="O37" s="92"/>
      <c r="P37" s="92"/>
    </row>
    <row r="38" ht="15.0" customHeight="1">
      <c r="A38" s="49"/>
      <c r="B38" s="118"/>
      <c r="C38" s="128"/>
      <c r="D38" s="119"/>
      <c r="E38" s="119"/>
      <c r="F38" s="119"/>
      <c r="G38" s="119"/>
      <c r="H38" s="119"/>
      <c r="I38" s="119"/>
      <c r="J38" s="119"/>
      <c r="K38" s="119"/>
      <c r="L38" s="119"/>
      <c r="M38" s="119"/>
      <c r="N38" s="119"/>
      <c r="O38" s="119"/>
      <c r="P38" s="119"/>
    </row>
    <row r="39" ht="15.0" customHeight="1">
      <c r="A39" s="129" t="s">
        <v>113</v>
      </c>
      <c r="B39" s="118">
        <f t="shared" ref="B39:I39" si="11">B30*B34</f>
        <v>8491.227839</v>
      </c>
      <c r="C39" s="118">
        <f t="shared" si="11"/>
        <v>17362.36583</v>
      </c>
      <c r="D39" s="118">
        <f t="shared" si="11"/>
        <v>13041.10761</v>
      </c>
      <c r="E39" s="118">
        <f t="shared" si="11"/>
        <v>14730.07887</v>
      </c>
      <c r="F39" s="118">
        <f t="shared" si="11"/>
        <v>8639.010801</v>
      </c>
      <c r="G39" s="118">
        <f t="shared" si="11"/>
        <v>13175.3419</v>
      </c>
      <c r="H39" s="118">
        <f t="shared" si="11"/>
        <v>20243.52392</v>
      </c>
      <c r="I39" s="118">
        <f t="shared" si="11"/>
        <v>11238.30296</v>
      </c>
      <c r="J39" s="119"/>
      <c r="K39" s="119"/>
      <c r="L39" s="119"/>
      <c r="M39" s="119"/>
      <c r="N39" s="119"/>
      <c r="O39" s="119"/>
      <c r="P39" s="119"/>
    </row>
    <row r="40" ht="15.0" customHeight="1">
      <c r="A40" s="49" t="s">
        <v>114</v>
      </c>
      <c r="B40" s="118">
        <f t="shared" ref="B40:I40" si="12">B30*B37</f>
        <v>14993.04419</v>
      </c>
      <c r="C40" s="118">
        <f t="shared" si="12"/>
        <v>28916.77997</v>
      </c>
      <c r="D40" s="118">
        <f t="shared" si="12"/>
        <v>23778.61522</v>
      </c>
      <c r="E40" s="118">
        <f t="shared" si="12"/>
        <v>24906.39259</v>
      </c>
      <c r="F40" s="118">
        <f t="shared" si="12"/>
        <v>15521.22358</v>
      </c>
      <c r="G40" s="118">
        <f t="shared" si="12"/>
        <v>23671.39387</v>
      </c>
      <c r="H40" s="118">
        <f t="shared" si="12"/>
        <v>30234.21012</v>
      </c>
      <c r="I40" s="118">
        <f t="shared" si="12"/>
        <v>19655.70099</v>
      </c>
      <c r="J40" s="119"/>
      <c r="K40" s="119"/>
      <c r="L40" s="119"/>
      <c r="M40" s="119"/>
      <c r="N40" s="119"/>
      <c r="O40" s="119"/>
      <c r="P40" s="119"/>
    </row>
    <row r="41" ht="15.0" customHeight="1">
      <c r="A41" s="129" t="s">
        <v>115</v>
      </c>
      <c r="B41" s="118">
        <f t="shared" ref="B41:I41" si="13">B40+B39</f>
        <v>23484.27203</v>
      </c>
      <c r="C41" s="118">
        <f t="shared" si="13"/>
        <v>46279.1458</v>
      </c>
      <c r="D41" s="118">
        <f t="shared" si="13"/>
        <v>36819.72284</v>
      </c>
      <c r="E41" s="118">
        <f t="shared" si="13"/>
        <v>39636.47147</v>
      </c>
      <c r="F41" s="118">
        <f t="shared" si="13"/>
        <v>24160.23438</v>
      </c>
      <c r="G41" s="118">
        <f t="shared" si="13"/>
        <v>36846.73577</v>
      </c>
      <c r="H41" s="118">
        <f t="shared" si="13"/>
        <v>50477.73404</v>
      </c>
      <c r="I41" s="118">
        <f t="shared" si="13"/>
        <v>30894.00396</v>
      </c>
      <c r="J41" s="119"/>
      <c r="K41" s="119"/>
      <c r="L41" s="119"/>
      <c r="M41" s="119"/>
      <c r="N41" s="119"/>
      <c r="O41" s="119"/>
      <c r="P41" s="119"/>
    </row>
    <row r="42" ht="15.0" customHeight="1">
      <c r="A42" s="130"/>
      <c r="B42" s="131"/>
      <c r="C42" s="132"/>
      <c r="D42" s="132"/>
      <c r="E42" s="132"/>
      <c r="F42" s="132"/>
      <c r="G42" s="132"/>
      <c r="H42" s="132"/>
      <c r="I42" s="132"/>
      <c r="J42" s="132"/>
      <c r="K42" s="132"/>
      <c r="L42" s="132"/>
      <c r="M42" s="132"/>
      <c r="N42" s="132"/>
      <c r="O42" s="132"/>
      <c r="P42" s="132"/>
    </row>
    <row r="43" ht="15.0" customHeight="1">
      <c r="A43" s="86" t="s">
        <v>116</v>
      </c>
      <c r="B43" s="87"/>
      <c r="C43" s="88"/>
      <c r="D43" s="88"/>
      <c r="E43" s="88"/>
      <c r="F43" s="88"/>
      <c r="G43" s="88"/>
      <c r="H43" s="88"/>
      <c r="I43" s="88"/>
      <c r="J43" s="88"/>
      <c r="K43" s="88"/>
      <c r="L43" s="88"/>
      <c r="M43" s="88"/>
      <c r="N43" s="88"/>
      <c r="O43" s="88"/>
      <c r="P43" s="88"/>
    </row>
    <row r="44" ht="15.0" customHeight="1">
      <c r="A44" s="133"/>
      <c r="B44" s="134"/>
      <c r="C44" s="135"/>
      <c r="D44" s="135"/>
      <c r="E44" s="135"/>
      <c r="F44" s="135"/>
      <c r="G44" s="135"/>
      <c r="H44" s="135"/>
      <c r="I44" s="135"/>
      <c r="J44" s="135"/>
      <c r="K44" s="135"/>
      <c r="L44" s="135"/>
      <c r="M44" s="135"/>
      <c r="N44" s="135"/>
      <c r="O44" s="135"/>
      <c r="P44" s="135"/>
    </row>
    <row r="45" ht="15.0" customHeight="1">
      <c r="A45" s="136" t="s">
        <v>117</v>
      </c>
      <c r="B45" s="89"/>
      <c r="C45" s="89"/>
      <c r="D45" s="89"/>
      <c r="E45" s="89"/>
      <c r="F45" s="89"/>
      <c r="G45" s="89"/>
      <c r="H45" s="89"/>
      <c r="I45" s="89"/>
      <c r="J45" s="137"/>
      <c r="K45" s="137"/>
      <c r="L45" s="137"/>
      <c r="M45" s="137"/>
      <c r="N45" s="137"/>
      <c r="O45" s="137"/>
      <c r="P45" s="137"/>
    </row>
    <row r="46" ht="15.0" customHeight="1">
      <c r="A46" s="134" t="s">
        <v>118</v>
      </c>
      <c r="B46" s="127">
        <v>0.45</v>
      </c>
      <c r="C46" s="127">
        <v>0.45</v>
      </c>
      <c r="D46" s="127">
        <v>0.45</v>
      </c>
      <c r="E46" s="127">
        <v>0.45</v>
      </c>
      <c r="F46" s="127">
        <v>0.45</v>
      </c>
      <c r="G46" s="127">
        <v>0.45</v>
      </c>
      <c r="H46" s="127">
        <v>0.45</v>
      </c>
      <c r="I46" s="127">
        <v>0.45</v>
      </c>
      <c r="J46" s="137"/>
      <c r="K46" s="137"/>
      <c r="L46" s="137"/>
      <c r="M46" s="137"/>
      <c r="N46" s="137"/>
      <c r="O46" s="137"/>
      <c r="P46" s="137"/>
    </row>
    <row r="47" ht="15.0" customHeight="1">
      <c r="A47" s="138" t="s">
        <v>119</v>
      </c>
      <c r="B47" s="117">
        <f t="shared" ref="B47:I47" si="14">B46/B19</f>
        <v>0.6428571429</v>
      </c>
      <c r="C47" s="117">
        <f t="shared" si="14"/>
        <v>0.6428571429</v>
      </c>
      <c r="D47" s="117">
        <f t="shared" si="14"/>
        <v>0.6428571429</v>
      </c>
      <c r="E47" s="117">
        <f t="shared" si="14"/>
        <v>0.6428571429</v>
      </c>
      <c r="F47" s="117">
        <f t="shared" si="14"/>
        <v>0.6428571429</v>
      </c>
      <c r="G47" s="117">
        <f t="shared" si="14"/>
        <v>0.6428571429</v>
      </c>
      <c r="H47" s="117">
        <f t="shared" si="14"/>
        <v>0.6428571429</v>
      </c>
      <c r="I47" s="117">
        <f t="shared" si="14"/>
        <v>0.6428571429</v>
      </c>
      <c r="J47" s="137"/>
      <c r="K47" s="137"/>
      <c r="L47" s="137"/>
      <c r="M47" s="137"/>
      <c r="N47" s="137"/>
      <c r="O47" s="137"/>
      <c r="P47" s="137"/>
    </row>
    <row r="48" ht="15.0" customHeight="1">
      <c r="A48" s="138" t="s">
        <v>120</v>
      </c>
      <c r="B48" s="127">
        <v>0.95</v>
      </c>
      <c r="C48" s="127">
        <v>0.95</v>
      </c>
      <c r="D48" s="127">
        <v>0.95</v>
      </c>
      <c r="E48" s="127">
        <v>0.95</v>
      </c>
      <c r="F48" s="127">
        <v>0.95</v>
      </c>
      <c r="G48" s="127">
        <v>0.95</v>
      </c>
      <c r="H48" s="127">
        <v>0.95</v>
      </c>
      <c r="I48" s="127">
        <v>0.95</v>
      </c>
      <c r="J48" s="137"/>
      <c r="K48" s="137"/>
      <c r="L48" s="137"/>
      <c r="M48" s="137"/>
      <c r="N48" s="137"/>
      <c r="O48" s="137"/>
      <c r="P48" s="137"/>
    </row>
    <row r="49" ht="15.0" customHeight="1">
      <c r="A49" s="138" t="s">
        <v>121</v>
      </c>
      <c r="B49" s="127">
        <v>0.95</v>
      </c>
      <c r="C49" s="127">
        <v>0.95</v>
      </c>
      <c r="D49" s="127">
        <v>0.95</v>
      </c>
      <c r="E49" s="127">
        <v>0.95</v>
      </c>
      <c r="F49" s="127">
        <v>0.95</v>
      </c>
      <c r="G49" s="127">
        <v>0.95</v>
      </c>
      <c r="H49" s="127">
        <v>0.95</v>
      </c>
      <c r="I49" s="127">
        <v>0.95</v>
      </c>
      <c r="J49" s="137"/>
      <c r="K49" s="137"/>
      <c r="L49" s="137"/>
      <c r="M49" s="137"/>
      <c r="N49" s="137"/>
      <c r="O49" s="137"/>
      <c r="P49" s="137"/>
    </row>
    <row r="50" ht="15.0" customHeight="1">
      <c r="A50" s="138" t="s">
        <v>122</v>
      </c>
      <c r="B50" s="127">
        <v>0.0376862</v>
      </c>
      <c r="C50" s="92">
        <v>0.2070199</v>
      </c>
      <c r="D50" s="127">
        <v>0.32904759828434</v>
      </c>
      <c r="E50" s="127">
        <v>0.11499111439426</v>
      </c>
      <c r="F50" s="127">
        <v>0.13530441802681</v>
      </c>
      <c r="G50" s="127">
        <v>0.13530441802681</v>
      </c>
      <c r="H50" s="92">
        <v>0.585957</v>
      </c>
      <c r="I50" s="92">
        <v>0.3067736</v>
      </c>
      <c r="J50" s="137"/>
      <c r="K50" s="137"/>
      <c r="L50" s="137"/>
      <c r="M50" s="137"/>
      <c r="N50" s="137"/>
      <c r="O50" s="137"/>
      <c r="P50" s="137"/>
    </row>
    <row r="51" ht="15.0" customHeight="1">
      <c r="A51" s="139" t="s">
        <v>123</v>
      </c>
      <c r="B51" s="127">
        <v>1.0</v>
      </c>
      <c r="C51" s="127">
        <v>1.0</v>
      </c>
      <c r="D51" s="127">
        <v>1.0</v>
      </c>
      <c r="E51" s="127">
        <v>1.0</v>
      </c>
      <c r="F51" s="127">
        <v>1.0</v>
      </c>
      <c r="G51" s="127">
        <v>1.0</v>
      </c>
      <c r="H51" s="127">
        <v>1.0</v>
      </c>
      <c r="I51" s="127">
        <v>1.0</v>
      </c>
      <c r="J51" s="137"/>
      <c r="K51" s="137"/>
      <c r="L51" s="137"/>
      <c r="M51" s="137"/>
      <c r="N51" s="137"/>
      <c r="O51" s="137"/>
      <c r="P51" s="137"/>
    </row>
    <row r="52" ht="15.0" customHeight="1">
      <c r="A52" s="139" t="s">
        <v>124</v>
      </c>
      <c r="B52" s="117">
        <f t="shared" ref="B52:I52" si="15">B47*B48*B49*(1-B50)*B51</f>
        <v>0.5583138458</v>
      </c>
      <c r="C52" s="117">
        <f t="shared" si="15"/>
        <v>0.4600700616</v>
      </c>
      <c r="D52" s="117">
        <f t="shared" si="15"/>
        <v>0.3892722059</v>
      </c>
      <c r="E52" s="117">
        <f t="shared" si="15"/>
        <v>0.513463191</v>
      </c>
      <c r="F52" s="117">
        <f t="shared" si="15"/>
        <v>0.5016778475</v>
      </c>
      <c r="G52" s="117">
        <f t="shared" si="15"/>
        <v>0.5016778475</v>
      </c>
      <c r="H52" s="117">
        <f t="shared" si="15"/>
        <v>0.2402188763</v>
      </c>
      <c r="I52" s="117">
        <f t="shared" si="15"/>
        <v>0.4021951024</v>
      </c>
      <c r="J52" s="137"/>
      <c r="K52" s="137"/>
      <c r="L52" s="137"/>
      <c r="M52" s="137"/>
      <c r="N52" s="137"/>
      <c r="O52" s="137"/>
      <c r="P52" s="137"/>
    </row>
    <row r="53" ht="15.0" customHeight="1">
      <c r="A53" s="140"/>
      <c r="B53" s="141"/>
      <c r="C53" s="141"/>
      <c r="D53" s="141"/>
      <c r="E53" s="141"/>
      <c r="F53" s="141"/>
      <c r="G53" s="141"/>
      <c r="H53" s="141"/>
      <c r="I53" s="141"/>
      <c r="J53" s="137"/>
      <c r="K53" s="137"/>
      <c r="L53" s="137"/>
      <c r="M53" s="137"/>
      <c r="N53" s="137"/>
      <c r="O53" s="137"/>
      <c r="P53" s="137"/>
    </row>
    <row r="54" ht="15.0" customHeight="1">
      <c r="A54" s="136" t="s">
        <v>125</v>
      </c>
      <c r="B54" s="142"/>
      <c r="C54" s="142"/>
      <c r="D54" s="142"/>
      <c r="E54" s="142"/>
      <c r="F54" s="142"/>
      <c r="G54" s="142"/>
      <c r="H54" s="142"/>
      <c r="I54" s="142"/>
      <c r="J54" s="137"/>
      <c r="K54" s="137"/>
      <c r="L54" s="137"/>
      <c r="M54" s="137"/>
      <c r="N54" s="137"/>
      <c r="O54" s="137"/>
      <c r="P54" s="137"/>
    </row>
    <row r="55" ht="15.0" customHeight="1">
      <c r="A55" s="139" t="s">
        <v>126</v>
      </c>
      <c r="B55" s="114">
        <v>3.05645</v>
      </c>
      <c r="C55" s="114">
        <v>3.67391</v>
      </c>
      <c r="D55" s="114">
        <v>1.63914</v>
      </c>
      <c r="E55" s="114">
        <v>2.35048</v>
      </c>
      <c r="F55" s="114">
        <v>2.90653</v>
      </c>
      <c r="G55" s="114">
        <v>2.70483</v>
      </c>
      <c r="H55" s="114">
        <v>1.31903</v>
      </c>
      <c r="I55" s="114">
        <v>2.51618</v>
      </c>
      <c r="J55" s="137"/>
      <c r="K55" s="137"/>
      <c r="L55" s="137"/>
      <c r="M55" s="137"/>
      <c r="N55" s="137"/>
      <c r="O55" s="137"/>
      <c r="P55" s="137"/>
    </row>
    <row r="56" ht="15.0" customHeight="1">
      <c r="A56" s="139" t="s">
        <v>127</v>
      </c>
      <c r="B56" s="141">
        <v>0.75</v>
      </c>
      <c r="C56" s="141">
        <v>0.75</v>
      </c>
      <c r="D56" s="141">
        <v>0.75</v>
      </c>
      <c r="E56" s="141">
        <v>0.75</v>
      </c>
      <c r="F56" s="141">
        <v>0.75</v>
      </c>
      <c r="G56" s="141">
        <v>0.75</v>
      </c>
      <c r="H56" s="141">
        <v>0.75</v>
      </c>
      <c r="I56" s="141">
        <v>0.75</v>
      </c>
      <c r="J56" s="137"/>
      <c r="K56" s="137"/>
      <c r="L56" s="137"/>
      <c r="M56" s="137"/>
      <c r="N56" s="137"/>
      <c r="O56" s="137"/>
      <c r="P56" s="137"/>
    </row>
    <row r="57" ht="15.0" customHeight="1">
      <c r="A57" s="139" t="s">
        <v>128</v>
      </c>
      <c r="B57" s="143">
        <f t="shared" ref="B57:I57" si="16">B55*(1+B56)</f>
        <v>5.3487875</v>
      </c>
      <c r="C57" s="143">
        <f t="shared" si="16"/>
        <v>6.4293425</v>
      </c>
      <c r="D57" s="143">
        <f t="shared" si="16"/>
        <v>2.868495</v>
      </c>
      <c r="E57" s="143">
        <f t="shared" si="16"/>
        <v>4.11334</v>
      </c>
      <c r="F57" s="143">
        <f t="shared" si="16"/>
        <v>5.0864275</v>
      </c>
      <c r="G57" s="143">
        <f t="shared" si="16"/>
        <v>4.7334525</v>
      </c>
      <c r="H57" s="143">
        <f t="shared" si="16"/>
        <v>2.3083025</v>
      </c>
      <c r="I57" s="143">
        <f t="shared" si="16"/>
        <v>4.403315</v>
      </c>
      <c r="J57" s="137"/>
      <c r="K57" s="137"/>
      <c r="L57" s="137"/>
      <c r="M57" s="137"/>
      <c r="N57" s="137"/>
      <c r="O57" s="137"/>
      <c r="P57" s="137"/>
    </row>
    <row r="58" ht="15.0" customHeight="1">
      <c r="A58" s="144" t="s">
        <v>129</v>
      </c>
      <c r="B58" s="114">
        <v>0.0</v>
      </c>
      <c r="C58" s="114">
        <v>0.0</v>
      </c>
      <c r="D58" s="114">
        <v>0.550842062330537</v>
      </c>
      <c r="E58" s="114">
        <v>0.0</v>
      </c>
      <c r="F58" s="145">
        <v>1.15929</v>
      </c>
      <c r="G58" s="145">
        <v>0.51706</v>
      </c>
      <c r="H58" s="114">
        <v>0.748635142396205</v>
      </c>
      <c r="I58" s="114">
        <v>0.39662</v>
      </c>
      <c r="J58" s="137"/>
      <c r="K58" s="137"/>
      <c r="L58" s="137"/>
      <c r="M58" s="137"/>
      <c r="N58" s="137"/>
      <c r="O58" s="137"/>
      <c r="P58" s="137"/>
    </row>
    <row r="59" ht="15.0" customHeight="1">
      <c r="A59" s="139" t="s">
        <v>130</v>
      </c>
      <c r="B59" s="143">
        <f t="shared" ref="B59:I59" si="17">B57-B58</f>
        <v>5.3487875</v>
      </c>
      <c r="C59" s="143">
        <f t="shared" si="17"/>
        <v>6.4293425</v>
      </c>
      <c r="D59" s="143">
        <f t="shared" si="17"/>
        <v>2.317652938</v>
      </c>
      <c r="E59" s="143">
        <f t="shared" si="17"/>
        <v>4.11334</v>
      </c>
      <c r="F59" s="143">
        <f t="shared" si="17"/>
        <v>3.9271375</v>
      </c>
      <c r="G59" s="143">
        <f t="shared" si="17"/>
        <v>4.2163925</v>
      </c>
      <c r="H59" s="143">
        <f t="shared" si="17"/>
        <v>1.559667358</v>
      </c>
      <c r="I59" s="143">
        <f t="shared" si="17"/>
        <v>4.006695</v>
      </c>
      <c r="J59" s="137"/>
      <c r="K59" s="137"/>
      <c r="L59" s="137"/>
      <c r="M59" s="137"/>
      <c r="N59" s="137"/>
      <c r="O59" s="137"/>
      <c r="P59" s="137"/>
    </row>
    <row r="60" ht="15.0" customHeight="1">
      <c r="A60" s="139" t="s">
        <v>131</v>
      </c>
      <c r="B60" s="146">
        <v>0.591</v>
      </c>
      <c r="C60" s="146">
        <v>0.586</v>
      </c>
      <c r="D60" s="146">
        <v>0.795</v>
      </c>
      <c r="E60" s="146">
        <v>0.704</v>
      </c>
      <c r="F60" s="146">
        <v>0.4709335</v>
      </c>
      <c r="G60" s="146">
        <v>0.5097281</v>
      </c>
      <c r="H60" s="146">
        <v>0.313</v>
      </c>
      <c r="I60" s="146">
        <v>0.494</v>
      </c>
      <c r="J60" s="137"/>
      <c r="K60" s="137"/>
      <c r="L60" s="137"/>
      <c r="M60" s="137"/>
      <c r="N60" s="137"/>
      <c r="O60" s="137"/>
      <c r="P60" s="137"/>
    </row>
    <row r="61" ht="15.0" customHeight="1">
      <c r="A61" s="139" t="s">
        <v>132</v>
      </c>
      <c r="B61" s="143">
        <f t="shared" ref="B61:I61" si="18">B59/((1-B52)*B60+(1-B60))</f>
        <v>7.982829835</v>
      </c>
      <c r="C61" s="143">
        <f t="shared" si="18"/>
        <v>8.802507936</v>
      </c>
      <c r="D61" s="143">
        <f t="shared" si="18"/>
        <v>3.356346066</v>
      </c>
      <c r="E61" s="143">
        <f t="shared" si="18"/>
        <v>6.441971548</v>
      </c>
      <c r="F61" s="143">
        <f t="shared" si="18"/>
        <v>5.141961379</v>
      </c>
      <c r="G61" s="143">
        <f t="shared" si="18"/>
        <v>5.665056849</v>
      </c>
      <c r="H61" s="143">
        <f t="shared" si="18"/>
        <v>1.686470564</v>
      </c>
      <c r="I61" s="143">
        <f t="shared" si="18"/>
        <v>5.000145889</v>
      </c>
      <c r="J61" s="137"/>
      <c r="K61" s="137"/>
      <c r="L61" s="137"/>
      <c r="M61" s="137"/>
      <c r="N61" s="137"/>
      <c r="O61" s="137"/>
      <c r="P61" s="137"/>
    </row>
    <row r="62" ht="15.0" customHeight="1">
      <c r="A62" s="147"/>
      <c r="B62" s="134"/>
      <c r="C62" s="148"/>
      <c r="D62" s="148"/>
      <c r="E62" s="148"/>
      <c r="F62" s="148"/>
      <c r="G62" s="148"/>
      <c r="H62" s="148"/>
      <c r="I62" s="148"/>
      <c r="J62" s="148"/>
      <c r="K62" s="148"/>
      <c r="L62" s="148"/>
      <c r="M62" s="148"/>
      <c r="N62" s="148"/>
      <c r="O62" s="148"/>
      <c r="P62" s="148"/>
    </row>
    <row r="63" ht="15.0" customHeight="1">
      <c r="A63" s="149" t="s">
        <v>133</v>
      </c>
      <c r="B63" s="150">
        <f t="shared" ref="B63:I63" si="19">B52*B61</f>
        <v>4.456924425</v>
      </c>
      <c r="C63" s="150">
        <f t="shared" si="19"/>
        <v>4.049770368</v>
      </c>
      <c r="D63" s="150">
        <f t="shared" si="19"/>
        <v>1.306532237</v>
      </c>
      <c r="E63" s="150">
        <f t="shared" si="19"/>
        <v>3.307715267</v>
      </c>
      <c r="F63" s="150">
        <f t="shared" si="19"/>
        <v>2.579608116</v>
      </c>
      <c r="G63" s="150">
        <f t="shared" si="19"/>
        <v>2.842033526</v>
      </c>
      <c r="H63" s="150">
        <f t="shared" si="19"/>
        <v>0.4051220636</v>
      </c>
      <c r="I63" s="150">
        <f t="shared" si="19"/>
        <v>2.011034188</v>
      </c>
      <c r="J63" s="150"/>
      <c r="K63" s="150"/>
      <c r="L63" s="150"/>
      <c r="M63" s="150"/>
      <c r="N63" s="150"/>
      <c r="O63" s="150"/>
      <c r="P63" s="150"/>
    </row>
    <row r="64" ht="15.0" customHeight="1">
      <c r="B64" s="151"/>
    </row>
    <row r="65" ht="15.0" customHeight="1">
      <c r="A65" s="152" t="s">
        <v>134</v>
      </c>
      <c r="B65" s="153">
        <f t="shared" ref="B65:I65" si="20">(B39/1000)*B63</f>
        <v>37.84476076</v>
      </c>
      <c r="C65" s="153">
        <f t="shared" si="20"/>
        <v>70.31359466</v>
      </c>
      <c r="D65" s="153">
        <f t="shared" si="20"/>
        <v>17.0386275</v>
      </c>
      <c r="E65" s="153">
        <f t="shared" si="20"/>
        <v>48.72290678</v>
      </c>
      <c r="F65" s="153">
        <f t="shared" si="20"/>
        <v>22.28526238</v>
      </c>
      <c r="G65" s="153">
        <f t="shared" si="20"/>
        <v>37.44476338</v>
      </c>
      <c r="H65" s="153">
        <f t="shared" si="20"/>
        <v>8.201098184</v>
      </c>
      <c r="I65" s="153">
        <f t="shared" si="20"/>
        <v>22.60061147</v>
      </c>
      <c r="J65" s="153"/>
      <c r="K65" s="153"/>
      <c r="L65" s="153"/>
      <c r="M65" s="153"/>
      <c r="N65" s="153"/>
      <c r="O65" s="153"/>
      <c r="P65" s="153"/>
    </row>
    <row r="66" ht="15.0" customHeight="1">
      <c r="A66" s="85"/>
      <c r="B66" s="84"/>
      <c r="C66" s="154"/>
      <c r="D66" s="154"/>
      <c r="E66" s="154"/>
      <c r="F66" s="154"/>
      <c r="G66" s="154"/>
      <c r="H66" s="154"/>
      <c r="I66" s="154"/>
      <c r="J66" s="154"/>
      <c r="K66" s="154"/>
      <c r="L66" s="154"/>
      <c r="M66" s="154"/>
      <c r="N66" s="154"/>
      <c r="O66" s="154"/>
      <c r="P66" s="154"/>
    </row>
    <row r="67" ht="15.0" customHeight="1">
      <c r="A67" s="155" t="s">
        <v>135</v>
      </c>
      <c r="B67" s="84"/>
      <c r="C67" s="154"/>
      <c r="D67" s="154"/>
      <c r="E67" s="154"/>
      <c r="F67" s="154"/>
      <c r="G67" s="154"/>
      <c r="H67" s="154"/>
      <c r="I67" s="154"/>
      <c r="J67" s="154"/>
      <c r="K67" s="154"/>
      <c r="L67" s="154"/>
      <c r="M67" s="154"/>
      <c r="N67" s="154"/>
      <c r="O67" s="154"/>
      <c r="P67" s="154"/>
    </row>
    <row r="68" ht="15.0" customHeight="1">
      <c r="A68" s="85" t="s">
        <v>53</v>
      </c>
      <c r="B68" s="154">
        <f t="array" ref="B68">index('Moral weights and discount rate'!$A$1:$ZU$39,match($A68,'Moral weights and discount rate'!$A$1:$A$39,0),match('Moral weights and discount rate'!$A$17,'Moral weights and discount rate'!$A$1:$ZU1,0))</f>
        <v>116.2526158</v>
      </c>
      <c r="C68" s="154">
        <f t="array" ref="C68">index('Moral weights and discount rate'!$A$1:$ZU$39,match($A68,'Moral weights and discount rate'!$A$1:$A$39,0),match('Moral weights and discount rate'!$A$17,'Moral weights and discount rate'!$A$1:$ZU1,0))</f>
        <v>116.2526158</v>
      </c>
      <c r="D68" s="154">
        <f t="array" ref="D68">index('Moral weights and discount rate'!$A$1:$ZU$39,match($A68,'Moral weights and discount rate'!$A$1:$A$39,0),match('Moral weights and discount rate'!$A$17,'Moral weights and discount rate'!$A$1:$ZU1,0))</f>
        <v>116.2526158</v>
      </c>
      <c r="E68" s="154">
        <f t="array" ref="E68">index('Moral weights and discount rate'!$A$1:$ZU$39,match($A68,'Moral weights and discount rate'!$A$1:$A$39,0),match('Moral weights and discount rate'!$A$17,'Moral weights and discount rate'!$A$1:$ZU1,0))</f>
        <v>116.2526158</v>
      </c>
      <c r="F68" s="154">
        <f t="array" ref="F68">index('Moral weights and discount rate'!$A$1:$ZU$39,match($A68,'Moral weights and discount rate'!$A$1:$A$39,0),match('Moral weights and discount rate'!$A$17,'Moral weights and discount rate'!$A$1:$ZU1,0))</f>
        <v>116.2526158</v>
      </c>
      <c r="G68" s="154">
        <f t="array" ref="G68">index('Moral weights and discount rate'!$A$1:$ZU$39,match($A68,'Moral weights and discount rate'!$A$1:$A$39,0),match('Moral weights and discount rate'!$A$17,'Moral weights and discount rate'!$A$1:$ZU1,0))</f>
        <v>116.2526158</v>
      </c>
      <c r="H68" s="154">
        <f t="array" ref="H68">index('Moral weights and discount rate'!$A$1:$ZU$39,match($A68,'Moral weights and discount rate'!$A$1:$A$39,0),match('Moral weights and discount rate'!$A$17,'Moral weights and discount rate'!$A$1:$ZU1,0))</f>
        <v>116.2526158</v>
      </c>
      <c r="I68" s="154">
        <f t="array" ref="I68">index('Moral weights and discount rate'!$A$1:$ZU$39,match($A68,'Moral weights and discount rate'!$A$1:$A$39,0),match('Moral weights and discount rate'!$A$17,'Moral weights and discount rate'!$A$1:$ZU1,0))</f>
        <v>116.2526158</v>
      </c>
      <c r="J68" s="154"/>
      <c r="K68" s="154"/>
      <c r="L68" s="154"/>
      <c r="M68" s="154"/>
      <c r="N68" s="154"/>
      <c r="O68" s="154"/>
      <c r="P68" s="154"/>
    </row>
    <row r="69" ht="15.0" customHeight="1">
      <c r="A69" s="156" t="s">
        <v>136</v>
      </c>
      <c r="B69" s="153">
        <f t="shared" ref="B69:I69" si="21">B65*B68</f>
        <v>4399.552432</v>
      </c>
      <c r="C69" s="157">
        <f t="shared" si="21"/>
        <v>8174.139304</v>
      </c>
      <c r="D69" s="157">
        <f t="shared" si="21"/>
        <v>1980.785016</v>
      </c>
      <c r="E69" s="157">
        <f t="shared" si="21"/>
        <v>5664.165362</v>
      </c>
      <c r="F69" s="157">
        <f t="shared" si="21"/>
        <v>2590.720045</v>
      </c>
      <c r="G69" s="157">
        <f t="shared" si="21"/>
        <v>4353.051691</v>
      </c>
      <c r="H69" s="157">
        <f t="shared" si="21"/>
        <v>953.3991163</v>
      </c>
      <c r="I69" s="157">
        <f t="shared" si="21"/>
        <v>2627.380202</v>
      </c>
      <c r="J69" s="157"/>
      <c r="K69" s="157"/>
      <c r="L69" s="157"/>
      <c r="M69" s="157"/>
      <c r="N69" s="157"/>
      <c r="O69" s="157"/>
      <c r="P69" s="157"/>
    </row>
    <row r="70" ht="15.0" customHeight="1">
      <c r="A70" s="158"/>
      <c r="B70" s="142"/>
      <c r="C70" s="142"/>
      <c r="D70" s="142"/>
      <c r="E70" s="142"/>
      <c r="F70" s="142"/>
      <c r="G70" s="142"/>
      <c r="H70" s="142"/>
      <c r="I70" s="142"/>
      <c r="J70" s="159"/>
      <c r="K70" s="159"/>
      <c r="L70" s="159"/>
      <c r="M70" s="159"/>
      <c r="N70" s="159"/>
      <c r="O70" s="159"/>
      <c r="P70" s="159"/>
    </row>
    <row r="71" ht="15.0" customHeight="1">
      <c r="A71" s="160" t="s">
        <v>137</v>
      </c>
      <c r="B71" s="161"/>
      <c r="C71" s="161"/>
      <c r="D71" s="161"/>
      <c r="E71" s="161"/>
      <c r="F71" s="161"/>
      <c r="G71" s="161"/>
      <c r="H71" s="161"/>
      <c r="I71" s="161"/>
      <c r="J71" s="161"/>
      <c r="K71" s="161"/>
      <c r="L71" s="161"/>
      <c r="M71" s="161"/>
      <c r="N71" s="161"/>
      <c r="O71" s="161"/>
      <c r="P71" s="161"/>
    </row>
    <row r="72" ht="15.0" customHeight="1">
      <c r="A72" s="162"/>
      <c r="B72" s="84"/>
      <c r="C72" s="163"/>
      <c r="D72" s="163"/>
      <c r="E72" s="163"/>
      <c r="F72" s="163"/>
      <c r="G72" s="163"/>
      <c r="H72" s="163"/>
      <c r="I72" s="163"/>
      <c r="J72" s="163"/>
      <c r="K72" s="163"/>
      <c r="L72" s="163"/>
      <c r="M72" s="163"/>
      <c r="N72" s="163"/>
      <c r="O72" s="163"/>
      <c r="P72" s="163"/>
    </row>
    <row r="73" ht="15.0" customHeight="1">
      <c r="A73" s="164" t="s">
        <v>138</v>
      </c>
      <c r="B73" s="84"/>
      <c r="C73" s="165"/>
      <c r="D73" s="165"/>
      <c r="E73" s="165"/>
      <c r="F73" s="165"/>
      <c r="G73" s="165"/>
      <c r="H73" s="165"/>
      <c r="I73" s="165"/>
      <c r="J73" s="165"/>
      <c r="K73" s="165"/>
      <c r="L73" s="165"/>
      <c r="M73" s="165"/>
      <c r="N73" s="165"/>
      <c r="O73" s="165"/>
      <c r="P73" s="165"/>
    </row>
    <row r="74" ht="15.0" customHeight="1">
      <c r="A74" s="162" t="s">
        <v>139</v>
      </c>
      <c r="B74" s="166">
        <v>57160.15</v>
      </c>
      <c r="C74" s="167">
        <v>11336.5</v>
      </c>
      <c r="D74" s="165">
        <v>5436.19</v>
      </c>
      <c r="E74" s="165">
        <v>22586.59</v>
      </c>
      <c r="F74" s="165">
        <v>55752.71304</v>
      </c>
      <c r="G74" s="165">
        <v>77647.60804999998</v>
      </c>
      <c r="H74" s="165">
        <v>7194.2</v>
      </c>
      <c r="I74" s="165">
        <v>5109.31</v>
      </c>
      <c r="J74" s="165"/>
      <c r="K74" s="165"/>
      <c r="L74" s="165"/>
      <c r="M74" s="165"/>
      <c r="N74" s="165"/>
      <c r="O74" s="165"/>
      <c r="P74" s="165"/>
    </row>
    <row r="75" ht="15.0" customHeight="1">
      <c r="A75" s="162" t="s">
        <v>140</v>
      </c>
      <c r="B75" s="166">
        <v>44077.95</v>
      </c>
      <c r="C75" s="167">
        <v>8181.1</v>
      </c>
      <c r="D75" s="165">
        <v>1880.41</v>
      </c>
      <c r="E75" s="165">
        <v>17385.77</v>
      </c>
      <c r="F75" s="165">
        <v>30014.757964</v>
      </c>
      <c r="G75" s="165">
        <v>44919.361548</v>
      </c>
      <c r="H75" s="165">
        <v>4525.73</v>
      </c>
      <c r="I75" s="165">
        <v>4010.3</v>
      </c>
      <c r="J75" s="165"/>
      <c r="K75" s="165"/>
      <c r="L75" s="165"/>
      <c r="M75" s="165"/>
      <c r="N75" s="165"/>
      <c r="O75" s="165"/>
      <c r="P75" s="165"/>
    </row>
    <row r="76" ht="15.0" customHeight="1">
      <c r="A76" s="162" t="s">
        <v>141</v>
      </c>
      <c r="B76" s="118">
        <f t="shared" ref="B76:I76" si="22">B74-B75</f>
        <v>13082.2</v>
      </c>
      <c r="C76" s="168">
        <f t="shared" si="22"/>
        <v>3155.4</v>
      </c>
      <c r="D76" s="168">
        <f t="shared" si="22"/>
        <v>3555.78</v>
      </c>
      <c r="E76" s="168">
        <f t="shared" si="22"/>
        <v>5200.82</v>
      </c>
      <c r="F76" s="168">
        <f t="shared" si="22"/>
        <v>25737.95508</v>
      </c>
      <c r="G76" s="168">
        <f t="shared" si="22"/>
        <v>32728.2465</v>
      </c>
      <c r="H76" s="168">
        <f t="shared" si="22"/>
        <v>2668.47</v>
      </c>
      <c r="I76" s="168">
        <f t="shared" si="22"/>
        <v>1099.01</v>
      </c>
      <c r="J76" s="168"/>
      <c r="K76" s="168"/>
      <c r="L76" s="168"/>
      <c r="M76" s="168"/>
      <c r="N76" s="168"/>
      <c r="O76" s="168"/>
      <c r="P76" s="168"/>
    </row>
    <row r="77" ht="15.0" customHeight="1">
      <c r="A77" s="91" t="s">
        <v>142</v>
      </c>
      <c r="B77" s="124">
        <f t="shared" ref="B77:I77" si="23">B76/B75</f>
        <v>0.2967969245</v>
      </c>
      <c r="C77" s="124">
        <f t="shared" si="23"/>
        <v>0.3856938553</v>
      </c>
      <c r="D77" s="124">
        <f t="shared" si="23"/>
        <v>1.89095995</v>
      </c>
      <c r="E77" s="124">
        <f t="shared" si="23"/>
        <v>0.2991423446</v>
      </c>
      <c r="F77" s="124">
        <f t="shared" si="23"/>
        <v>0.8575099991</v>
      </c>
      <c r="G77" s="124">
        <f t="shared" si="23"/>
        <v>0.7285999928</v>
      </c>
      <c r="H77" s="124">
        <f t="shared" si="23"/>
        <v>0.5896220057</v>
      </c>
      <c r="I77" s="124">
        <f t="shared" si="23"/>
        <v>0.2740468294</v>
      </c>
      <c r="J77" s="124"/>
      <c r="K77" s="124"/>
      <c r="L77" s="124"/>
      <c r="M77" s="124"/>
      <c r="N77" s="124"/>
      <c r="O77" s="124"/>
      <c r="P77" s="124"/>
    </row>
    <row r="78" ht="15.0" customHeight="1">
      <c r="A78" s="129" t="s">
        <v>143</v>
      </c>
      <c r="B78" s="169">
        <v>0.8</v>
      </c>
      <c r="C78" s="169">
        <v>0.8</v>
      </c>
      <c r="D78" s="169">
        <v>0.8</v>
      </c>
      <c r="E78" s="169">
        <v>0.8</v>
      </c>
      <c r="F78" s="169">
        <v>0.8</v>
      </c>
      <c r="G78" s="169">
        <v>0.8</v>
      </c>
      <c r="H78" s="169">
        <v>0.8</v>
      </c>
      <c r="I78" s="169">
        <v>0.8</v>
      </c>
      <c r="J78" s="170"/>
      <c r="K78" s="170"/>
      <c r="L78" s="170"/>
      <c r="M78" s="170"/>
      <c r="N78" s="170"/>
      <c r="O78" s="170"/>
      <c r="P78" s="170"/>
    </row>
    <row r="79" ht="15.0" customHeight="1">
      <c r="A79" s="85"/>
      <c r="B79" s="84"/>
      <c r="C79" s="171"/>
      <c r="D79" s="171"/>
      <c r="E79" s="171"/>
      <c r="F79" s="171"/>
      <c r="G79" s="171"/>
      <c r="H79" s="171"/>
      <c r="I79" s="171"/>
      <c r="J79" s="171"/>
      <c r="K79" s="171"/>
      <c r="L79" s="171"/>
      <c r="M79" s="171"/>
      <c r="N79" s="171"/>
      <c r="O79" s="171"/>
      <c r="P79" s="171"/>
    </row>
    <row r="80" ht="15.0" customHeight="1">
      <c r="A80" s="156" t="s">
        <v>144</v>
      </c>
      <c r="B80" s="153">
        <f t="shared" ref="B80:I80" si="24">B65*B77*B78</f>
        <v>8.985766882</v>
      </c>
      <c r="C80" s="157">
        <f t="shared" si="24"/>
        <v>21.69561713</v>
      </c>
      <c r="D80" s="157">
        <f t="shared" si="24"/>
        <v>25.77548977</v>
      </c>
      <c r="E80" s="157">
        <f t="shared" si="24"/>
        <v>11.66006765</v>
      </c>
      <c r="F80" s="157">
        <f t="shared" si="24"/>
        <v>15.28786826</v>
      </c>
      <c r="G80" s="157">
        <f t="shared" si="24"/>
        <v>21.82580347</v>
      </c>
      <c r="H80" s="157">
        <f t="shared" si="24"/>
        <v>3.868438369</v>
      </c>
      <c r="I80" s="157">
        <f t="shared" si="24"/>
        <v>4.954900733</v>
      </c>
      <c r="J80" s="157"/>
      <c r="K80" s="157"/>
      <c r="L80" s="157"/>
      <c r="M80" s="157"/>
      <c r="N80" s="157"/>
      <c r="O80" s="157"/>
      <c r="P80" s="157"/>
    </row>
    <row r="81" ht="15.0" customHeight="1">
      <c r="A81" s="85"/>
      <c r="B81" s="172"/>
      <c r="C81" s="173"/>
      <c r="D81" s="173"/>
      <c r="E81" s="173"/>
      <c r="F81" s="173"/>
      <c r="G81" s="173"/>
      <c r="H81" s="173"/>
      <c r="I81" s="173"/>
      <c r="J81" s="173"/>
      <c r="K81" s="173"/>
      <c r="L81" s="173"/>
      <c r="M81" s="173"/>
      <c r="N81" s="173"/>
      <c r="O81" s="173"/>
      <c r="P81" s="173"/>
    </row>
    <row r="82" ht="15.0" customHeight="1">
      <c r="A82" s="155" t="s">
        <v>135</v>
      </c>
      <c r="B82" s="84"/>
      <c r="C82" s="174"/>
      <c r="D82" s="171"/>
      <c r="E82" s="171"/>
      <c r="F82" s="171"/>
      <c r="G82" s="171"/>
      <c r="H82" s="171"/>
      <c r="I82" s="171"/>
      <c r="J82" s="171"/>
      <c r="K82" s="171"/>
      <c r="L82" s="171"/>
      <c r="M82" s="171"/>
      <c r="N82" s="171"/>
      <c r="O82" s="171"/>
      <c r="P82" s="171"/>
    </row>
    <row r="83" ht="15.0" customHeight="1">
      <c r="A83" s="85" t="s">
        <v>55</v>
      </c>
      <c r="B83" s="154">
        <f t="array" ref="B83">index('Moral weights and discount rate'!$A$1:$ZU$39,match($A83,'Moral weights and discount rate'!$A$1:$A$39,0),match('Moral weights and discount rate'!$A$17,'Moral weights and discount rate'!$A$1:$ZU1,0))</f>
        <v>73.19140463</v>
      </c>
      <c r="C83" s="154">
        <f t="array" ref="C83">index('Moral weights and discount rate'!$A$1:$ZU$39,match($A83,'Moral weights and discount rate'!$A$1:$A$39,0),match('Moral weights and discount rate'!$A$17,'Moral weights and discount rate'!$A$1:$ZU1,0))</f>
        <v>73.19140463</v>
      </c>
      <c r="D83" s="154">
        <f t="array" ref="D83">index('Moral weights and discount rate'!$A$1:$ZU$39,match($A83,'Moral weights and discount rate'!$A$1:$A$39,0),match('Moral weights and discount rate'!$A$17,'Moral weights and discount rate'!$A$1:$ZU1,0))</f>
        <v>73.19140463</v>
      </c>
      <c r="E83" s="154">
        <f t="array" ref="E83">index('Moral weights and discount rate'!$A$1:$ZU$39,match($A83,'Moral weights and discount rate'!$A$1:$A$39,0),match('Moral weights and discount rate'!$A$17,'Moral weights and discount rate'!$A$1:$ZU1,0))</f>
        <v>73.19140463</v>
      </c>
      <c r="F83" s="154">
        <f t="array" ref="F83">index('Moral weights and discount rate'!$A$1:$ZU$39,match($A83,'Moral weights and discount rate'!$A$1:$A$39,0),match('Moral weights and discount rate'!$A$17,'Moral weights and discount rate'!$A$1:$ZU1,0))</f>
        <v>73.19140463</v>
      </c>
      <c r="G83" s="154">
        <f t="array" ref="G83">index('Moral weights and discount rate'!$A$1:$ZU$39,match($A83,'Moral weights and discount rate'!$A$1:$A$39,0),match('Moral weights and discount rate'!$A$17,'Moral weights and discount rate'!$A$1:$ZU1,0))</f>
        <v>73.19140463</v>
      </c>
      <c r="H83" s="154">
        <f t="array" ref="H83">index('Moral weights and discount rate'!$A$1:$ZU$39,match($A83,'Moral weights and discount rate'!$A$1:$A$39,0),match('Moral weights and discount rate'!$A$17,'Moral weights and discount rate'!$A$1:$ZU1,0))</f>
        <v>73.19140463</v>
      </c>
      <c r="I83" s="154">
        <f t="array" ref="I83">index('Moral weights and discount rate'!$A$1:$ZU$39,match($A83,'Moral weights and discount rate'!$A$1:$A$39,0),match('Moral weights and discount rate'!$A$17,'Moral weights and discount rate'!$A$1:$ZU1,0))</f>
        <v>73.19140463</v>
      </c>
      <c r="J83" s="154"/>
      <c r="K83" s="154"/>
      <c r="L83" s="154"/>
      <c r="M83" s="154"/>
      <c r="N83" s="154"/>
      <c r="O83" s="154"/>
      <c r="P83" s="154"/>
    </row>
    <row r="84" ht="15.0" customHeight="1">
      <c r="A84" s="156" t="s">
        <v>145</v>
      </c>
      <c r="B84" s="153">
        <f t="shared" ref="B84:I84" si="25">B83*B80</f>
        <v>657.6808997</v>
      </c>
      <c r="C84" s="157">
        <f t="shared" si="25"/>
        <v>1587.932692</v>
      </c>
      <c r="D84" s="157">
        <f t="shared" si="25"/>
        <v>1886.544301</v>
      </c>
      <c r="E84" s="157">
        <f t="shared" si="25"/>
        <v>853.4167296</v>
      </c>
      <c r="F84" s="157">
        <f t="shared" si="25"/>
        <v>1118.940552</v>
      </c>
      <c r="G84" s="157">
        <f t="shared" si="25"/>
        <v>1597.461213</v>
      </c>
      <c r="H84" s="157">
        <f t="shared" si="25"/>
        <v>283.1364379</v>
      </c>
      <c r="I84" s="157">
        <f t="shared" si="25"/>
        <v>362.6561444</v>
      </c>
      <c r="J84" s="157"/>
      <c r="K84" s="157"/>
      <c r="L84" s="157"/>
      <c r="M84" s="157"/>
      <c r="N84" s="157"/>
      <c r="O84" s="157"/>
      <c r="P84" s="157"/>
    </row>
    <row r="85" ht="15.0" customHeight="1">
      <c r="A85" s="175"/>
      <c r="B85" s="151"/>
      <c r="C85" s="40"/>
      <c r="D85" s="40"/>
      <c r="E85" s="40"/>
      <c r="F85" s="40"/>
      <c r="G85" s="40"/>
      <c r="H85" s="40"/>
      <c r="I85" s="40"/>
      <c r="J85" s="40"/>
      <c r="K85" s="40"/>
      <c r="L85" s="40"/>
      <c r="M85" s="40"/>
      <c r="N85" s="40"/>
      <c r="O85" s="40"/>
      <c r="P85" s="40"/>
    </row>
    <row r="86" ht="15.0" customHeight="1">
      <c r="A86" s="160" t="s">
        <v>146</v>
      </c>
      <c r="B86" s="161"/>
      <c r="C86" s="161"/>
      <c r="D86" s="161"/>
      <c r="E86" s="161"/>
      <c r="F86" s="161"/>
      <c r="G86" s="161"/>
      <c r="H86" s="161"/>
      <c r="I86" s="161"/>
      <c r="J86" s="161"/>
      <c r="K86" s="161"/>
      <c r="L86" s="161"/>
      <c r="M86" s="161"/>
      <c r="N86" s="161"/>
      <c r="O86" s="161"/>
      <c r="P86" s="161"/>
    </row>
    <row r="87" ht="15.0" customHeight="1">
      <c r="A87" s="129"/>
      <c r="B87" s="151"/>
      <c r="C87" s="176"/>
      <c r="D87" s="176"/>
      <c r="E87" s="176"/>
      <c r="F87" s="176"/>
      <c r="G87" s="176"/>
      <c r="H87" s="176"/>
      <c r="I87" s="176"/>
      <c r="J87" s="176"/>
      <c r="K87" s="176"/>
      <c r="L87" s="176"/>
      <c r="M87" s="176"/>
      <c r="N87" s="176"/>
      <c r="O87" s="176"/>
      <c r="P87" s="176"/>
    </row>
    <row r="88" ht="15.0" customHeight="1">
      <c r="A88" s="152" t="s">
        <v>147</v>
      </c>
      <c r="B88" s="153">
        <f t="shared" ref="B88:I88" si="26">B80+B65</f>
        <v>46.83052764</v>
      </c>
      <c r="C88" s="177">
        <f t="shared" si="26"/>
        <v>92.00921178</v>
      </c>
      <c r="D88" s="177">
        <f t="shared" si="26"/>
        <v>42.81411727</v>
      </c>
      <c r="E88" s="177">
        <f t="shared" si="26"/>
        <v>60.38297443</v>
      </c>
      <c r="F88" s="177">
        <f t="shared" si="26"/>
        <v>37.57313064</v>
      </c>
      <c r="G88" s="177">
        <f t="shared" si="26"/>
        <v>59.27056685</v>
      </c>
      <c r="H88" s="177">
        <f t="shared" si="26"/>
        <v>12.06953655</v>
      </c>
      <c r="I88" s="177">
        <f t="shared" si="26"/>
        <v>27.5555122</v>
      </c>
      <c r="J88" s="178"/>
      <c r="K88" s="178"/>
      <c r="L88" s="178"/>
      <c r="M88" s="178"/>
      <c r="N88" s="178"/>
      <c r="O88" s="178"/>
      <c r="P88" s="178"/>
    </row>
    <row r="89" ht="15.0" customHeight="1">
      <c r="A89" s="175"/>
      <c r="B89" s="151"/>
      <c r="C89" s="40"/>
      <c r="D89" s="40"/>
      <c r="E89" s="40"/>
      <c r="F89" s="40"/>
      <c r="G89" s="40"/>
      <c r="H89" s="40"/>
      <c r="I89" s="40"/>
      <c r="J89" s="40"/>
      <c r="K89" s="40"/>
      <c r="L89" s="40"/>
      <c r="M89" s="40"/>
      <c r="N89" s="40"/>
      <c r="O89" s="40"/>
      <c r="P89" s="40"/>
    </row>
    <row r="90" ht="15.0" customHeight="1">
      <c r="A90" s="179" t="s">
        <v>148</v>
      </c>
      <c r="B90" s="87"/>
      <c r="C90" s="87"/>
      <c r="D90" s="87"/>
      <c r="E90" s="87"/>
      <c r="F90" s="87"/>
      <c r="G90" s="87"/>
      <c r="H90" s="87"/>
      <c r="I90" s="87"/>
      <c r="J90" s="87"/>
      <c r="K90" s="87"/>
      <c r="L90" s="87"/>
      <c r="M90" s="87"/>
      <c r="N90" s="87"/>
      <c r="O90" s="87"/>
      <c r="P90" s="87"/>
    </row>
    <row r="91" ht="15.0" customHeight="1">
      <c r="A91" s="151"/>
      <c r="B91" s="124"/>
      <c r="C91" s="124"/>
      <c r="D91" s="124"/>
      <c r="E91" s="124"/>
      <c r="F91" s="124"/>
      <c r="G91" s="124"/>
      <c r="H91" s="124"/>
      <c r="I91" s="124"/>
      <c r="J91" s="124"/>
      <c r="K91" s="124"/>
      <c r="L91" s="124"/>
      <c r="M91" s="124"/>
      <c r="N91" s="124"/>
      <c r="O91" s="124"/>
      <c r="P91" s="124"/>
    </row>
    <row r="92" ht="15.0" customHeight="1">
      <c r="A92" s="97" t="s">
        <v>149</v>
      </c>
      <c r="B92" s="89"/>
      <c r="C92" s="180"/>
      <c r="D92" s="180"/>
      <c r="E92" s="180"/>
      <c r="F92" s="180"/>
      <c r="G92" s="180"/>
      <c r="H92" s="180"/>
      <c r="I92" s="180"/>
      <c r="J92" s="180"/>
      <c r="K92" s="180"/>
      <c r="L92" s="180"/>
      <c r="M92" s="180"/>
      <c r="N92" s="180"/>
      <c r="O92" s="180"/>
      <c r="P92" s="180"/>
    </row>
    <row r="93" ht="15.0" customHeight="1">
      <c r="A93" s="151" t="s">
        <v>150</v>
      </c>
      <c r="B93" s="124">
        <f t="shared" ref="B93:I93" si="27">B52</f>
        <v>0.5583138458</v>
      </c>
      <c r="C93" s="124">
        <f t="shared" si="27"/>
        <v>0.4600700616</v>
      </c>
      <c r="D93" s="124">
        <f t="shared" si="27"/>
        <v>0.3892722059</v>
      </c>
      <c r="E93" s="124">
        <f t="shared" si="27"/>
        <v>0.513463191</v>
      </c>
      <c r="F93" s="124">
        <f t="shared" si="27"/>
        <v>0.5016778475</v>
      </c>
      <c r="G93" s="124">
        <f t="shared" si="27"/>
        <v>0.5016778475</v>
      </c>
      <c r="H93" s="124">
        <f t="shared" si="27"/>
        <v>0.2402188763</v>
      </c>
      <c r="I93" s="124">
        <f t="shared" si="27"/>
        <v>0.4021951024</v>
      </c>
      <c r="J93" s="124"/>
      <c r="K93" s="124"/>
      <c r="L93" s="124"/>
      <c r="M93" s="124"/>
      <c r="N93" s="124"/>
      <c r="O93" s="124"/>
      <c r="P93" s="124"/>
    </row>
    <row r="94" ht="15.0" customHeight="1">
      <c r="A94" s="151"/>
      <c r="B94" s="124"/>
      <c r="C94" s="117"/>
      <c r="D94" s="117"/>
      <c r="E94" s="117"/>
      <c r="F94" s="117"/>
      <c r="G94" s="117"/>
      <c r="H94" s="117"/>
      <c r="I94" s="117"/>
      <c r="J94" s="117"/>
      <c r="K94" s="117"/>
      <c r="L94" s="117"/>
      <c r="M94" s="117"/>
      <c r="N94" s="117"/>
      <c r="O94" s="117"/>
      <c r="P94" s="117"/>
    </row>
    <row r="95" ht="15.0" customHeight="1">
      <c r="A95" s="97" t="s">
        <v>151</v>
      </c>
      <c r="B95" s="124"/>
      <c r="C95" s="117"/>
      <c r="D95" s="117"/>
      <c r="E95" s="117"/>
      <c r="F95" s="117"/>
      <c r="G95" s="117"/>
      <c r="H95" s="117"/>
      <c r="I95" s="117"/>
      <c r="J95" s="117"/>
      <c r="K95" s="117"/>
      <c r="L95" s="117"/>
      <c r="M95" s="117"/>
      <c r="N95" s="117"/>
      <c r="O95" s="117"/>
      <c r="P95" s="117"/>
    </row>
    <row r="96" ht="15.0" customHeight="1">
      <c r="A96" s="55" t="s">
        <v>152</v>
      </c>
      <c r="B96" s="127">
        <f>28309.33/100000</f>
        <v>0.2830933</v>
      </c>
      <c r="C96" s="127">
        <f>33757.61/100000</f>
        <v>0.3375761</v>
      </c>
      <c r="D96" s="127">
        <f>30426.94/100000</f>
        <v>0.3042694</v>
      </c>
      <c r="E96" s="127">
        <f>38599.14/100000</f>
        <v>0.3859914</v>
      </c>
      <c r="F96" s="92">
        <v>0.281645606284254</v>
      </c>
      <c r="G96" s="92">
        <v>0.195092245864304</v>
      </c>
      <c r="H96" s="92">
        <v>0.118</v>
      </c>
      <c r="I96" s="127">
        <f>18320.81/100000</f>
        <v>0.1832081</v>
      </c>
      <c r="J96" s="127"/>
      <c r="K96" s="127"/>
      <c r="L96" s="127"/>
      <c r="M96" s="127"/>
      <c r="N96" s="127"/>
      <c r="O96" s="127"/>
      <c r="P96" s="127"/>
    </row>
    <row r="97" ht="15.0" customHeight="1">
      <c r="A97" s="55" t="s">
        <v>153</v>
      </c>
      <c r="B97" s="127">
        <f>31278.98/100000</f>
        <v>0.3127898</v>
      </c>
      <c r="C97" s="127">
        <f>37364.59/100000</f>
        <v>0.3736459</v>
      </c>
      <c r="D97" s="127">
        <f>33589.94/100000</f>
        <v>0.3358994</v>
      </c>
      <c r="E97" s="127">
        <f>42709.18/100000</f>
        <v>0.4270918</v>
      </c>
      <c r="F97" s="127"/>
      <c r="G97" s="127"/>
      <c r="H97" s="92">
        <v>0.118</v>
      </c>
      <c r="I97" s="127">
        <f>20351.11/100000</f>
        <v>0.2035111</v>
      </c>
      <c r="J97" s="127"/>
      <c r="K97" s="127"/>
      <c r="L97" s="127"/>
      <c r="M97" s="127"/>
      <c r="N97" s="127"/>
      <c r="O97" s="127"/>
      <c r="P97" s="127"/>
    </row>
    <row r="98" ht="15.0" customHeight="1">
      <c r="A98" s="55" t="s">
        <v>154</v>
      </c>
      <c r="B98" s="127">
        <f>29161.94/100000</f>
        <v>0.2916194</v>
      </c>
      <c r="C98" s="127">
        <f>34825.88/100000</f>
        <v>0.3482588</v>
      </c>
      <c r="D98" s="127">
        <f>31313.64/100000</f>
        <v>0.3131364</v>
      </c>
      <c r="E98" s="127">
        <f>39785.54/100000</f>
        <v>0.3978554</v>
      </c>
      <c r="F98" s="127"/>
      <c r="G98" s="127"/>
      <c r="H98" s="92">
        <v>0.118</v>
      </c>
      <c r="I98" s="127">
        <f>18971.28/100000</f>
        <v>0.1897128</v>
      </c>
      <c r="J98" s="127"/>
      <c r="K98" s="127"/>
      <c r="L98" s="127"/>
      <c r="M98" s="127"/>
      <c r="N98" s="127"/>
      <c r="O98" s="127"/>
      <c r="P98" s="127"/>
    </row>
    <row r="99" ht="15.0" customHeight="1">
      <c r="A99" s="55" t="s">
        <v>155</v>
      </c>
      <c r="B99" s="127">
        <f>30284.77/100000</f>
        <v>0.3028477</v>
      </c>
      <c r="C99" s="127">
        <f>36200.85/100000</f>
        <v>0.3620085</v>
      </c>
      <c r="D99" s="127">
        <f>32517.22/100000</f>
        <v>0.3251722</v>
      </c>
      <c r="E99" s="127">
        <f>41325.53/100000</f>
        <v>0.4132553</v>
      </c>
      <c r="F99" s="92">
        <v>0.295457802285224</v>
      </c>
      <c r="G99" s="92">
        <v>0.211716306013336</v>
      </c>
      <c r="H99" s="92">
        <v>0.118</v>
      </c>
      <c r="I99" s="127">
        <f>19669.69/100000</f>
        <v>0.1966969</v>
      </c>
      <c r="J99" s="127"/>
      <c r="K99" s="127"/>
      <c r="L99" s="127"/>
      <c r="M99" s="127"/>
      <c r="N99" s="127"/>
      <c r="O99" s="127"/>
      <c r="P99" s="127"/>
    </row>
    <row r="100" ht="15.0" customHeight="1">
      <c r="A100" s="181" t="s">
        <v>156</v>
      </c>
      <c r="B100" s="117">
        <f t="shared" ref="B100:I100" si="28">1/((1-B93)*B60+(1-B60)) - 1</f>
        <v>0.4924559698</v>
      </c>
      <c r="C100" s="117">
        <f t="shared" si="28"/>
        <v>0.3691147945</v>
      </c>
      <c r="D100" s="117">
        <f t="shared" si="28"/>
        <v>0.4481659491</v>
      </c>
      <c r="E100" s="117">
        <f t="shared" si="28"/>
        <v>0.5661169629</v>
      </c>
      <c r="F100" s="117">
        <f t="shared" si="28"/>
        <v>0.3093408058</v>
      </c>
      <c r="G100" s="117">
        <f t="shared" si="28"/>
        <v>0.3435791021</v>
      </c>
      <c r="H100" s="117">
        <f t="shared" si="28"/>
        <v>0.08130144244</v>
      </c>
      <c r="I100" s="117">
        <f t="shared" si="28"/>
        <v>0.2479477197</v>
      </c>
      <c r="J100" s="180"/>
      <c r="K100" s="180"/>
      <c r="L100" s="180"/>
      <c r="M100" s="180"/>
      <c r="N100" s="180"/>
      <c r="O100" s="180"/>
      <c r="P100" s="180"/>
    </row>
    <row r="101" ht="15.0" customHeight="1">
      <c r="A101" s="91" t="s">
        <v>157</v>
      </c>
      <c r="B101" s="124">
        <f t="shared" ref="B101:I101" si="29">B96*(1+B100)</f>
        <v>0.4225042856</v>
      </c>
      <c r="C101" s="124">
        <f t="shared" si="29"/>
        <v>0.4621804328</v>
      </c>
      <c r="D101" s="124">
        <f t="shared" si="29"/>
        <v>0.4406325844</v>
      </c>
      <c r="E101" s="124">
        <f t="shared" si="29"/>
        <v>0.6045076791</v>
      </c>
      <c r="F101" s="124">
        <f t="shared" si="29"/>
        <v>0.3687700851</v>
      </c>
      <c r="G101" s="124">
        <f t="shared" si="29"/>
        <v>0.2621218645</v>
      </c>
      <c r="H101" s="124">
        <f t="shared" si="29"/>
        <v>0.1275935702</v>
      </c>
      <c r="I101" s="124">
        <f t="shared" si="29"/>
        <v>0.2286341306</v>
      </c>
      <c r="J101" s="124"/>
      <c r="K101" s="124"/>
      <c r="L101" s="124"/>
      <c r="M101" s="124"/>
      <c r="N101" s="124"/>
      <c r="O101" s="124"/>
      <c r="P101" s="124"/>
    </row>
    <row r="102" ht="15.0" customHeight="1">
      <c r="A102" s="91" t="s">
        <v>158</v>
      </c>
      <c r="B102" s="124">
        <f t="shared" ref="B102:I102" si="30">B99*(1+B100)</f>
        <v>0.4519868578</v>
      </c>
      <c r="C102" s="124">
        <f t="shared" si="30"/>
        <v>0.4956311931</v>
      </c>
      <c r="D102" s="124">
        <f t="shared" si="30"/>
        <v>0.4709033076</v>
      </c>
      <c r="E102" s="124">
        <f t="shared" si="30"/>
        <v>0.6472061353</v>
      </c>
      <c r="F102" s="124">
        <f t="shared" si="30"/>
        <v>0.3868549569</v>
      </c>
      <c r="G102" s="124">
        <f t="shared" si="30"/>
        <v>0.2844576043</v>
      </c>
      <c r="H102" s="124">
        <f t="shared" si="30"/>
        <v>0.1275935702</v>
      </c>
      <c r="I102" s="124">
        <f t="shared" si="30"/>
        <v>0.2454674478</v>
      </c>
      <c r="J102" s="124"/>
      <c r="K102" s="124"/>
      <c r="L102" s="124"/>
      <c r="M102" s="124"/>
      <c r="N102" s="124"/>
      <c r="O102" s="124"/>
      <c r="P102" s="124"/>
    </row>
    <row r="103" ht="15.0" customHeight="1">
      <c r="A103" s="91"/>
      <c r="B103" s="124"/>
      <c r="C103" s="124"/>
      <c r="D103" s="124"/>
      <c r="E103" s="124"/>
      <c r="F103" s="124"/>
      <c r="G103" s="124"/>
      <c r="H103" s="124"/>
      <c r="I103" s="124"/>
      <c r="J103" s="124"/>
      <c r="K103" s="124"/>
      <c r="L103" s="124"/>
      <c r="M103" s="124"/>
      <c r="N103" s="124"/>
      <c r="O103" s="124"/>
      <c r="P103" s="124"/>
    </row>
    <row r="104" ht="15.0" customHeight="1">
      <c r="A104" s="97" t="s">
        <v>159</v>
      </c>
      <c r="B104" s="124"/>
      <c r="C104" s="124"/>
      <c r="D104" s="124"/>
      <c r="E104" s="124"/>
      <c r="F104" s="124"/>
      <c r="G104" s="124"/>
      <c r="H104" s="124"/>
      <c r="I104" s="124"/>
      <c r="J104" s="124"/>
      <c r="K104" s="124"/>
      <c r="L104" s="124"/>
      <c r="M104" s="124"/>
      <c r="N104" s="124"/>
      <c r="O104" s="124"/>
      <c r="P104" s="124"/>
    </row>
    <row r="105" ht="15.0" customHeight="1">
      <c r="A105" s="91" t="s">
        <v>160</v>
      </c>
      <c r="B105" s="124">
        <f t="shared" ref="B105:I105" si="31">B93*B101</f>
        <v>0.2358899925</v>
      </c>
      <c r="C105" s="124">
        <f t="shared" si="31"/>
        <v>0.2126353802</v>
      </c>
      <c r="D105" s="124">
        <f t="shared" si="31"/>
        <v>0.1715260181</v>
      </c>
      <c r="E105" s="124">
        <f t="shared" si="31"/>
        <v>0.3103924418</v>
      </c>
      <c r="F105" s="124">
        <f t="shared" si="31"/>
        <v>0.1850037825</v>
      </c>
      <c r="G105" s="124">
        <f t="shared" si="31"/>
        <v>0.1315007328</v>
      </c>
      <c r="H105" s="124">
        <f t="shared" si="31"/>
        <v>0.03065038405</v>
      </c>
      <c r="I105" s="124">
        <f t="shared" si="31"/>
        <v>0.09195552759</v>
      </c>
      <c r="J105" s="124"/>
      <c r="K105" s="124"/>
      <c r="L105" s="124"/>
      <c r="M105" s="124"/>
      <c r="N105" s="124"/>
      <c r="O105" s="124"/>
      <c r="P105" s="124"/>
    </row>
    <row r="106" ht="15.0" customHeight="1">
      <c r="A106" s="91" t="s">
        <v>161</v>
      </c>
      <c r="B106" s="124">
        <f t="shared" ref="B106:I106" si="32">B93*B102</f>
        <v>0.2523505208</v>
      </c>
      <c r="C106" s="124">
        <f t="shared" si="32"/>
        <v>0.2280250735</v>
      </c>
      <c r="D106" s="124">
        <f t="shared" si="32"/>
        <v>0.1833095693</v>
      </c>
      <c r="E106" s="124">
        <f t="shared" si="32"/>
        <v>0.3323165274</v>
      </c>
      <c r="F106" s="124">
        <f t="shared" si="32"/>
        <v>0.1940765621</v>
      </c>
      <c r="G106" s="124">
        <f t="shared" si="32"/>
        <v>0.1427060786</v>
      </c>
      <c r="H106" s="124">
        <f t="shared" si="32"/>
        <v>0.03065038405</v>
      </c>
      <c r="I106" s="124">
        <f t="shared" si="32"/>
        <v>0.09872580532</v>
      </c>
      <c r="J106" s="124"/>
      <c r="K106" s="124"/>
      <c r="L106" s="124"/>
      <c r="M106" s="124"/>
      <c r="N106" s="124"/>
      <c r="O106" s="124"/>
      <c r="P106" s="124"/>
    </row>
    <row r="107" ht="15.0" customHeight="1">
      <c r="A107" s="175"/>
      <c r="B107" s="151"/>
      <c r="C107" s="40"/>
      <c r="D107" s="40"/>
      <c r="E107" s="40"/>
      <c r="F107" s="40"/>
      <c r="G107" s="40"/>
      <c r="H107" s="40"/>
      <c r="I107" s="40"/>
      <c r="J107" s="40"/>
      <c r="K107" s="40"/>
      <c r="L107" s="40"/>
      <c r="M107" s="40"/>
      <c r="N107" s="40"/>
      <c r="O107" s="40"/>
      <c r="P107" s="40"/>
    </row>
    <row r="108" ht="15.0" customHeight="1">
      <c r="A108" s="160" t="s">
        <v>162</v>
      </c>
      <c r="B108" s="182"/>
      <c r="C108" s="182"/>
      <c r="D108" s="182"/>
      <c r="E108" s="182"/>
      <c r="F108" s="182"/>
      <c r="G108" s="182"/>
      <c r="H108" s="182"/>
      <c r="I108" s="182"/>
      <c r="J108" s="182"/>
      <c r="K108" s="182"/>
      <c r="L108" s="182"/>
      <c r="M108" s="182"/>
      <c r="N108" s="182"/>
      <c r="O108" s="182"/>
      <c r="P108" s="182"/>
    </row>
    <row r="109" ht="15.0" customHeight="1">
      <c r="A109" s="183"/>
      <c r="B109" s="84"/>
      <c r="C109" s="118"/>
      <c r="D109" s="118"/>
      <c r="E109" s="118"/>
      <c r="F109" s="118"/>
      <c r="G109" s="118"/>
      <c r="H109" s="118"/>
      <c r="I109" s="118"/>
      <c r="J109" s="118"/>
      <c r="K109" s="118"/>
      <c r="L109" s="118"/>
      <c r="M109" s="118"/>
      <c r="N109" s="118"/>
      <c r="O109" s="118"/>
      <c r="P109" s="118"/>
    </row>
    <row r="110" ht="15.0" customHeight="1">
      <c r="A110" s="184" t="s">
        <v>163</v>
      </c>
      <c r="B110" s="151"/>
    </row>
    <row r="111" ht="15.0" customHeight="1">
      <c r="A111" s="183" t="s">
        <v>164</v>
      </c>
      <c r="B111" s="84">
        <f t="shared" ref="B111:I111" si="33">B39*B105</f>
        <v>2002.995672</v>
      </c>
      <c r="C111" s="118">
        <f t="shared" si="33"/>
        <v>3691.853259</v>
      </c>
      <c r="D111" s="118">
        <f t="shared" si="33"/>
        <v>2236.889261</v>
      </c>
      <c r="E111" s="118">
        <f t="shared" si="33"/>
        <v>4572.10515</v>
      </c>
      <c r="F111" s="118">
        <f t="shared" si="33"/>
        <v>1598.249675</v>
      </c>
      <c r="G111" s="118">
        <f t="shared" si="33"/>
        <v>1732.567114</v>
      </c>
      <c r="H111" s="118">
        <f t="shared" si="33"/>
        <v>620.4717827</v>
      </c>
      <c r="I111" s="118">
        <f t="shared" si="33"/>
        <v>1033.424078</v>
      </c>
      <c r="J111" s="118"/>
      <c r="K111" s="118"/>
      <c r="L111" s="118"/>
      <c r="M111" s="118"/>
      <c r="N111" s="118"/>
      <c r="O111" s="118"/>
      <c r="P111" s="118"/>
    </row>
    <row r="112" ht="15.0" customHeight="1">
      <c r="A112" s="183" t="s">
        <v>165</v>
      </c>
      <c r="B112" s="84">
        <f t="shared" ref="B112:I112" si="34">B40*B106</f>
        <v>3783.50251</v>
      </c>
      <c r="C112" s="118">
        <f t="shared" si="34"/>
        <v>6593.75088</v>
      </c>
      <c r="D112" s="118">
        <f t="shared" si="34"/>
        <v>4358.847716</v>
      </c>
      <c r="E112" s="118">
        <f t="shared" si="34"/>
        <v>8276.805897</v>
      </c>
      <c r="F112" s="118">
        <f t="shared" si="34"/>
        <v>3012.305712</v>
      </c>
      <c r="G112" s="118">
        <f t="shared" si="34"/>
        <v>3378.051796</v>
      </c>
      <c r="H112" s="118">
        <f t="shared" si="34"/>
        <v>926.6901518</v>
      </c>
      <c r="I112" s="118">
        <f t="shared" si="34"/>
        <v>1940.52491</v>
      </c>
      <c r="J112" s="118"/>
      <c r="K112" s="118"/>
      <c r="L112" s="118"/>
      <c r="M112" s="118"/>
      <c r="N112" s="118"/>
      <c r="O112" s="118"/>
      <c r="P112" s="118"/>
    </row>
    <row r="113" ht="15.0" customHeight="1">
      <c r="A113" s="183"/>
      <c r="B113" s="172"/>
      <c r="C113" s="185"/>
      <c r="D113" s="185"/>
      <c r="E113" s="185"/>
      <c r="F113" s="185"/>
      <c r="G113" s="185"/>
      <c r="H113" s="185"/>
      <c r="I113" s="185"/>
      <c r="J113" s="185"/>
      <c r="K113" s="185"/>
      <c r="L113" s="185"/>
      <c r="M113" s="185"/>
      <c r="N113" s="185"/>
      <c r="O113" s="185"/>
      <c r="P113" s="185"/>
    </row>
    <row r="114" ht="15.0" customHeight="1">
      <c r="A114" s="186" t="s">
        <v>166</v>
      </c>
      <c r="B114" s="172"/>
      <c r="C114" s="185"/>
      <c r="D114" s="185"/>
      <c r="E114" s="185"/>
      <c r="F114" s="185"/>
      <c r="G114" s="185"/>
      <c r="H114" s="185"/>
      <c r="I114" s="185"/>
      <c r="J114" s="185"/>
      <c r="K114" s="185"/>
      <c r="L114" s="185"/>
      <c r="M114" s="185"/>
      <c r="N114" s="185"/>
      <c r="O114" s="185"/>
      <c r="P114" s="185"/>
    </row>
    <row r="115" ht="15.0" customHeight="1">
      <c r="A115" s="183" t="s">
        <v>167</v>
      </c>
      <c r="B115" s="187">
        <v>0.023</v>
      </c>
      <c r="C115" s="187">
        <v>0.023</v>
      </c>
      <c r="D115" s="187">
        <v>0.023</v>
      </c>
      <c r="E115" s="187">
        <v>0.023</v>
      </c>
      <c r="F115" s="187">
        <v>0.023</v>
      </c>
      <c r="G115" s="187">
        <v>0.023</v>
      </c>
      <c r="H115" s="187">
        <v>0.023</v>
      </c>
      <c r="I115" s="187">
        <v>0.023</v>
      </c>
      <c r="J115" s="185"/>
      <c r="K115" s="185"/>
      <c r="L115" s="185"/>
      <c r="M115" s="185"/>
      <c r="N115" s="185"/>
      <c r="O115" s="185"/>
      <c r="P115" s="185"/>
    </row>
    <row r="116" ht="15.0" customHeight="1">
      <c r="A116" s="183" t="s">
        <v>168</v>
      </c>
      <c r="B116" s="127">
        <v>0.52</v>
      </c>
      <c r="C116" s="127">
        <v>0.52</v>
      </c>
      <c r="D116" s="127">
        <v>0.52</v>
      </c>
      <c r="E116" s="127">
        <v>0.52</v>
      </c>
      <c r="F116" s="127">
        <v>0.52</v>
      </c>
      <c r="G116" s="127">
        <v>0.52</v>
      </c>
      <c r="H116" s="127">
        <v>0.52</v>
      </c>
      <c r="I116" s="127">
        <v>0.52</v>
      </c>
      <c r="J116" s="180"/>
      <c r="K116" s="180"/>
      <c r="L116" s="180"/>
      <c r="M116" s="180"/>
      <c r="N116" s="180"/>
      <c r="O116" s="180"/>
      <c r="P116" s="180"/>
    </row>
    <row r="117" ht="15.0" customHeight="1">
      <c r="A117" s="183" t="s">
        <v>169</v>
      </c>
      <c r="B117" s="188">
        <f t="shared" ref="B117:I117" si="35">(ln(1+B115)-ln(1))*B116</f>
        <v>0.01182453322</v>
      </c>
      <c r="C117" s="188">
        <f t="shared" si="35"/>
        <v>0.01182453322</v>
      </c>
      <c r="D117" s="188">
        <f t="shared" si="35"/>
        <v>0.01182453322</v>
      </c>
      <c r="E117" s="188">
        <f t="shared" si="35"/>
        <v>0.01182453322</v>
      </c>
      <c r="F117" s="188">
        <f t="shared" si="35"/>
        <v>0.01182453322</v>
      </c>
      <c r="G117" s="188">
        <f t="shared" si="35"/>
        <v>0.01182453322</v>
      </c>
      <c r="H117" s="188">
        <f t="shared" si="35"/>
        <v>0.01182453322</v>
      </c>
      <c r="I117" s="188">
        <f t="shared" si="35"/>
        <v>0.01182453322</v>
      </c>
      <c r="J117" s="188"/>
      <c r="K117" s="188"/>
      <c r="L117" s="188"/>
      <c r="M117" s="188"/>
      <c r="N117" s="188"/>
      <c r="O117" s="188"/>
      <c r="P117" s="188"/>
    </row>
    <row r="118" ht="15.0" customHeight="1">
      <c r="A118" s="189"/>
      <c r="B118" s="172"/>
      <c r="C118" s="190"/>
      <c r="D118" s="190"/>
      <c r="E118" s="190"/>
      <c r="F118" s="190"/>
      <c r="G118" s="190"/>
      <c r="H118" s="190"/>
      <c r="I118" s="190"/>
      <c r="J118" s="190"/>
      <c r="K118" s="190"/>
      <c r="L118" s="190"/>
      <c r="M118" s="190"/>
      <c r="N118" s="190"/>
      <c r="O118" s="190"/>
      <c r="P118" s="190"/>
    </row>
    <row r="119" ht="15.0" customHeight="1">
      <c r="A119" s="191" t="s">
        <v>170</v>
      </c>
      <c r="B119" s="192"/>
      <c r="C119" s="190"/>
      <c r="D119" s="190"/>
      <c r="E119" s="190"/>
      <c r="F119" s="190"/>
      <c r="G119" s="190"/>
      <c r="H119" s="190"/>
      <c r="I119" s="190"/>
      <c r="J119" s="190"/>
      <c r="K119" s="190"/>
      <c r="L119" s="190"/>
      <c r="M119" s="190"/>
      <c r="N119" s="190"/>
      <c r="O119" s="190"/>
      <c r="P119" s="190"/>
    </row>
    <row r="120" ht="15.0" customHeight="1">
      <c r="A120" s="189" t="s">
        <v>171</v>
      </c>
      <c r="B120" s="193">
        <v>10.0</v>
      </c>
      <c r="C120" s="193">
        <v>10.0</v>
      </c>
      <c r="D120" s="193">
        <v>10.0</v>
      </c>
      <c r="E120" s="193">
        <v>10.0</v>
      </c>
      <c r="F120" s="193">
        <v>10.0</v>
      </c>
      <c r="G120" s="193">
        <v>10.0</v>
      </c>
      <c r="H120" s="193">
        <v>10.0</v>
      </c>
      <c r="I120" s="193">
        <v>10.0</v>
      </c>
      <c r="J120" s="194"/>
      <c r="K120" s="194"/>
      <c r="L120" s="194"/>
      <c r="M120" s="194"/>
      <c r="N120" s="194"/>
      <c r="O120" s="194"/>
      <c r="P120" s="194"/>
    </row>
    <row r="121" ht="15.0" customHeight="1">
      <c r="A121" s="195" t="s">
        <v>71</v>
      </c>
      <c r="B121" s="196">
        <f t="array" ref="B121">index('Moral weights and discount rate'!$1:$39,match("Overall discount rate",'Moral weights and discount rate'!$A:$A,0), match("Active",'Moral weights and discount rate'!$1:$1,0))</f>
        <v>0.04</v>
      </c>
      <c r="C121" s="196">
        <f t="array" ref="C121">index('Moral weights and discount rate'!$1:$39,match("Overall discount rate",'Moral weights and discount rate'!$A:$A,0), match("Active",'Moral weights and discount rate'!$1:$1,0))</f>
        <v>0.04</v>
      </c>
      <c r="D121" s="196">
        <f t="array" ref="D121">index('Moral weights and discount rate'!$1:$39,match("Overall discount rate",'Moral weights and discount rate'!$A:$A,0), match("Active",'Moral weights and discount rate'!$1:$1,0))</f>
        <v>0.04</v>
      </c>
      <c r="E121" s="196">
        <f t="array" ref="E121">index('Moral weights and discount rate'!$1:$39,match("Overall discount rate",'Moral weights and discount rate'!$A:$A,0), match("Active",'Moral weights and discount rate'!$1:$1,0))</f>
        <v>0.04</v>
      </c>
      <c r="F121" s="196">
        <f t="array" ref="F121">index('Moral weights and discount rate'!$1:$39,match("Overall discount rate",'Moral weights and discount rate'!$A:$A,0), match("Active",'Moral weights and discount rate'!$1:$1,0))</f>
        <v>0.04</v>
      </c>
      <c r="G121" s="196">
        <f t="array" ref="G121">index('Moral weights and discount rate'!$1:$39,match("Overall discount rate",'Moral weights and discount rate'!$A:$A,0), match("Active",'Moral weights and discount rate'!$1:$1,0))</f>
        <v>0.04</v>
      </c>
      <c r="H121" s="196">
        <f t="array" ref="H121">index('Moral weights and discount rate'!$1:$39,match("Overall discount rate",'Moral weights and discount rate'!$A:$A,0), match("Active",'Moral weights and discount rate'!$1:$1,0))</f>
        <v>0.04</v>
      </c>
      <c r="I121" s="196">
        <f t="array" ref="I121">index('Moral weights and discount rate'!$1:$39,match("Overall discount rate",'Moral weights and discount rate'!$A:$A,0), match("Active",'Moral weights and discount rate'!$1:$1,0))</f>
        <v>0.04</v>
      </c>
      <c r="J121" s="196"/>
      <c r="K121" s="196"/>
      <c r="L121" s="196"/>
      <c r="M121" s="196"/>
      <c r="N121" s="196"/>
      <c r="O121" s="196"/>
      <c r="P121" s="196"/>
    </row>
    <row r="122" ht="15.0" customHeight="1">
      <c r="A122" s="195" t="s">
        <v>172</v>
      </c>
      <c r="B122" s="188">
        <f t="shared" ref="B122:I122" si="36">B117/(1+B121)^B120</f>
        <v>0.007988230959</v>
      </c>
      <c r="C122" s="188">
        <f t="shared" si="36"/>
        <v>0.007988230959</v>
      </c>
      <c r="D122" s="188">
        <f t="shared" si="36"/>
        <v>0.007988230959</v>
      </c>
      <c r="E122" s="188">
        <f t="shared" si="36"/>
        <v>0.007988230959</v>
      </c>
      <c r="F122" s="188">
        <f t="shared" si="36"/>
        <v>0.007988230959</v>
      </c>
      <c r="G122" s="188">
        <f t="shared" si="36"/>
        <v>0.007988230959</v>
      </c>
      <c r="H122" s="188">
        <f t="shared" si="36"/>
        <v>0.007988230959</v>
      </c>
      <c r="I122" s="188">
        <f t="shared" si="36"/>
        <v>0.007988230959</v>
      </c>
      <c r="J122" s="188"/>
      <c r="K122" s="188"/>
      <c r="L122" s="188"/>
      <c r="M122" s="188"/>
      <c r="N122" s="188"/>
      <c r="O122" s="188"/>
      <c r="P122" s="188"/>
    </row>
    <row r="123" ht="15.0" customHeight="1">
      <c r="A123" s="195" t="s">
        <v>173</v>
      </c>
      <c r="B123" s="197">
        <v>40.0</v>
      </c>
      <c r="C123" s="197">
        <v>40.0</v>
      </c>
      <c r="D123" s="197">
        <v>40.0</v>
      </c>
      <c r="E123" s="197">
        <v>40.0</v>
      </c>
      <c r="F123" s="197">
        <v>40.0</v>
      </c>
      <c r="G123" s="197">
        <v>40.0</v>
      </c>
      <c r="H123" s="197">
        <v>40.0</v>
      </c>
      <c r="I123" s="197">
        <v>40.0</v>
      </c>
      <c r="J123" s="194"/>
      <c r="K123" s="194"/>
      <c r="L123" s="194"/>
      <c r="M123" s="194"/>
      <c r="N123" s="194"/>
      <c r="O123" s="194"/>
      <c r="P123" s="194"/>
    </row>
    <row r="124" ht="15.0" customHeight="1">
      <c r="A124" s="183" t="s">
        <v>174</v>
      </c>
      <c r="B124" s="198">
        <f t="shared" ref="B124:I124" si="37">pv(B121,B123,-B122,,1)</f>
        <v>0.1644336191</v>
      </c>
      <c r="C124" s="198">
        <f t="shared" si="37"/>
        <v>0.1644336191</v>
      </c>
      <c r="D124" s="198">
        <f t="shared" si="37"/>
        <v>0.1644336191</v>
      </c>
      <c r="E124" s="198">
        <f t="shared" si="37"/>
        <v>0.1644336191</v>
      </c>
      <c r="F124" s="198">
        <f t="shared" si="37"/>
        <v>0.1644336191</v>
      </c>
      <c r="G124" s="198">
        <f t="shared" si="37"/>
        <v>0.1644336191</v>
      </c>
      <c r="H124" s="198">
        <f t="shared" si="37"/>
        <v>0.1644336191</v>
      </c>
      <c r="I124" s="198">
        <f t="shared" si="37"/>
        <v>0.1644336191</v>
      </c>
      <c r="J124" s="198"/>
      <c r="K124" s="198"/>
      <c r="L124" s="198"/>
      <c r="M124" s="198"/>
      <c r="N124" s="198"/>
      <c r="O124" s="198"/>
      <c r="P124" s="198"/>
    </row>
    <row r="125" ht="15.0" customHeight="1">
      <c r="A125" s="195" t="s">
        <v>175</v>
      </c>
      <c r="B125" s="165">
        <v>2.0</v>
      </c>
      <c r="C125" s="165">
        <v>2.0</v>
      </c>
      <c r="D125" s="165">
        <v>2.0</v>
      </c>
      <c r="E125" s="165">
        <v>2.0</v>
      </c>
      <c r="F125" s="165">
        <v>2.0</v>
      </c>
      <c r="G125" s="165">
        <v>2.0</v>
      </c>
      <c r="H125" s="165">
        <v>2.0</v>
      </c>
      <c r="I125" s="165">
        <v>2.0</v>
      </c>
      <c r="J125" s="199"/>
      <c r="K125" s="199"/>
      <c r="L125" s="199"/>
      <c r="M125" s="199"/>
      <c r="N125" s="199"/>
      <c r="O125" s="199"/>
      <c r="P125" s="199"/>
    </row>
    <row r="126" ht="15.0" customHeight="1">
      <c r="A126" s="183"/>
      <c r="B126" s="198"/>
      <c r="C126" s="198"/>
      <c r="D126" s="198"/>
      <c r="E126" s="198"/>
      <c r="F126" s="198"/>
      <c r="G126" s="198"/>
      <c r="H126" s="198"/>
      <c r="I126" s="198"/>
      <c r="J126" s="198"/>
      <c r="K126" s="198"/>
      <c r="L126" s="198"/>
      <c r="M126" s="198"/>
      <c r="N126" s="198"/>
      <c r="O126" s="198"/>
      <c r="P126" s="198"/>
    </row>
    <row r="127" ht="15.0" customHeight="1">
      <c r="A127" s="183" t="s">
        <v>176</v>
      </c>
      <c r="B127" s="198">
        <f t="shared" ref="B127:I127" si="38">B125*B124</f>
        <v>0.3288672381</v>
      </c>
      <c r="C127" s="198">
        <f t="shared" si="38"/>
        <v>0.3288672381</v>
      </c>
      <c r="D127" s="198">
        <f t="shared" si="38"/>
        <v>0.3288672381</v>
      </c>
      <c r="E127" s="198">
        <f t="shared" si="38"/>
        <v>0.3288672381</v>
      </c>
      <c r="F127" s="198">
        <f t="shared" si="38"/>
        <v>0.3288672381</v>
      </c>
      <c r="G127" s="198">
        <f t="shared" si="38"/>
        <v>0.3288672381</v>
      </c>
      <c r="H127" s="198">
        <f t="shared" si="38"/>
        <v>0.3288672381</v>
      </c>
      <c r="I127" s="198">
        <f t="shared" si="38"/>
        <v>0.3288672381</v>
      </c>
      <c r="J127" s="198"/>
      <c r="K127" s="198"/>
      <c r="L127" s="198"/>
      <c r="M127" s="198"/>
      <c r="N127" s="198"/>
      <c r="O127" s="198"/>
      <c r="P127" s="198"/>
    </row>
    <row r="128" ht="15.0" customHeight="1">
      <c r="A128" s="162"/>
      <c r="B128" s="84"/>
      <c r="C128" s="118"/>
      <c r="D128" s="118"/>
      <c r="E128" s="118"/>
      <c r="F128" s="118"/>
      <c r="G128" s="118"/>
      <c r="H128" s="118"/>
      <c r="I128" s="118"/>
      <c r="J128" s="118"/>
      <c r="K128" s="118"/>
      <c r="L128" s="118"/>
      <c r="M128" s="118"/>
      <c r="N128" s="118"/>
      <c r="O128" s="118"/>
      <c r="P128" s="118"/>
    </row>
    <row r="129" ht="15.0" customHeight="1">
      <c r="A129" s="162" t="s">
        <v>177</v>
      </c>
      <c r="B129" s="84">
        <f t="shared" ref="B129:I129" si="39">B111*B127</f>
        <v>658.7196545</v>
      </c>
      <c r="C129" s="118">
        <f t="shared" si="39"/>
        <v>1214.129585</v>
      </c>
      <c r="D129" s="118">
        <f t="shared" si="39"/>
        <v>735.6395932</v>
      </c>
      <c r="E129" s="118">
        <f t="shared" si="39"/>
        <v>1503.615593</v>
      </c>
      <c r="F129" s="118">
        <f t="shared" si="39"/>
        <v>525.6119566</v>
      </c>
      <c r="G129" s="118">
        <f t="shared" si="39"/>
        <v>569.7845616</v>
      </c>
      <c r="H129" s="118">
        <f t="shared" si="39"/>
        <v>204.0528415</v>
      </c>
      <c r="I129" s="118">
        <f t="shared" si="39"/>
        <v>339.8593224</v>
      </c>
      <c r="J129" s="118"/>
      <c r="K129" s="118"/>
      <c r="L129" s="118"/>
      <c r="M129" s="118"/>
      <c r="N129" s="118"/>
      <c r="O129" s="118"/>
      <c r="P129" s="118"/>
    </row>
    <row r="130" ht="15.0" customHeight="1">
      <c r="A130" s="162" t="s">
        <v>178</v>
      </c>
      <c r="B130" s="84">
        <f t="shared" ref="B130:I130" si="40">B112*B127</f>
        <v>1244.270021</v>
      </c>
      <c r="C130" s="118">
        <f t="shared" si="40"/>
        <v>2168.468641</v>
      </c>
      <c r="D130" s="118">
        <f t="shared" si="40"/>
        <v>1433.48221</v>
      </c>
      <c r="E130" s="118">
        <f t="shared" si="40"/>
        <v>2721.970296</v>
      </c>
      <c r="F130" s="118">
        <f t="shared" si="40"/>
        <v>990.64866</v>
      </c>
      <c r="G130" s="118">
        <f t="shared" si="40"/>
        <v>1110.930564</v>
      </c>
      <c r="H130" s="118">
        <f t="shared" si="40"/>
        <v>304.7580308</v>
      </c>
      <c r="I130" s="118">
        <f t="shared" si="40"/>
        <v>638.1750677</v>
      </c>
      <c r="J130" s="118"/>
      <c r="K130" s="118"/>
      <c r="L130" s="118"/>
      <c r="M130" s="118"/>
      <c r="N130" s="118"/>
      <c r="O130" s="118"/>
      <c r="P130" s="118"/>
    </row>
    <row r="131" ht="15.0" customHeight="1">
      <c r="A131" s="195"/>
      <c r="B131" s="142"/>
      <c r="C131" s="200"/>
      <c r="D131" s="200"/>
      <c r="E131" s="200"/>
      <c r="F131" s="200"/>
      <c r="G131" s="200"/>
      <c r="H131" s="200"/>
      <c r="I131" s="200"/>
      <c r="J131" s="200"/>
      <c r="K131" s="200"/>
      <c r="L131" s="200"/>
      <c r="M131" s="200"/>
      <c r="N131" s="200"/>
      <c r="O131" s="200"/>
      <c r="P131" s="200"/>
    </row>
    <row r="132" ht="15.0" customHeight="1">
      <c r="A132" s="186" t="s">
        <v>135</v>
      </c>
      <c r="B132" s="142"/>
      <c r="C132" s="200"/>
      <c r="D132" s="200"/>
      <c r="E132" s="200"/>
      <c r="F132" s="200"/>
      <c r="G132" s="200"/>
      <c r="H132" s="200"/>
      <c r="I132" s="200"/>
      <c r="J132" s="200"/>
      <c r="K132" s="200"/>
      <c r="L132" s="200"/>
      <c r="M132" s="200"/>
      <c r="N132" s="200"/>
      <c r="O132" s="200"/>
      <c r="P132" s="200"/>
    </row>
    <row r="133" ht="15.0" customHeight="1">
      <c r="A133" s="195" t="s">
        <v>65</v>
      </c>
      <c r="B133" s="137">
        <f t="array" ref="B133">index('Moral weights and discount rate'!$A$1:$ZW$39,match($A133,'Moral weights and discount rate'!$A$1:$A$39,0),match('Moral weights and discount rate'!$A$17,'Moral weights and discount rate'!$A$1:$ZW1,0))</f>
        <v>1.442695041</v>
      </c>
      <c r="C133" s="137">
        <f t="array" ref="C133">index('Moral weights and discount rate'!$A$1:$ZW$39,match($A133,'Moral weights and discount rate'!$A$1:$A$39,0),match('Moral weights and discount rate'!$A$17,'Moral weights and discount rate'!$A$1:$ZW1,0))</f>
        <v>1.442695041</v>
      </c>
      <c r="D133" s="137">
        <f t="array" ref="D133">index('Moral weights and discount rate'!$A$1:$ZW$39,match($A133,'Moral weights and discount rate'!$A$1:$A$39,0),match('Moral weights and discount rate'!$A$17,'Moral weights and discount rate'!$A$1:$ZW1,0))</f>
        <v>1.442695041</v>
      </c>
      <c r="E133" s="137">
        <f t="array" ref="E133">index('Moral weights and discount rate'!$A$1:$ZW$39,match($A133,'Moral weights and discount rate'!$A$1:$A$39,0),match('Moral weights and discount rate'!$A$17,'Moral weights and discount rate'!$A$1:$ZW1,0))</f>
        <v>1.442695041</v>
      </c>
      <c r="F133" s="137">
        <f t="array" ref="F133">index('Moral weights and discount rate'!$A$1:$ZW$39,match($A133,'Moral weights and discount rate'!$A$1:$A$39,0),match('Moral weights and discount rate'!$A$17,'Moral weights and discount rate'!$A$1:$ZW1,0))</f>
        <v>1.442695041</v>
      </c>
      <c r="G133" s="137">
        <f t="array" ref="G133">index('Moral weights and discount rate'!$A$1:$ZW$39,match($A133,'Moral weights and discount rate'!$A$1:$A$39,0),match('Moral weights and discount rate'!$A$17,'Moral weights and discount rate'!$A$1:$ZW1,0))</f>
        <v>1.442695041</v>
      </c>
      <c r="H133" s="137">
        <f t="array" ref="H133">index('Moral weights and discount rate'!$A$1:$ZW$39,match($A133,'Moral weights and discount rate'!$A$1:$A$39,0),match('Moral weights and discount rate'!$A$17,'Moral weights and discount rate'!$A$1:$ZW1,0))</f>
        <v>1.442695041</v>
      </c>
      <c r="I133" s="137">
        <f t="array" ref="I133">index('Moral weights and discount rate'!$A$1:$ZW$39,match($A133,'Moral weights and discount rate'!$A$1:$A$39,0),match('Moral weights and discount rate'!$A$17,'Moral weights and discount rate'!$A$1:$ZW1,0))</f>
        <v>1.442695041</v>
      </c>
      <c r="J133" s="137"/>
      <c r="K133" s="137"/>
      <c r="L133" s="137"/>
      <c r="M133" s="137"/>
      <c r="N133" s="137"/>
      <c r="O133" s="137"/>
      <c r="P133" s="137"/>
    </row>
    <row r="134" ht="15.0" customHeight="1">
      <c r="A134" s="201" t="s">
        <v>179</v>
      </c>
      <c r="B134" s="153">
        <f t="shared" ref="B134:I134" si="41">B133*sum(B129:B130)</f>
        <v>2745.433768</v>
      </c>
      <c r="C134" s="153">
        <f t="shared" si="41"/>
        <v>4880.057686</v>
      </c>
      <c r="D134" s="153">
        <f t="shared" si="41"/>
        <v>3129.381268</v>
      </c>
      <c r="E134" s="153">
        <f t="shared" si="41"/>
        <v>6096.231807</v>
      </c>
      <c r="F134" s="153">
        <f t="shared" si="41"/>
        <v>2187.501672</v>
      </c>
      <c r="G134" s="153">
        <f t="shared" si="41"/>
        <v>2424.759377</v>
      </c>
      <c r="H134" s="153">
        <f t="shared" si="41"/>
        <v>734.0589223</v>
      </c>
      <c r="I134" s="153">
        <f t="shared" si="41"/>
        <v>1411.005364</v>
      </c>
      <c r="J134" s="153"/>
      <c r="K134" s="153"/>
      <c r="L134" s="153"/>
      <c r="M134" s="153"/>
      <c r="N134" s="153"/>
      <c r="O134" s="153"/>
      <c r="P134" s="153"/>
    </row>
    <row r="135" ht="15.0" customHeight="1">
      <c r="A135" s="89"/>
      <c r="B135" s="89"/>
      <c r="C135" s="89"/>
      <c r="D135" s="89"/>
      <c r="E135" s="89"/>
      <c r="F135" s="89"/>
      <c r="G135" s="89"/>
      <c r="H135" s="89"/>
      <c r="I135" s="89"/>
      <c r="J135" s="89"/>
      <c r="K135" s="89"/>
      <c r="L135" s="89"/>
      <c r="M135" s="89"/>
      <c r="N135" s="89"/>
      <c r="O135" s="89"/>
      <c r="P135" s="89"/>
    </row>
    <row r="136" ht="15.0" customHeight="1">
      <c r="A136" s="160" t="s">
        <v>180</v>
      </c>
      <c r="B136" s="161"/>
      <c r="C136" s="161"/>
      <c r="D136" s="161"/>
      <c r="E136" s="161"/>
      <c r="F136" s="161"/>
      <c r="G136" s="161"/>
      <c r="H136" s="161"/>
      <c r="I136" s="161"/>
      <c r="J136" s="161"/>
      <c r="K136" s="161"/>
      <c r="L136" s="161"/>
      <c r="M136" s="161"/>
      <c r="N136" s="161"/>
      <c r="O136" s="161"/>
      <c r="P136" s="161"/>
    </row>
    <row r="137" ht="15.0" customHeight="1">
      <c r="A137" s="83"/>
      <c r="B137" s="153"/>
      <c r="C137" s="153"/>
      <c r="D137" s="153"/>
      <c r="E137" s="153"/>
      <c r="F137" s="153"/>
      <c r="G137" s="153"/>
      <c r="H137" s="153"/>
      <c r="I137" s="153"/>
      <c r="J137" s="153"/>
      <c r="K137" s="153"/>
      <c r="L137" s="153"/>
      <c r="M137" s="153"/>
      <c r="N137" s="153"/>
      <c r="O137" s="153"/>
      <c r="P137" s="153"/>
    </row>
    <row r="138" ht="15.0" customHeight="1">
      <c r="A138" s="77" t="s">
        <v>181</v>
      </c>
      <c r="B138" s="101">
        <f t="shared" ref="B138:I138" si="42">B14/(B65+B80)</f>
        <v>4237.593218</v>
      </c>
      <c r="C138" s="101">
        <f t="shared" si="42"/>
        <v>1707.397867</v>
      </c>
      <c r="D138" s="101">
        <f t="shared" si="42"/>
        <v>3574.408897</v>
      </c>
      <c r="E138" s="101">
        <f t="shared" si="42"/>
        <v>2763.210979</v>
      </c>
      <c r="F138" s="101">
        <f t="shared" si="42"/>
        <v>3908.557</v>
      </c>
      <c r="G138" s="101">
        <f t="shared" si="42"/>
        <v>2477.734406</v>
      </c>
      <c r="H138" s="101">
        <f t="shared" si="42"/>
        <v>13015.93738</v>
      </c>
      <c r="I138" s="101">
        <f t="shared" si="42"/>
        <v>8438.359389</v>
      </c>
      <c r="J138" s="101"/>
      <c r="K138" s="101"/>
      <c r="L138" s="101"/>
      <c r="M138" s="101"/>
      <c r="N138" s="101"/>
      <c r="O138" s="101"/>
      <c r="P138" s="101"/>
    </row>
    <row r="139" ht="15.0" customHeight="1">
      <c r="A139" s="83"/>
      <c r="B139" s="153"/>
      <c r="C139" s="153"/>
      <c r="D139" s="153"/>
      <c r="E139" s="153"/>
      <c r="F139" s="153"/>
      <c r="G139" s="153"/>
      <c r="H139" s="153"/>
      <c r="I139" s="153"/>
      <c r="J139" s="153"/>
      <c r="K139" s="153"/>
      <c r="L139" s="153"/>
      <c r="M139" s="153"/>
      <c r="N139" s="153"/>
      <c r="O139" s="153"/>
      <c r="P139" s="153"/>
    </row>
    <row r="140" ht="15.0" customHeight="1">
      <c r="A140" s="77" t="s">
        <v>182</v>
      </c>
      <c r="B140" s="84">
        <f t="shared" ref="B140:I140" si="43">sum(B69,B84,B134)</f>
        <v>7802.667099</v>
      </c>
      <c r="C140" s="118">
        <f t="shared" si="43"/>
        <v>14642.12968</v>
      </c>
      <c r="D140" s="118">
        <f t="shared" si="43"/>
        <v>6996.710586</v>
      </c>
      <c r="E140" s="118">
        <f t="shared" si="43"/>
        <v>12613.8139</v>
      </c>
      <c r="F140" s="118">
        <f t="shared" si="43"/>
        <v>5897.162269</v>
      </c>
      <c r="G140" s="118">
        <f t="shared" si="43"/>
        <v>8375.272281</v>
      </c>
      <c r="H140" s="118">
        <f t="shared" si="43"/>
        <v>1970.594476</v>
      </c>
      <c r="I140" s="118">
        <f t="shared" si="43"/>
        <v>4401.04171</v>
      </c>
      <c r="J140" s="118"/>
      <c r="K140" s="118"/>
      <c r="L140" s="118"/>
      <c r="M140" s="118"/>
      <c r="N140" s="118"/>
      <c r="O140" s="118"/>
      <c r="P140" s="118"/>
    </row>
    <row r="141" ht="15.0" customHeight="1">
      <c r="A141" s="202" t="s">
        <v>183</v>
      </c>
      <c r="B141" s="203">
        <f t="shared" ref="B141:I141" si="44">B140/B14</f>
        <v>0.03931830274</v>
      </c>
      <c r="C141" s="203">
        <f t="shared" si="44"/>
        <v>0.09320478397</v>
      </c>
      <c r="D141" s="203">
        <f t="shared" si="44"/>
        <v>0.0457196275</v>
      </c>
      <c r="E141" s="203">
        <f t="shared" si="44"/>
        <v>0.07559931688</v>
      </c>
      <c r="F141" s="203">
        <f t="shared" si="44"/>
        <v>0.04015588907</v>
      </c>
      <c r="G141" s="203">
        <f t="shared" si="44"/>
        <v>0.05703022731</v>
      </c>
      <c r="H141" s="203">
        <f t="shared" si="44"/>
        <v>0.01254386052</v>
      </c>
      <c r="I141" s="203">
        <f t="shared" si="44"/>
        <v>0.01892731363</v>
      </c>
      <c r="J141" s="203"/>
      <c r="K141" s="203"/>
      <c r="L141" s="203"/>
      <c r="M141" s="203"/>
      <c r="N141" s="203"/>
      <c r="O141" s="203"/>
      <c r="P141" s="203"/>
    </row>
    <row r="142" ht="15.0" customHeight="1">
      <c r="A142" s="204"/>
      <c r="B142" s="84"/>
      <c r="C142" s="205"/>
      <c r="D142" s="205"/>
      <c r="E142" s="205"/>
      <c r="F142" s="205"/>
      <c r="G142" s="205"/>
      <c r="H142" s="205"/>
      <c r="I142" s="205"/>
      <c r="J142" s="205"/>
      <c r="K142" s="205"/>
      <c r="L142" s="205"/>
      <c r="M142" s="205"/>
      <c r="N142" s="205"/>
      <c r="O142" s="205"/>
      <c r="P142" s="205"/>
    </row>
    <row r="143" ht="15.0" customHeight="1">
      <c r="A143" s="204" t="s">
        <v>184</v>
      </c>
      <c r="B143" s="206">
        <f t="array" ref="B143">B141/index(GiveDirectly!$B:$B,match("Units of value generated per philanthropic dollar spent, after accounting for all adjustments",GiveDirectly!$A:$A,0))</f>
        <v>11.72094349</v>
      </c>
      <c r="C143" s="206">
        <f t="array" ref="C143">C141/index(GiveDirectly!$B:$B,match("Units of value generated per philanthropic dollar spent, after accounting for all adjustments",GiveDirectly!$A:$A,0))</f>
        <v>27.78471932</v>
      </c>
      <c r="D143" s="206">
        <f t="array" ref="D143">D141/index(GiveDirectly!$B:$B,match("Units of value generated per philanthropic dollar spent, after accounting for all adjustments",GiveDirectly!$A:$A,0))</f>
        <v>13.62920403</v>
      </c>
      <c r="E143" s="206">
        <f t="array" ref="E143">E141/index(GiveDirectly!$B:$B,match("Units of value generated per philanthropic dollar spent, after accounting for all adjustments",GiveDirectly!$A:$A,0))</f>
        <v>22.53645908</v>
      </c>
      <c r="F143" s="206">
        <f t="array" ref="F143">F141/index(GiveDirectly!$B:$B,match("Units of value generated per philanthropic dollar spent, after accounting for all adjustments",GiveDirectly!$A:$A,0))</f>
        <v>11.97063133</v>
      </c>
      <c r="G143" s="206">
        <f t="array" ref="G143">G141/index(GiveDirectly!$B:$B,match("Units of value generated per philanthropic dollar spent, after accounting for all adjustments",GiveDirectly!$A:$A,0))</f>
        <v>17.00093913</v>
      </c>
      <c r="H143" s="206">
        <f t="array" ref="H143">H141/index(GiveDirectly!$B:$B,match("Units of value generated per philanthropic dollar spent, after accounting for all adjustments",GiveDirectly!$A:$A,0))</f>
        <v>3.739375051</v>
      </c>
      <c r="I143" s="206">
        <f t="array" ref="I143">I141/index(GiveDirectly!$B:$B,match("Units of value generated per philanthropic dollar spent, after accounting for all adjustments",GiveDirectly!$A:$A,0))</f>
        <v>5.642307982</v>
      </c>
      <c r="J143" s="206"/>
      <c r="K143" s="206"/>
      <c r="L143" s="206"/>
      <c r="M143" s="206"/>
      <c r="N143" s="206"/>
      <c r="O143" s="206"/>
      <c r="P143" s="206"/>
    </row>
    <row r="144" ht="15.0" customHeight="1">
      <c r="A144" s="77"/>
      <c r="B144" s="84"/>
      <c r="C144" s="118"/>
      <c r="D144" s="118"/>
      <c r="E144" s="118"/>
      <c r="F144" s="118"/>
      <c r="G144" s="118"/>
      <c r="H144" s="118"/>
      <c r="I144" s="118"/>
      <c r="J144" s="118"/>
      <c r="K144" s="118"/>
      <c r="L144" s="118"/>
      <c r="M144" s="118"/>
      <c r="N144" s="118"/>
      <c r="O144" s="118"/>
      <c r="P144" s="118"/>
    </row>
    <row r="145" ht="15.0" customHeight="1">
      <c r="A145" s="77" t="s">
        <v>185</v>
      </c>
      <c r="B145" s="117">
        <f t="shared" ref="B145:I145" si="45">B69/B$140</f>
        <v>0.5638523823</v>
      </c>
      <c r="C145" s="117">
        <f t="shared" si="45"/>
        <v>0.5582616383</v>
      </c>
      <c r="D145" s="117">
        <f t="shared" si="45"/>
        <v>0.2831023225</v>
      </c>
      <c r="E145" s="117">
        <f t="shared" si="45"/>
        <v>0.4490446274</v>
      </c>
      <c r="F145" s="117">
        <f t="shared" si="45"/>
        <v>0.439316391</v>
      </c>
      <c r="G145" s="117">
        <f t="shared" si="45"/>
        <v>0.5197504684</v>
      </c>
      <c r="H145" s="117">
        <f t="shared" si="45"/>
        <v>0.4838129446</v>
      </c>
      <c r="I145" s="117">
        <f t="shared" si="45"/>
        <v>0.5969905251</v>
      </c>
      <c r="J145" s="117"/>
      <c r="K145" s="117"/>
      <c r="L145" s="117"/>
      <c r="M145" s="117"/>
      <c r="N145" s="117"/>
      <c r="O145" s="117"/>
      <c r="P145" s="117"/>
    </row>
    <row r="146" ht="15.0" customHeight="1">
      <c r="A146" s="77" t="s">
        <v>186</v>
      </c>
      <c r="B146" s="117">
        <f t="shared" ref="B146:I146" si="46">B84/B$140</f>
        <v>0.08428924256</v>
      </c>
      <c r="C146" s="117">
        <f t="shared" si="46"/>
        <v>0.1084495716</v>
      </c>
      <c r="D146" s="117">
        <f t="shared" si="46"/>
        <v>0.2696330337</v>
      </c>
      <c r="E146" s="117">
        <f t="shared" si="46"/>
        <v>0.06765731098</v>
      </c>
      <c r="F146" s="117">
        <f t="shared" si="46"/>
        <v>0.1897422015</v>
      </c>
      <c r="G146" s="117">
        <f t="shared" si="46"/>
        <v>0.1907354363</v>
      </c>
      <c r="H146" s="117">
        <f t="shared" si="46"/>
        <v>0.1436807224</v>
      </c>
      <c r="I146" s="117">
        <f t="shared" si="46"/>
        <v>0.08240234205</v>
      </c>
      <c r="J146" s="117"/>
      <c r="K146" s="117"/>
      <c r="L146" s="117"/>
      <c r="M146" s="117"/>
      <c r="N146" s="117"/>
      <c r="O146" s="117"/>
      <c r="P146" s="117"/>
    </row>
    <row r="147" ht="15.0" customHeight="1">
      <c r="A147" s="77" t="s">
        <v>187</v>
      </c>
      <c r="B147" s="117">
        <f t="shared" ref="B147:I147" si="47">B134/B$140</f>
        <v>0.3518583752</v>
      </c>
      <c r="C147" s="117">
        <f t="shared" si="47"/>
        <v>0.3332887901</v>
      </c>
      <c r="D147" s="117">
        <f t="shared" si="47"/>
        <v>0.4472646439</v>
      </c>
      <c r="E147" s="117">
        <f t="shared" si="47"/>
        <v>0.4832980617</v>
      </c>
      <c r="F147" s="117">
        <f t="shared" si="47"/>
        <v>0.3709414075</v>
      </c>
      <c r="G147" s="117">
        <f t="shared" si="47"/>
        <v>0.2895140953</v>
      </c>
      <c r="H147" s="117">
        <f t="shared" si="47"/>
        <v>0.372506333</v>
      </c>
      <c r="I147" s="117">
        <f t="shared" si="47"/>
        <v>0.3206071328</v>
      </c>
      <c r="J147" s="117"/>
      <c r="K147" s="117"/>
      <c r="L147" s="117"/>
      <c r="M147" s="117"/>
      <c r="N147" s="117"/>
      <c r="O147" s="117"/>
      <c r="P147" s="117"/>
    </row>
    <row r="148" ht="15.0" customHeight="1">
      <c r="A148" s="77"/>
      <c r="B148" s="84"/>
      <c r="C148" s="118"/>
      <c r="D148" s="118"/>
      <c r="E148" s="118"/>
      <c r="F148" s="118"/>
      <c r="G148" s="118"/>
      <c r="H148" s="118"/>
      <c r="I148" s="118"/>
      <c r="J148" s="118"/>
      <c r="K148" s="118"/>
      <c r="L148" s="118"/>
      <c r="M148" s="118"/>
      <c r="N148" s="118"/>
      <c r="O148" s="118"/>
      <c r="P148" s="118"/>
    </row>
    <row r="149" ht="15.0" customHeight="1">
      <c r="A149" s="207" t="s">
        <v>188</v>
      </c>
      <c r="B149" s="26"/>
      <c r="C149" s="208"/>
      <c r="D149" s="208"/>
      <c r="E149" s="208"/>
      <c r="F149" s="208"/>
      <c r="G149" s="208"/>
      <c r="H149" s="208"/>
      <c r="I149" s="208"/>
      <c r="J149" s="208"/>
      <c r="K149" s="208"/>
      <c r="L149" s="208"/>
      <c r="M149" s="208"/>
      <c r="N149" s="208"/>
      <c r="O149" s="208"/>
      <c r="P149" s="208"/>
    </row>
    <row r="150" ht="15.0" customHeight="1" outlineLevel="1">
      <c r="A150" s="209"/>
      <c r="B150" s="151"/>
      <c r="C150" s="210"/>
      <c r="D150" s="210"/>
      <c r="E150" s="210"/>
      <c r="F150" s="210"/>
      <c r="G150" s="210"/>
      <c r="H150" s="210"/>
      <c r="I150" s="210"/>
      <c r="J150" s="210"/>
      <c r="K150" s="210"/>
      <c r="L150" s="210"/>
      <c r="M150" s="210"/>
      <c r="N150" s="210"/>
      <c r="O150" s="210"/>
      <c r="P150" s="210"/>
    </row>
    <row r="151" ht="15.0" customHeight="1" outlineLevel="1">
      <c r="A151" s="178" t="s">
        <v>189</v>
      </c>
      <c r="B151" s="89"/>
      <c r="C151" s="210"/>
      <c r="D151" s="210"/>
      <c r="E151" s="210"/>
      <c r="F151" s="210"/>
      <c r="G151" s="210"/>
      <c r="H151" s="210"/>
      <c r="I151" s="210"/>
      <c r="J151" s="210"/>
      <c r="K151" s="210"/>
      <c r="L151" s="210"/>
      <c r="M151" s="210"/>
      <c r="N151" s="210"/>
      <c r="O151" s="210"/>
      <c r="P151" s="210"/>
    </row>
    <row r="152" ht="15.0" customHeight="1" outlineLevel="1">
      <c r="A152" s="176" t="s">
        <v>190</v>
      </c>
      <c r="B152" s="211">
        <v>0.0</v>
      </c>
      <c r="C152" s="211">
        <v>0.0</v>
      </c>
      <c r="D152" s="211">
        <v>0.0</v>
      </c>
      <c r="E152" s="211">
        <v>0.0</v>
      </c>
      <c r="F152" s="211">
        <v>0.0</v>
      </c>
      <c r="G152" s="211">
        <v>0.0</v>
      </c>
      <c r="H152" s="211">
        <v>0.0</v>
      </c>
      <c r="I152" s="211">
        <v>0.0</v>
      </c>
      <c r="J152" s="212"/>
      <c r="K152" s="212"/>
      <c r="L152" s="212"/>
      <c r="M152" s="212"/>
      <c r="N152" s="212"/>
      <c r="O152" s="212"/>
      <c r="P152" s="212"/>
    </row>
    <row r="153" ht="15.0" customHeight="1" outlineLevel="1">
      <c r="A153" s="176" t="s">
        <v>191</v>
      </c>
      <c r="B153" s="111">
        <v>0.0</v>
      </c>
      <c r="C153" s="111">
        <v>0.0</v>
      </c>
      <c r="D153" s="111">
        <v>0.0</v>
      </c>
      <c r="E153" s="111">
        <v>0.0</v>
      </c>
      <c r="F153" s="111">
        <v>0.0</v>
      </c>
      <c r="G153" s="111">
        <v>0.0</v>
      </c>
      <c r="H153" s="111">
        <v>0.0</v>
      </c>
      <c r="I153" s="111">
        <v>0.0</v>
      </c>
      <c r="J153" s="212"/>
      <c r="K153" s="212"/>
      <c r="L153" s="212"/>
      <c r="M153" s="212"/>
      <c r="N153" s="212"/>
      <c r="O153" s="212"/>
      <c r="P153" s="212"/>
    </row>
    <row r="154" ht="15.0" customHeight="1" outlineLevel="1">
      <c r="A154" s="213" t="s">
        <v>192</v>
      </c>
      <c r="B154" s="214">
        <v>0.0</v>
      </c>
      <c r="C154" s="214">
        <v>0.0</v>
      </c>
      <c r="D154" s="214">
        <v>0.0</v>
      </c>
      <c r="E154" s="214">
        <v>0.0</v>
      </c>
      <c r="F154" s="214">
        <v>0.0</v>
      </c>
      <c r="G154" s="214">
        <v>0.0</v>
      </c>
      <c r="H154" s="214">
        <v>0.0</v>
      </c>
      <c r="I154" s="214">
        <v>0.0</v>
      </c>
      <c r="J154" s="212"/>
      <c r="K154" s="212"/>
      <c r="L154" s="212"/>
      <c r="M154" s="212"/>
      <c r="N154" s="212"/>
      <c r="O154" s="212"/>
      <c r="P154" s="212"/>
    </row>
    <row r="155" ht="15.0" customHeight="1" outlineLevel="1">
      <c r="A155" s="215" t="s">
        <v>193</v>
      </c>
      <c r="B155" s="216">
        <f t="shared" ref="B155:I155" si="48">SUM(B152:B154)</f>
        <v>0</v>
      </c>
      <c r="C155" s="217">
        <f t="shared" si="48"/>
        <v>0</v>
      </c>
      <c r="D155" s="217">
        <f t="shared" si="48"/>
        <v>0</v>
      </c>
      <c r="E155" s="217">
        <f t="shared" si="48"/>
        <v>0</v>
      </c>
      <c r="F155" s="217">
        <f t="shared" si="48"/>
        <v>0</v>
      </c>
      <c r="G155" s="217">
        <f t="shared" si="48"/>
        <v>0</v>
      </c>
      <c r="H155" s="217">
        <f t="shared" si="48"/>
        <v>0</v>
      </c>
      <c r="I155" s="217">
        <f t="shared" si="48"/>
        <v>0</v>
      </c>
      <c r="J155" s="218"/>
      <c r="K155" s="218"/>
      <c r="L155" s="218"/>
      <c r="M155" s="218"/>
      <c r="N155" s="218"/>
      <c r="O155" s="218"/>
      <c r="P155" s="218"/>
    </row>
    <row r="156" ht="15.0" customHeight="1" outlineLevel="1">
      <c r="A156" s="176"/>
      <c r="B156" s="89"/>
      <c r="C156" s="210"/>
      <c r="D156" s="210"/>
      <c r="E156" s="210"/>
      <c r="F156" s="210"/>
      <c r="G156" s="210"/>
      <c r="H156" s="210"/>
      <c r="I156" s="210"/>
      <c r="J156" s="210"/>
      <c r="K156" s="210"/>
      <c r="L156" s="210"/>
      <c r="M156" s="210"/>
      <c r="N156" s="210"/>
      <c r="O156" s="210"/>
      <c r="P156" s="210"/>
    </row>
    <row r="157" ht="15.0" customHeight="1" outlineLevel="1">
      <c r="A157" s="209" t="s">
        <v>194</v>
      </c>
      <c r="B157" s="89"/>
      <c r="C157" s="210"/>
      <c r="D157" s="210"/>
      <c r="E157" s="210"/>
      <c r="F157" s="210"/>
      <c r="G157" s="210"/>
      <c r="H157" s="210"/>
      <c r="I157" s="210"/>
      <c r="J157" s="210"/>
      <c r="K157" s="210"/>
      <c r="L157" s="210"/>
      <c r="M157" s="210"/>
      <c r="N157" s="210"/>
      <c r="O157" s="210"/>
      <c r="P157" s="210"/>
    </row>
    <row r="158" ht="15.0" customHeight="1" outlineLevel="1">
      <c r="A158" s="176" t="s">
        <v>195</v>
      </c>
      <c r="B158" s="111">
        <v>0.02</v>
      </c>
      <c r="C158" s="111">
        <v>0.02</v>
      </c>
      <c r="D158" s="111">
        <v>0.02</v>
      </c>
      <c r="E158" s="111">
        <v>0.02</v>
      </c>
      <c r="F158" s="111">
        <v>0.02</v>
      </c>
      <c r="G158" s="111">
        <v>0.02</v>
      </c>
      <c r="H158" s="111">
        <v>0.02</v>
      </c>
      <c r="I158" s="111">
        <v>0.02</v>
      </c>
      <c r="J158" s="212"/>
      <c r="K158" s="212"/>
      <c r="L158" s="212"/>
      <c r="M158" s="212"/>
      <c r="N158" s="212"/>
      <c r="O158" s="212"/>
      <c r="P158" s="212"/>
    </row>
    <row r="159" ht="15.0" customHeight="1" outlineLevel="1">
      <c r="A159" s="176" t="s">
        <v>196</v>
      </c>
      <c r="B159" s="111">
        <v>0.02</v>
      </c>
      <c r="C159" s="111">
        <v>0.02</v>
      </c>
      <c r="D159" s="111">
        <v>0.02</v>
      </c>
      <c r="E159" s="111">
        <v>0.02</v>
      </c>
      <c r="F159" s="111">
        <v>0.02</v>
      </c>
      <c r="G159" s="111">
        <v>0.02</v>
      </c>
      <c r="H159" s="111">
        <v>0.02</v>
      </c>
      <c r="I159" s="111">
        <v>0.02</v>
      </c>
      <c r="J159" s="212"/>
      <c r="K159" s="212"/>
      <c r="L159" s="212"/>
      <c r="M159" s="212"/>
      <c r="N159" s="212"/>
      <c r="O159" s="212"/>
      <c r="P159" s="212"/>
    </row>
    <row r="160" ht="15.0" customHeight="1" outlineLevel="1">
      <c r="A160" s="215" t="s">
        <v>197</v>
      </c>
      <c r="B160" s="217">
        <f t="shared" ref="B160:I160" si="49">sum(B157:B159)</f>
        <v>0.04</v>
      </c>
      <c r="C160" s="217">
        <f t="shared" si="49"/>
        <v>0.04</v>
      </c>
      <c r="D160" s="217">
        <f t="shared" si="49"/>
        <v>0.04</v>
      </c>
      <c r="E160" s="217">
        <f t="shared" si="49"/>
        <v>0.04</v>
      </c>
      <c r="F160" s="217">
        <f t="shared" si="49"/>
        <v>0.04</v>
      </c>
      <c r="G160" s="217">
        <f t="shared" si="49"/>
        <v>0.04</v>
      </c>
      <c r="H160" s="217">
        <f t="shared" si="49"/>
        <v>0.04</v>
      </c>
      <c r="I160" s="217">
        <f t="shared" si="49"/>
        <v>0.04</v>
      </c>
      <c r="J160" s="218"/>
      <c r="K160" s="218"/>
      <c r="L160" s="218"/>
      <c r="M160" s="218"/>
      <c r="N160" s="218"/>
      <c r="O160" s="218"/>
      <c r="P160" s="218"/>
    </row>
    <row r="161" ht="15.0" customHeight="1" outlineLevel="1">
      <c r="A161" s="176"/>
      <c r="B161" s="210"/>
      <c r="C161" s="210"/>
      <c r="D161" s="210"/>
      <c r="E161" s="210"/>
      <c r="F161" s="210"/>
      <c r="G161" s="210"/>
      <c r="H161" s="210"/>
      <c r="I161" s="210"/>
      <c r="J161" s="210"/>
      <c r="K161" s="210"/>
      <c r="L161" s="210"/>
      <c r="M161" s="210"/>
      <c r="N161" s="210"/>
      <c r="O161" s="210"/>
      <c r="P161" s="210"/>
    </row>
    <row r="162" ht="15.0" customHeight="1" outlineLevel="1">
      <c r="A162" s="178" t="s">
        <v>198</v>
      </c>
      <c r="B162" s="210"/>
      <c r="C162" s="210"/>
      <c r="D162" s="210"/>
      <c r="E162" s="210"/>
      <c r="F162" s="210"/>
      <c r="G162" s="210"/>
      <c r="H162" s="210"/>
      <c r="I162" s="210"/>
      <c r="J162" s="210"/>
      <c r="K162" s="210"/>
      <c r="L162" s="210"/>
      <c r="M162" s="210"/>
      <c r="N162" s="210"/>
      <c r="O162" s="210"/>
      <c r="P162" s="210"/>
    </row>
    <row r="163" ht="15.0" customHeight="1" outlineLevel="1">
      <c r="A163" s="176" t="s">
        <v>199</v>
      </c>
      <c r="B163" s="211">
        <v>0.0</v>
      </c>
      <c r="C163" s="211">
        <v>0.0</v>
      </c>
      <c r="D163" s="211">
        <v>0.0</v>
      </c>
      <c r="E163" s="211">
        <v>0.0</v>
      </c>
      <c r="F163" s="211">
        <v>0.0</v>
      </c>
      <c r="G163" s="211">
        <v>0.0</v>
      </c>
      <c r="H163" s="211">
        <v>0.0</v>
      </c>
      <c r="I163" s="211">
        <v>0.0</v>
      </c>
      <c r="J163" s="212"/>
      <c r="K163" s="212"/>
      <c r="L163" s="212"/>
      <c r="M163" s="212"/>
      <c r="N163" s="212"/>
      <c r="O163" s="212"/>
      <c r="P163" s="212"/>
    </row>
    <row r="164" ht="15.0" customHeight="1" outlineLevel="1">
      <c r="A164" s="176" t="s">
        <v>200</v>
      </c>
      <c r="B164" s="211">
        <v>0.0</v>
      </c>
      <c r="C164" s="211">
        <v>0.0</v>
      </c>
      <c r="D164" s="211">
        <v>0.0</v>
      </c>
      <c r="E164" s="211">
        <v>0.0</v>
      </c>
      <c r="F164" s="211">
        <v>0.0</v>
      </c>
      <c r="G164" s="211">
        <v>0.0</v>
      </c>
      <c r="H164" s="211">
        <v>0.0</v>
      </c>
      <c r="I164" s="211">
        <v>0.0</v>
      </c>
      <c r="J164" s="212"/>
      <c r="K164" s="212"/>
      <c r="L164" s="212"/>
      <c r="M164" s="212"/>
      <c r="N164" s="212"/>
      <c r="O164" s="212"/>
      <c r="P164" s="212"/>
    </row>
    <row r="165" ht="15.0" customHeight="1" outlineLevel="1">
      <c r="A165" s="176" t="s">
        <v>201</v>
      </c>
      <c r="B165" s="211">
        <v>0.0</v>
      </c>
      <c r="C165" s="211">
        <v>0.0</v>
      </c>
      <c r="D165" s="211">
        <v>0.0</v>
      </c>
      <c r="E165" s="211">
        <v>0.0</v>
      </c>
      <c r="F165" s="211">
        <v>0.0</v>
      </c>
      <c r="G165" s="211">
        <v>0.0</v>
      </c>
      <c r="H165" s="211">
        <v>0.0</v>
      </c>
      <c r="I165" s="211">
        <v>0.0</v>
      </c>
      <c r="J165" s="212"/>
      <c r="K165" s="212"/>
      <c r="L165" s="212"/>
      <c r="M165" s="212"/>
      <c r="N165" s="212"/>
      <c r="O165" s="212"/>
      <c r="P165" s="212"/>
    </row>
    <row r="166" ht="15.0" customHeight="1" outlineLevel="1">
      <c r="A166" s="219" t="s">
        <v>202</v>
      </c>
      <c r="B166" s="216">
        <f t="shared" ref="B166:I166" si="50">sum(B163:B165)</f>
        <v>0</v>
      </c>
      <c r="C166" s="217">
        <f t="shared" si="50"/>
        <v>0</v>
      </c>
      <c r="D166" s="217">
        <f t="shared" si="50"/>
        <v>0</v>
      </c>
      <c r="E166" s="217">
        <f t="shared" si="50"/>
        <v>0</v>
      </c>
      <c r="F166" s="217">
        <f t="shared" si="50"/>
        <v>0</v>
      </c>
      <c r="G166" s="217">
        <f t="shared" si="50"/>
        <v>0</v>
      </c>
      <c r="H166" s="217">
        <f t="shared" si="50"/>
        <v>0</v>
      </c>
      <c r="I166" s="217">
        <f t="shared" si="50"/>
        <v>0</v>
      </c>
      <c r="J166" s="218"/>
      <c r="K166" s="218"/>
      <c r="L166" s="218"/>
      <c r="M166" s="218"/>
      <c r="N166" s="218"/>
      <c r="O166" s="218"/>
      <c r="P166" s="218"/>
    </row>
    <row r="167" ht="15.0" customHeight="1" outlineLevel="1">
      <c r="A167" s="176"/>
      <c r="B167" s="89"/>
      <c r="C167" s="210"/>
      <c r="D167" s="210"/>
      <c r="E167" s="210"/>
      <c r="F167" s="210"/>
      <c r="G167" s="210"/>
      <c r="H167" s="210"/>
      <c r="I167" s="210"/>
      <c r="J167" s="210"/>
      <c r="K167" s="210"/>
      <c r="L167" s="210"/>
      <c r="M167" s="210"/>
      <c r="N167" s="210"/>
      <c r="O167" s="210"/>
      <c r="P167" s="210"/>
    </row>
    <row r="168" ht="15.0" customHeight="1" outlineLevel="1">
      <c r="A168" s="71" t="s">
        <v>203</v>
      </c>
      <c r="B168" s="124">
        <f t="shared" ref="B168:I168" si="51">1-sum(B155,B160,B166)</f>
        <v>0.96</v>
      </c>
      <c r="C168" s="218">
        <f t="shared" si="51"/>
        <v>0.96</v>
      </c>
      <c r="D168" s="218">
        <f t="shared" si="51"/>
        <v>0.96</v>
      </c>
      <c r="E168" s="218">
        <f t="shared" si="51"/>
        <v>0.96</v>
      </c>
      <c r="F168" s="218">
        <f t="shared" si="51"/>
        <v>0.96</v>
      </c>
      <c r="G168" s="218">
        <f t="shared" si="51"/>
        <v>0.96</v>
      </c>
      <c r="H168" s="218">
        <f t="shared" si="51"/>
        <v>0.96</v>
      </c>
      <c r="I168" s="218">
        <f t="shared" si="51"/>
        <v>0.96</v>
      </c>
      <c r="J168" s="218"/>
      <c r="K168" s="218"/>
      <c r="L168" s="218"/>
      <c r="M168" s="218"/>
      <c r="N168" s="218"/>
      <c r="O168" s="218"/>
      <c r="P168" s="218"/>
    </row>
    <row r="169" ht="15.0" customHeight="1">
      <c r="A169" s="77"/>
      <c r="B169" s="84"/>
      <c r="C169" s="118"/>
      <c r="D169" s="118"/>
      <c r="E169" s="118"/>
      <c r="F169" s="118"/>
      <c r="G169" s="118"/>
      <c r="H169" s="118"/>
      <c r="I169" s="118"/>
      <c r="J169" s="118"/>
      <c r="K169" s="118"/>
      <c r="L169" s="118"/>
      <c r="M169" s="118"/>
      <c r="N169" s="118"/>
      <c r="O169" s="118"/>
      <c r="P169" s="118"/>
    </row>
    <row r="170" ht="15.0" customHeight="1">
      <c r="A170" s="207" t="s">
        <v>204</v>
      </c>
      <c r="B170" s="161"/>
      <c r="C170" s="161"/>
      <c r="D170" s="161"/>
      <c r="E170" s="161"/>
      <c r="F170" s="161"/>
      <c r="G170" s="161"/>
      <c r="H170" s="161"/>
      <c r="I170" s="161"/>
      <c r="J170" s="161"/>
      <c r="K170" s="161"/>
      <c r="L170" s="161"/>
      <c r="M170" s="161"/>
      <c r="N170" s="161"/>
      <c r="O170" s="161"/>
      <c r="P170" s="161"/>
    </row>
    <row r="171" ht="15.0" customHeight="1">
      <c r="A171" s="55"/>
      <c r="B171" s="84"/>
      <c r="C171" s="118"/>
      <c r="D171" s="118"/>
      <c r="E171" s="118"/>
      <c r="F171" s="118"/>
      <c r="G171" s="118"/>
      <c r="H171" s="118"/>
      <c r="I171" s="118"/>
      <c r="J171" s="118"/>
      <c r="K171" s="118"/>
      <c r="L171" s="118"/>
      <c r="M171" s="118"/>
      <c r="N171" s="118"/>
      <c r="O171" s="118"/>
      <c r="P171" s="118"/>
    </row>
    <row r="172" ht="15.0" customHeight="1">
      <c r="A172" s="55" t="s">
        <v>205</v>
      </c>
      <c r="B172" s="84">
        <f t="shared" ref="B172:I172" si="52">B88*B168</f>
        <v>44.95730653</v>
      </c>
      <c r="C172" s="118">
        <f t="shared" si="52"/>
        <v>88.32884331</v>
      </c>
      <c r="D172" s="118">
        <f t="shared" si="52"/>
        <v>41.10155258</v>
      </c>
      <c r="E172" s="118">
        <f t="shared" si="52"/>
        <v>57.96765545</v>
      </c>
      <c r="F172" s="118">
        <f t="shared" si="52"/>
        <v>36.07020541</v>
      </c>
      <c r="G172" s="118">
        <f t="shared" si="52"/>
        <v>56.89974417</v>
      </c>
      <c r="H172" s="118">
        <f t="shared" si="52"/>
        <v>11.58675509</v>
      </c>
      <c r="I172" s="118">
        <f t="shared" si="52"/>
        <v>26.45329171</v>
      </c>
      <c r="J172" s="118"/>
      <c r="K172" s="118"/>
      <c r="L172" s="118"/>
      <c r="M172" s="118"/>
      <c r="N172" s="118"/>
      <c r="O172" s="118"/>
      <c r="P172" s="118"/>
    </row>
    <row r="173" ht="15.0" customHeight="1">
      <c r="A173" s="91" t="s">
        <v>206</v>
      </c>
      <c r="B173" s="101">
        <f t="shared" ref="B173:I173" si="53">B14/B172</f>
        <v>4414.159602</v>
      </c>
      <c r="C173" s="101">
        <f t="shared" si="53"/>
        <v>1778.539445</v>
      </c>
      <c r="D173" s="101">
        <f t="shared" si="53"/>
        <v>3723.342601</v>
      </c>
      <c r="E173" s="101">
        <f t="shared" si="53"/>
        <v>2878.344769</v>
      </c>
      <c r="F173" s="101">
        <f t="shared" si="53"/>
        <v>4071.413542</v>
      </c>
      <c r="G173" s="101">
        <f t="shared" si="53"/>
        <v>2580.97334</v>
      </c>
      <c r="H173" s="101">
        <f t="shared" si="53"/>
        <v>13558.2681</v>
      </c>
      <c r="I173" s="101">
        <f t="shared" si="53"/>
        <v>8789.957697</v>
      </c>
      <c r="J173" s="101"/>
      <c r="K173" s="101"/>
      <c r="L173" s="101"/>
      <c r="M173" s="101"/>
      <c r="N173" s="101"/>
      <c r="O173" s="101"/>
      <c r="P173" s="101"/>
    </row>
    <row r="174" ht="15.0" customHeight="1">
      <c r="A174" s="55"/>
      <c r="B174" s="84"/>
      <c r="C174" s="118"/>
      <c r="D174" s="118"/>
      <c r="E174" s="118"/>
      <c r="F174" s="118"/>
      <c r="G174" s="118"/>
      <c r="H174" s="118"/>
      <c r="I174" s="118"/>
      <c r="J174" s="118"/>
      <c r="K174" s="118"/>
      <c r="L174" s="118"/>
      <c r="M174" s="118"/>
      <c r="N174" s="118"/>
      <c r="O174" s="118"/>
      <c r="P174" s="118"/>
    </row>
    <row r="175" ht="15.0" customHeight="1">
      <c r="A175" s="91" t="s">
        <v>207</v>
      </c>
      <c r="B175" s="84">
        <f t="shared" ref="B175:I175" si="54">B140*B168</f>
        <v>7490.560415</v>
      </c>
      <c r="C175" s="118">
        <f t="shared" si="54"/>
        <v>14056.44449</v>
      </c>
      <c r="D175" s="118">
        <f t="shared" si="54"/>
        <v>6716.842162</v>
      </c>
      <c r="E175" s="118">
        <f t="shared" si="54"/>
        <v>12109.26134</v>
      </c>
      <c r="F175" s="118">
        <f t="shared" si="54"/>
        <v>5661.275778</v>
      </c>
      <c r="G175" s="118">
        <f t="shared" si="54"/>
        <v>8040.26139</v>
      </c>
      <c r="H175" s="118">
        <f t="shared" si="54"/>
        <v>1891.770697</v>
      </c>
      <c r="I175" s="118">
        <f t="shared" si="54"/>
        <v>4225.000042</v>
      </c>
      <c r="J175" s="118"/>
      <c r="K175" s="118"/>
      <c r="L175" s="118"/>
      <c r="M175" s="118"/>
      <c r="N175" s="118"/>
      <c r="O175" s="118"/>
      <c r="P175" s="118"/>
    </row>
    <row r="176" ht="15.0" customHeight="1">
      <c r="A176" s="220" t="s">
        <v>208</v>
      </c>
      <c r="B176" s="203">
        <f t="shared" ref="B176:I176" si="55">B175/B14</f>
        <v>0.03774557063</v>
      </c>
      <c r="C176" s="203">
        <f t="shared" si="55"/>
        <v>0.08947659261</v>
      </c>
      <c r="D176" s="203">
        <f t="shared" si="55"/>
        <v>0.0438908424</v>
      </c>
      <c r="E176" s="203">
        <f t="shared" si="55"/>
        <v>0.0725753442</v>
      </c>
      <c r="F176" s="203">
        <f t="shared" si="55"/>
        <v>0.03854965351</v>
      </c>
      <c r="G176" s="203">
        <f t="shared" si="55"/>
        <v>0.05474901822</v>
      </c>
      <c r="H176" s="203">
        <f t="shared" si="55"/>
        <v>0.0120421061</v>
      </c>
      <c r="I176" s="203">
        <f t="shared" si="55"/>
        <v>0.01817022108</v>
      </c>
      <c r="J176" s="203"/>
      <c r="K176" s="203"/>
      <c r="L176" s="203"/>
      <c r="M176" s="203"/>
      <c r="N176" s="203"/>
      <c r="O176" s="203"/>
      <c r="P176" s="203"/>
    </row>
    <row r="177" ht="15.0" customHeight="1">
      <c r="A177" s="221" t="s">
        <v>209</v>
      </c>
      <c r="B177" s="222">
        <f t="array" ref="B177">B176/index(GiveDirectly!$B:$B,match("Units of value generated per philanthropic dollar spent, after accounting for all adjustments",GiveDirectly!$A:$A,0))</f>
        <v>11.25210575</v>
      </c>
      <c r="C177" s="222">
        <f t="array" ref="C177">C176/index(GiveDirectly!$B:$B,match("Units of value generated per philanthropic dollar spent, after accounting for all adjustments",GiveDirectly!$A:$A,0))</f>
        <v>26.67333055</v>
      </c>
      <c r="D177" s="222">
        <f t="array" ref="D177">D176/index(GiveDirectly!$B:$B,match("Units of value generated per philanthropic dollar spent, after accounting for all adjustments",GiveDirectly!$A:$A,0))</f>
        <v>13.08403587</v>
      </c>
      <c r="E177" s="222">
        <f t="array" ref="E177">E176/index(GiveDirectly!$B:$B,match("Units of value generated per philanthropic dollar spent, after accounting for all adjustments",GiveDirectly!$A:$A,0))</f>
        <v>21.63500072</v>
      </c>
      <c r="F177" s="222">
        <f t="array" ref="F177">F176/index(GiveDirectly!$B:$B,match("Units of value generated per philanthropic dollar spent, after accounting for all adjustments",GiveDirectly!$A:$A,0))</f>
        <v>11.49180608</v>
      </c>
      <c r="G177" s="222">
        <f t="array" ref="G177">G176/index(GiveDirectly!$B:$B,match("Units of value generated per philanthropic dollar spent, after accounting for all adjustments",GiveDirectly!$A:$A,0))</f>
        <v>16.32090156</v>
      </c>
      <c r="H177" s="222">
        <f t="array" ref="H177">H176/index(GiveDirectly!$B:$B,match("Units of value generated per philanthropic dollar spent, after accounting for all adjustments",GiveDirectly!$A:$A,0))</f>
        <v>3.589800049</v>
      </c>
      <c r="I177" s="222">
        <f t="array" ref="I177">I176/index(GiveDirectly!$B:$B,match("Units of value generated per philanthropic dollar spent, after accounting for all adjustments",GiveDirectly!$A:$A,0))</f>
        <v>5.416615663</v>
      </c>
      <c r="J177" s="222"/>
      <c r="K177" s="222"/>
      <c r="L177" s="222"/>
      <c r="M177" s="222"/>
      <c r="N177" s="222"/>
      <c r="O177" s="222"/>
      <c r="P177" s="222"/>
    </row>
    <row r="178" ht="15.0" customHeight="1">
      <c r="A178" s="77"/>
      <c r="B178" s="223"/>
      <c r="C178" s="118"/>
      <c r="D178" s="118"/>
      <c r="E178" s="118"/>
      <c r="F178" s="118"/>
      <c r="G178" s="118"/>
      <c r="H178" s="118"/>
      <c r="I178" s="118"/>
      <c r="J178" s="118"/>
      <c r="K178" s="118"/>
      <c r="L178" s="118"/>
      <c r="M178" s="118"/>
      <c r="N178" s="118"/>
      <c r="O178" s="118"/>
      <c r="P178" s="118"/>
    </row>
    <row r="179" ht="15.0" customHeight="1">
      <c r="A179" s="207" t="s">
        <v>210</v>
      </c>
      <c r="B179" s="26"/>
      <c r="C179" s="208"/>
      <c r="D179" s="208"/>
      <c r="E179" s="208"/>
      <c r="F179" s="208"/>
      <c r="G179" s="208"/>
      <c r="H179" s="208"/>
      <c r="I179" s="208"/>
      <c r="J179" s="208"/>
      <c r="K179" s="208"/>
      <c r="L179" s="208"/>
      <c r="M179" s="208"/>
      <c r="N179" s="208"/>
      <c r="O179" s="208"/>
      <c r="P179" s="208"/>
    </row>
    <row r="180" ht="15.0" customHeight="1" outlineLevel="1">
      <c r="A180" s="209" t="s">
        <v>211</v>
      </c>
      <c r="B180" s="84"/>
      <c r="C180" s="224"/>
      <c r="D180" s="224"/>
      <c r="E180" s="224"/>
      <c r="F180" s="224"/>
      <c r="G180" s="224"/>
      <c r="H180" s="224"/>
      <c r="I180" s="224"/>
      <c r="J180" s="224"/>
      <c r="K180" s="224"/>
      <c r="L180" s="224"/>
      <c r="M180" s="224"/>
      <c r="N180" s="224"/>
      <c r="O180" s="224"/>
      <c r="P180" s="224"/>
    </row>
    <row r="181" ht="15.0" customHeight="1" outlineLevel="1">
      <c r="A181" s="77" t="str">
        <f>IFERROR(__xludf.DUMMYFUNCTION("filter('Supplemental intervention-level'!C:C,'Supplemental intervention-level'!A:A=""AMF"",'Supplemental intervention-level'!D:D=""Explicitly modeled"")"),"Malaria child mortality")</f>
        <v>Malaria child mortality</v>
      </c>
      <c r="B181" s="95"/>
      <c r="C181" s="224"/>
      <c r="D181" s="224"/>
      <c r="E181" s="224"/>
      <c r="F181" s="224"/>
      <c r="G181" s="224"/>
      <c r="H181" s="224"/>
      <c r="I181" s="224"/>
      <c r="J181" s="224"/>
      <c r="K181" s="224"/>
      <c r="L181" s="224"/>
      <c r="M181" s="224"/>
      <c r="N181" s="224"/>
      <c r="O181" s="224"/>
      <c r="P181" s="224"/>
    </row>
    <row r="182" ht="15.0" customHeight="1" outlineLevel="1">
      <c r="A182" t="str">
        <f>IFERROR(__xludf.DUMMYFUNCTION("""COMPUTED_VALUE"""),"Malaria adult mortality")</f>
        <v>Malaria adult mortality</v>
      </c>
      <c r="B182" s="84"/>
      <c r="C182" s="224"/>
      <c r="D182" s="224"/>
      <c r="E182" s="224"/>
      <c r="F182" s="224"/>
      <c r="G182" s="224"/>
      <c r="H182" s="224"/>
      <c r="I182" s="224"/>
      <c r="J182" s="224"/>
      <c r="K182" s="224"/>
      <c r="L182" s="224"/>
      <c r="M182" s="224"/>
      <c r="N182" s="224"/>
      <c r="O182" s="224"/>
      <c r="P182" s="224"/>
    </row>
    <row r="183" ht="15.0" customHeight="1" outlineLevel="1">
      <c r="A183" s="71" t="str">
        <f>IFERROR(__xludf.DUMMYFUNCTION("""COMPUTED_VALUE"""),"Developmental effects")</f>
        <v>Developmental effects</v>
      </c>
      <c r="B183" s="84"/>
      <c r="C183" s="224"/>
      <c r="D183" s="224"/>
      <c r="E183" s="224"/>
      <c r="F183" s="224"/>
      <c r="G183" s="224"/>
      <c r="H183" s="224"/>
      <c r="I183" s="224"/>
      <c r="J183" s="224"/>
      <c r="K183" s="224"/>
      <c r="L183" s="224"/>
      <c r="M183" s="224"/>
      <c r="N183" s="224"/>
      <c r="O183" s="224"/>
      <c r="P183" s="224"/>
    </row>
    <row r="184" ht="15.0" customHeight="1" outlineLevel="1">
      <c r="A184" s="225"/>
      <c r="B184" s="84"/>
      <c r="C184" s="224"/>
      <c r="D184" s="224"/>
      <c r="E184" s="224"/>
      <c r="F184" s="224"/>
      <c r="G184" s="224"/>
      <c r="H184" s="224"/>
      <c r="I184" s="224"/>
      <c r="J184" s="224"/>
      <c r="K184" s="224"/>
      <c r="L184" s="224"/>
      <c r="M184" s="224"/>
      <c r="N184" s="224"/>
      <c r="O184" s="224"/>
      <c r="P184" s="224"/>
    </row>
    <row r="185" ht="15.0" customHeight="1" outlineLevel="1">
      <c r="A185" s="209" t="s">
        <v>27</v>
      </c>
      <c r="B185" s="84"/>
      <c r="C185" s="224"/>
      <c r="D185" s="224"/>
      <c r="E185" s="224"/>
      <c r="F185" s="224"/>
      <c r="G185" s="224"/>
      <c r="H185" s="224"/>
      <c r="I185" s="224"/>
      <c r="J185" s="224"/>
      <c r="K185" s="224"/>
      <c r="L185" s="224"/>
      <c r="M185" s="224"/>
      <c r="N185" s="224"/>
      <c r="O185" s="224"/>
      <c r="P185" s="224"/>
    </row>
    <row r="186" ht="15.0" customHeight="1" outlineLevel="1">
      <c r="A186" s="71" t="str">
        <f>IFERROR(__xludf.DUMMYFUNCTION("filter('Supplemental intervention-level'!C:C,'Supplemental intervention-level'!A:A=""AMF"",'Supplemental intervention-level'!D:D=""Not explicitly modeled"")"),"Malaria morbidity")</f>
        <v>Malaria morbidity</v>
      </c>
      <c r="B186" s="226">
        <f t="array" ref="B186">iferror(if(isblank($A186),"",index('Supplemental intervention-level'!$M:$M,match(1,('Supplemental intervention-level'!$C:$C=$A186)*('Supplemental intervention-level'!$A:$A="AMF"),0))),"Not specified")</f>
        <v>0.09</v>
      </c>
      <c r="C186" s="226">
        <f t="array" ref="C186">iferror(if(isblank($A186),"",index('Supplemental intervention-level'!$M:$M,match(1,('Supplemental intervention-level'!$C:$C=$A186)*('Supplemental intervention-level'!$A:$A="AMF"),0))),"Not specified")</f>
        <v>0.09</v>
      </c>
      <c r="D186" s="226">
        <f t="array" ref="D186">iferror(if(isblank($A186),"",index('Supplemental intervention-level'!$M:$M,match(1,('Supplemental intervention-level'!$C:$C=$A186)*('Supplemental intervention-level'!$A:$A="AMF"),0))),"Not specified")</f>
        <v>0.09</v>
      </c>
      <c r="E186" s="226">
        <f t="array" ref="E186">iferror(if(isblank($A186),"",index('Supplemental intervention-level'!$M:$M,match(1,('Supplemental intervention-level'!$C:$C=$A186)*('Supplemental intervention-level'!$A:$A="AMF"),0))),"Not specified")</f>
        <v>0.09</v>
      </c>
      <c r="F186" s="226">
        <f t="array" ref="F186">iferror(if(isblank($A186),"",index('Supplemental intervention-level'!$M:$M,match(1,('Supplemental intervention-level'!$C:$C=$A186)*('Supplemental intervention-level'!$A:$A="AMF"),0))),"Not specified")</f>
        <v>0.09</v>
      </c>
      <c r="G186" s="226">
        <f t="array" ref="G186">iferror(if(isblank($A186),"",index('Supplemental intervention-level'!$M:$M,match(1,('Supplemental intervention-level'!$C:$C=$A186)*('Supplemental intervention-level'!$A:$A="AMF"),0))),"Not specified")</f>
        <v>0.09</v>
      </c>
      <c r="H186" s="226">
        <f t="array" ref="H186">iferror(if(isblank($A186),"",index('Supplemental intervention-level'!$M:$M,match(1,('Supplemental intervention-level'!$C:$C=$A186)*('Supplemental intervention-level'!$A:$A="AMF"),0))),"Not specified")</f>
        <v>0.09</v>
      </c>
      <c r="I186" s="226">
        <f t="array" ref="I186">iferror(if(isblank($A186),"",index('Supplemental intervention-level'!$M:$M,match(1,('Supplemental intervention-level'!$C:$C=$A186)*('Supplemental intervention-level'!$A:$A="AMF"),0))),"Not specified")</f>
        <v>0.09</v>
      </c>
      <c r="J186" s="226"/>
      <c r="K186" s="226"/>
      <c r="L186" s="226"/>
      <c r="M186" s="226"/>
      <c r="N186" s="226"/>
      <c r="O186" s="226"/>
      <c r="P186" s="226"/>
    </row>
    <row r="187" ht="15.0" customHeight="1" outlineLevel="1">
      <c r="A187" s="71" t="str">
        <f>IFERROR(__xludf.DUMMYFUNCTION("""COMPUTED_VALUE"""),"Short-term anemia effects")</f>
        <v>Short-term anemia effects</v>
      </c>
      <c r="B187" s="226">
        <f t="array" ref="B187">iferror(if(isblank($A187),"",index('Supplemental intervention-level'!$M:$M,match(1,('Supplemental intervention-level'!$C:$C=$A187)*('Supplemental intervention-level'!$A:$A="AMF"),0))),"Not specified")</f>
        <v>0.09</v>
      </c>
      <c r="C187" s="226">
        <f t="array" ref="C187">iferror(if(isblank($A187),"",index('Supplemental intervention-level'!$M:$M,match(1,('Supplemental intervention-level'!$C:$C=$A187)*('Supplemental intervention-level'!$A:$A="AMF"),0))),"Not specified")</f>
        <v>0.09</v>
      </c>
      <c r="D187" s="226">
        <f t="array" ref="D187">iferror(if(isblank($A187),"",index('Supplemental intervention-level'!$M:$M,match(1,('Supplemental intervention-level'!$C:$C=$A187)*('Supplemental intervention-level'!$A:$A="AMF"),0))),"Not specified")</f>
        <v>0.09</v>
      </c>
      <c r="E187" s="226">
        <f t="array" ref="E187">iferror(if(isblank($A187),"",index('Supplemental intervention-level'!$M:$M,match(1,('Supplemental intervention-level'!$C:$C=$A187)*('Supplemental intervention-level'!$A:$A="AMF"),0))),"Not specified")</f>
        <v>0.09</v>
      </c>
      <c r="F187" s="226">
        <f t="array" ref="F187">iferror(if(isblank($A187),"",index('Supplemental intervention-level'!$M:$M,match(1,('Supplemental intervention-level'!$C:$C=$A187)*('Supplemental intervention-level'!$A:$A="AMF"),0))),"Not specified")</f>
        <v>0.09</v>
      </c>
      <c r="G187" s="226">
        <f t="array" ref="G187">iferror(if(isblank($A187),"",index('Supplemental intervention-level'!$M:$M,match(1,('Supplemental intervention-level'!$C:$C=$A187)*('Supplemental intervention-level'!$A:$A="AMF"),0))),"Not specified")</f>
        <v>0.09</v>
      </c>
      <c r="H187" s="226">
        <f t="array" ref="H187">iferror(if(isblank($A187),"",index('Supplemental intervention-level'!$M:$M,match(1,('Supplemental intervention-level'!$C:$C=$A187)*('Supplemental intervention-level'!$A:$A="AMF"),0))),"Not specified")</f>
        <v>0.09</v>
      </c>
      <c r="I187" s="226">
        <f t="array" ref="I187">iferror(if(isblank($A187),"",index('Supplemental intervention-level'!$M:$M,match(1,('Supplemental intervention-level'!$C:$C=$A187)*('Supplemental intervention-level'!$A:$A="AMF"),0))),"Not specified")</f>
        <v>0.09</v>
      </c>
      <c r="J187" s="226"/>
      <c r="K187" s="226"/>
      <c r="L187" s="226"/>
      <c r="M187" s="226"/>
      <c r="N187" s="226"/>
      <c r="O187" s="226"/>
      <c r="P187" s="226"/>
    </row>
    <row r="188" ht="15.0" customHeight="1" outlineLevel="1">
      <c r="A188" s="77" t="str">
        <f>IFERROR(__xludf.DUMMYFUNCTION("""COMPUTED_VALUE"""),"Prevention of diseases other than malaria (e.g. dengue, yellow fever, zika, encephalitis)")</f>
        <v>Prevention of diseases other than malaria (e.g. dengue, yellow fever, zika, encephalitis)</v>
      </c>
      <c r="B188" s="226">
        <f t="array" ref="B188">iferror(if(isblank($A188),"",index('Supplemental intervention-level'!$M:$M,match(1,('Supplemental intervention-level'!$C:$C=$A188)*('Supplemental intervention-level'!$A:$A="AMF"),0))),"Not specified")</f>
        <v>0.02</v>
      </c>
      <c r="C188" s="226">
        <f t="array" ref="C188">iferror(if(isblank($A188),"",index('Supplemental intervention-level'!$M:$M,match(1,('Supplemental intervention-level'!$C:$C=$A188)*('Supplemental intervention-level'!$A:$A="AMF"),0))),"Not specified")</f>
        <v>0.02</v>
      </c>
      <c r="D188" s="226">
        <f t="array" ref="D188">iferror(if(isblank($A188),"",index('Supplemental intervention-level'!$M:$M,match(1,('Supplemental intervention-level'!$C:$C=$A188)*('Supplemental intervention-level'!$A:$A="AMF"),0))),"Not specified")</f>
        <v>0.02</v>
      </c>
      <c r="E188" s="226">
        <f t="array" ref="E188">iferror(if(isblank($A188),"",index('Supplemental intervention-level'!$M:$M,match(1,('Supplemental intervention-level'!$C:$C=$A188)*('Supplemental intervention-level'!$A:$A="AMF"),0))),"Not specified")</f>
        <v>0.02</v>
      </c>
      <c r="F188" s="226">
        <f t="array" ref="F188">iferror(if(isblank($A188),"",index('Supplemental intervention-level'!$M:$M,match(1,('Supplemental intervention-level'!$C:$C=$A188)*('Supplemental intervention-level'!$A:$A="AMF"),0))),"Not specified")</f>
        <v>0.02</v>
      </c>
      <c r="G188" s="226">
        <f t="array" ref="G188">iferror(if(isblank($A188),"",index('Supplemental intervention-level'!$M:$M,match(1,('Supplemental intervention-level'!$C:$C=$A188)*('Supplemental intervention-level'!$A:$A="AMF"),0))),"Not specified")</f>
        <v>0.02</v>
      </c>
      <c r="H188" s="226">
        <f t="array" ref="H188">iferror(if(isblank($A188),"",index('Supplemental intervention-level'!$M:$M,match(1,('Supplemental intervention-level'!$C:$C=$A188)*('Supplemental intervention-level'!$A:$A="AMF"),0))),"Not specified")</f>
        <v>0.02</v>
      </c>
      <c r="I188" s="226">
        <f t="array" ref="I188">iferror(if(isblank($A188),"",index('Supplemental intervention-level'!$M:$M,match(1,('Supplemental intervention-level'!$C:$C=$A188)*('Supplemental intervention-level'!$A:$A="AMF"),0))),"Not specified")</f>
        <v>0.02</v>
      </c>
      <c r="J188" s="226"/>
      <c r="K188" s="226"/>
      <c r="L188" s="226"/>
      <c r="M188" s="226"/>
      <c r="N188" s="226"/>
      <c r="O188" s="226"/>
      <c r="P188" s="226"/>
    </row>
    <row r="189" ht="15.0" customHeight="1" outlineLevel="1">
      <c r="A189" s="77" t="str">
        <f>IFERROR(__xludf.DUMMYFUNCTION("""COMPUTED_VALUE"""),"Prevention of stillbirths")</f>
        <v>Prevention of stillbirths</v>
      </c>
      <c r="B189" s="226">
        <f t="array" ref="B189">iferror(if(isblank($A189),"",index('Supplemental intervention-level'!$M:$M,match(1,('Supplemental intervention-level'!$C:$C=$A189)*('Supplemental intervention-level'!$A:$A="AMF"),0))),"Not specified")</f>
        <v>0.09</v>
      </c>
      <c r="C189" s="226">
        <f t="array" ref="C189">iferror(if(isblank($A189),"",index('Supplemental intervention-level'!$M:$M,match(1,('Supplemental intervention-level'!$C:$C=$A189)*('Supplemental intervention-level'!$A:$A="AMF"),0))),"Not specified")</f>
        <v>0.09</v>
      </c>
      <c r="D189" s="226">
        <f t="array" ref="D189">iferror(if(isblank($A189),"",index('Supplemental intervention-level'!$M:$M,match(1,('Supplemental intervention-level'!$C:$C=$A189)*('Supplemental intervention-level'!$A:$A="AMF"),0))),"Not specified")</f>
        <v>0.09</v>
      </c>
      <c r="E189" s="226">
        <f t="array" ref="E189">iferror(if(isblank($A189),"",index('Supplemental intervention-level'!$M:$M,match(1,('Supplemental intervention-level'!$C:$C=$A189)*('Supplemental intervention-level'!$A:$A="AMF"),0))),"Not specified")</f>
        <v>0.09</v>
      </c>
      <c r="F189" s="226">
        <f t="array" ref="F189">iferror(if(isblank($A189),"",index('Supplemental intervention-level'!$M:$M,match(1,('Supplemental intervention-level'!$C:$C=$A189)*('Supplemental intervention-level'!$A:$A="AMF"),0))),"Not specified")</f>
        <v>0.09</v>
      </c>
      <c r="G189" s="226">
        <f t="array" ref="G189">iferror(if(isblank($A189),"",index('Supplemental intervention-level'!$M:$M,match(1,('Supplemental intervention-level'!$C:$C=$A189)*('Supplemental intervention-level'!$A:$A="AMF"),0))),"Not specified")</f>
        <v>0.09</v>
      </c>
      <c r="H189" s="226">
        <f t="array" ref="H189">iferror(if(isblank($A189),"",index('Supplemental intervention-level'!$M:$M,match(1,('Supplemental intervention-level'!$C:$C=$A189)*('Supplemental intervention-level'!$A:$A="AMF"),0))),"Not specified")</f>
        <v>0.09</v>
      </c>
      <c r="I189" s="226">
        <f t="array" ref="I189">iferror(if(isblank($A189),"",index('Supplemental intervention-level'!$M:$M,match(1,('Supplemental intervention-level'!$C:$C=$A189)*('Supplemental intervention-level'!$A:$A="AMF"),0))),"Not specified")</f>
        <v>0.09</v>
      </c>
      <c r="J189" s="226"/>
      <c r="K189" s="226"/>
      <c r="L189" s="226"/>
      <c r="M189" s="226"/>
      <c r="N189" s="226"/>
      <c r="O189" s="226"/>
      <c r="P189" s="226"/>
    </row>
    <row r="190" ht="15.0" customHeight="1" outlineLevel="1">
      <c r="A190" s="71" t="str">
        <f>IFERROR(__xludf.DUMMYFUNCTION("""COMPUTED_VALUE"""),"Investment of income increases")</f>
        <v>Investment of income increases</v>
      </c>
      <c r="B190" s="226">
        <f t="array" ref="B190">iferror(if(isblank($A190),"",index('Supplemental intervention-level'!$M:$M,match(1,('Supplemental intervention-level'!$C:$C=$A190)*('Supplemental intervention-level'!$A:$A="AMF"),0))),"Not specified")</f>
        <v>0.025</v>
      </c>
      <c r="C190" s="226">
        <f t="array" ref="C190">iferror(if(isblank($A190),"",index('Supplemental intervention-level'!$M:$M,match(1,('Supplemental intervention-level'!$C:$C=$A190)*('Supplemental intervention-level'!$A:$A="AMF"),0))),"Not specified")</f>
        <v>0.025</v>
      </c>
      <c r="D190" s="226">
        <f t="array" ref="D190">iferror(if(isblank($A190),"",index('Supplemental intervention-level'!$M:$M,match(1,('Supplemental intervention-level'!$C:$C=$A190)*('Supplemental intervention-level'!$A:$A="AMF"),0))),"Not specified")</f>
        <v>0.025</v>
      </c>
      <c r="E190" s="226">
        <f t="array" ref="E190">iferror(if(isblank($A190),"",index('Supplemental intervention-level'!$M:$M,match(1,('Supplemental intervention-level'!$C:$C=$A190)*('Supplemental intervention-level'!$A:$A="AMF"),0))),"Not specified")</f>
        <v>0.025</v>
      </c>
      <c r="F190" s="226">
        <f t="array" ref="F190">iferror(if(isblank($A190),"",index('Supplemental intervention-level'!$M:$M,match(1,('Supplemental intervention-level'!$C:$C=$A190)*('Supplemental intervention-level'!$A:$A="AMF"),0))),"Not specified")</f>
        <v>0.025</v>
      </c>
      <c r="G190" s="226">
        <f t="array" ref="G190">iferror(if(isblank($A190),"",index('Supplemental intervention-level'!$M:$M,match(1,('Supplemental intervention-level'!$C:$C=$A190)*('Supplemental intervention-level'!$A:$A="AMF"),0))),"Not specified")</f>
        <v>0.025</v>
      </c>
      <c r="H190" s="226">
        <f t="array" ref="H190">iferror(if(isblank($A190),"",index('Supplemental intervention-level'!$M:$M,match(1,('Supplemental intervention-level'!$C:$C=$A190)*('Supplemental intervention-level'!$A:$A="AMF"),0))),"Not specified")</f>
        <v>0.025</v>
      </c>
      <c r="I190" s="226">
        <f t="array" ref="I190">iferror(if(isblank($A190),"",index('Supplemental intervention-level'!$M:$M,match(1,('Supplemental intervention-level'!$C:$C=$A190)*('Supplemental intervention-level'!$A:$A="AMF"),0))),"Not specified")</f>
        <v>0.025</v>
      </c>
      <c r="J190" s="226"/>
      <c r="K190" s="226"/>
      <c r="L190" s="226"/>
      <c r="M190" s="226"/>
      <c r="N190" s="226"/>
      <c r="O190" s="226"/>
      <c r="P190" s="226"/>
    </row>
    <row r="191" ht="15.0" customHeight="1" outlineLevel="1">
      <c r="A191" s="71" t="str">
        <f>IFERROR(__xludf.DUMMYFUNCTION("""COMPUTED_VALUE"""),"Rebound effects / decreased immunity development")</f>
        <v>Rebound effects / decreased immunity development</v>
      </c>
      <c r="B191" s="226">
        <f t="array" ref="B191">iferror(if(isblank($A191),"",index('Supplemental intervention-level'!$M:$M,match(1,('Supplemental intervention-level'!$C:$C=$A191)*('Supplemental intervention-level'!$A:$A="AMF"),0))),"Not specified")</f>
        <v>-0.04</v>
      </c>
      <c r="C191" s="226">
        <f t="array" ref="C191">iferror(if(isblank($A191),"",index('Supplemental intervention-level'!$M:$M,match(1,('Supplemental intervention-level'!$C:$C=$A191)*('Supplemental intervention-level'!$A:$A="AMF"),0))),"Not specified")</f>
        <v>-0.04</v>
      </c>
      <c r="D191" s="226">
        <f t="array" ref="D191">iferror(if(isblank($A191),"",index('Supplemental intervention-level'!$M:$M,match(1,('Supplemental intervention-level'!$C:$C=$A191)*('Supplemental intervention-level'!$A:$A="AMF"),0))),"Not specified")</f>
        <v>-0.04</v>
      </c>
      <c r="E191" s="226">
        <f t="array" ref="E191">iferror(if(isblank($A191),"",index('Supplemental intervention-level'!$M:$M,match(1,('Supplemental intervention-level'!$C:$C=$A191)*('Supplemental intervention-level'!$A:$A="AMF"),0))),"Not specified")</f>
        <v>-0.04</v>
      </c>
      <c r="F191" s="226">
        <f t="array" ref="F191">iferror(if(isblank($A191),"",index('Supplemental intervention-level'!$M:$M,match(1,('Supplemental intervention-level'!$C:$C=$A191)*('Supplemental intervention-level'!$A:$A="AMF"),0))),"Not specified")</f>
        <v>-0.04</v>
      </c>
      <c r="G191" s="226">
        <f t="array" ref="G191">iferror(if(isblank($A191),"",index('Supplemental intervention-level'!$M:$M,match(1,('Supplemental intervention-level'!$C:$C=$A191)*('Supplemental intervention-level'!$A:$A="AMF"),0))),"Not specified")</f>
        <v>-0.04</v>
      </c>
      <c r="H191" s="226">
        <f t="array" ref="H191">iferror(if(isblank($A191),"",index('Supplemental intervention-level'!$M:$M,match(1,('Supplemental intervention-level'!$C:$C=$A191)*('Supplemental intervention-level'!$A:$A="AMF"),0))),"Not specified")</f>
        <v>-0.04</v>
      </c>
      <c r="I191" s="226">
        <f t="array" ref="I191">iferror(if(isblank($A191),"",index('Supplemental intervention-level'!$M:$M,match(1,('Supplemental intervention-level'!$C:$C=$A191)*('Supplemental intervention-level'!$A:$A="AMF"),0))),"Not specified")</f>
        <v>-0.04</v>
      </c>
      <c r="J191" s="226"/>
      <c r="K191" s="226"/>
      <c r="L191" s="226"/>
      <c r="M191" s="226"/>
      <c r="N191" s="226"/>
      <c r="O191" s="226"/>
      <c r="P191" s="226"/>
    </row>
    <row r="192" ht="15.0" customHeight="1" outlineLevel="1">
      <c r="A192" s="71" t="str">
        <f>IFERROR(__xludf.DUMMYFUNCTION("""COMPUTED_VALUE"""),"Effect on fertility")</f>
        <v>Effect on fertility</v>
      </c>
      <c r="B192" s="226" t="str">
        <f t="array" ref="B192">iferror(if(isblank($A192),"",index('Supplemental intervention-level'!$M:$M,match(1,('Supplemental intervention-level'!$C:$C=$A192)*('Supplemental intervention-level'!$A:$A="AMF"),0))),"Not specified")</f>
        <v>Not specified</v>
      </c>
      <c r="C192" s="226" t="str">
        <f t="array" ref="C192">iferror(if(isblank($A192),"",index('Supplemental intervention-level'!$M:$M,match(1,('Supplemental intervention-level'!$C:$C=$A192)*('Supplemental intervention-level'!$A:$A="AMF"),0))),"Not specified")</f>
        <v>Not specified</v>
      </c>
      <c r="D192" s="226" t="str">
        <f t="array" ref="D192">iferror(if(isblank($A192),"",index('Supplemental intervention-level'!$M:$M,match(1,('Supplemental intervention-level'!$C:$C=$A192)*('Supplemental intervention-level'!$A:$A="AMF"),0))),"Not specified")</f>
        <v>Not specified</v>
      </c>
      <c r="E192" s="226" t="str">
        <f t="array" ref="E192">iferror(if(isblank($A192),"",index('Supplemental intervention-level'!$M:$M,match(1,('Supplemental intervention-level'!$C:$C=$A192)*('Supplemental intervention-level'!$A:$A="AMF"),0))),"Not specified")</f>
        <v>Not specified</v>
      </c>
      <c r="F192" s="226" t="str">
        <f t="array" ref="F192">iferror(if(isblank($A192),"",index('Supplemental intervention-level'!$M:$M,match(1,('Supplemental intervention-level'!$C:$C=$A192)*('Supplemental intervention-level'!$A:$A="AMF"),0))),"Not specified")</f>
        <v>Not specified</v>
      </c>
      <c r="G192" s="226" t="str">
        <f t="array" ref="G192">iferror(if(isblank($A192),"",index('Supplemental intervention-level'!$M:$M,match(1,('Supplemental intervention-level'!$C:$C=$A192)*('Supplemental intervention-level'!$A:$A="AMF"),0))),"Not specified")</f>
        <v>Not specified</v>
      </c>
      <c r="H192" s="226" t="str">
        <f t="array" ref="H192">iferror(if(isblank($A192),"",index('Supplemental intervention-level'!$M:$M,match(1,('Supplemental intervention-level'!$C:$C=$A192)*('Supplemental intervention-level'!$A:$A="AMF"),0))),"Not specified")</f>
        <v>Not specified</v>
      </c>
      <c r="I192" s="226" t="str">
        <f t="array" ref="I192">iferror(if(isblank($A192),"",index('Supplemental intervention-level'!$M:$M,match(1,('Supplemental intervention-level'!$C:$C=$A192)*('Supplemental intervention-level'!$A:$A="AMF"),0))),"Not specified")</f>
        <v>Not specified</v>
      </c>
      <c r="J192" s="226"/>
      <c r="K192" s="226"/>
      <c r="L192" s="226"/>
      <c r="M192" s="226"/>
      <c r="N192" s="226"/>
      <c r="O192" s="226"/>
      <c r="P192" s="226"/>
    </row>
    <row r="193" ht="15.0" customHeight="1" outlineLevel="1">
      <c r="A193" s="71" t="str">
        <f>IFERROR(__xludf.DUMMYFUNCTION("""COMPUTED_VALUE"""),"Treatment costs averted from prevention")</f>
        <v>Treatment costs averted from prevention</v>
      </c>
      <c r="B193" s="226">
        <f t="array" ref="B193">iferror(if(isblank($A193),"",index('Supplemental intervention-level'!$M:$M,match(1,('Supplemental intervention-level'!$C:$C=$A193)*('Supplemental intervention-level'!$A:$A="AMF"),0))),"Not specified")</f>
        <v>0.2</v>
      </c>
      <c r="C193" s="226">
        <f t="array" ref="C193">iferror(if(isblank($A193),"",index('Supplemental intervention-level'!$M:$M,match(1,('Supplemental intervention-level'!$C:$C=$A193)*('Supplemental intervention-level'!$A:$A="AMF"),0))),"Not specified")</f>
        <v>0.2</v>
      </c>
      <c r="D193" s="226">
        <f t="array" ref="D193">iferror(if(isblank($A193),"",index('Supplemental intervention-level'!$M:$M,match(1,('Supplemental intervention-level'!$C:$C=$A193)*('Supplemental intervention-level'!$A:$A="AMF"),0))),"Not specified")</f>
        <v>0.2</v>
      </c>
      <c r="E193" s="226">
        <f t="array" ref="E193">iferror(if(isblank($A193),"",index('Supplemental intervention-level'!$M:$M,match(1,('Supplemental intervention-level'!$C:$C=$A193)*('Supplemental intervention-level'!$A:$A="AMF"),0))),"Not specified")</f>
        <v>0.2</v>
      </c>
      <c r="F193" s="226">
        <f t="array" ref="F193">iferror(if(isblank($A193),"",index('Supplemental intervention-level'!$M:$M,match(1,('Supplemental intervention-level'!$C:$C=$A193)*('Supplemental intervention-level'!$A:$A="AMF"),0))),"Not specified")</f>
        <v>0.2</v>
      </c>
      <c r="G193" s="226">
        <f t="array" ref="G193">iferror(if(isblank($A193),"",index('Supplemental intervention-level'!$M:$M,match(1,('Supplemental intervention-level'!$C:$C=$A193)*('Supplemental intervention-level'!$A:$A="AMF"),0))),"Not specified")</f>
        <v>0.2</v>
      </c>
      <c r="H193" s="226">
        <f t="array" ref="H193">iferror(if(isblank($A193),"",index('Supplemental intervention-level'!$M:$M,match(1,('Supplemental intervention-level'!$C:$C=$A193)*('Supplemental intervention-level'!$A:$A="AMF"),0))),"Not specified")</f>
        <v>0.2</v>
      </c>
      <c r="I193" s="226">
        <f t="array" ref="I193">iferror(if(isblank($A193),"",index('Supplemental intervention-level'!$M:$M,match(1,('Supplemental intervention-level'!$C:$C=$A193)*('Supplemental intervention-level'!$A:$A="AMF"),0))),"Not specified")</f>
        <v>0.2</v>
      </c>
      <c r="J193" s="226"/>
      <c r="K193" s="226"/>
      <c r="L193" s="226"/>
      <c r="M193" s="226"/>
      <c r="N193" s="226"/>
      <c r="O193" s="226"/>
      <c r="P193" s="226"/>
    </row>
    <row r="194" ht="15.0" customHeight="1" outlineLevel="1">
      <c r="A194" s="116" t="str">
        <f>IFERROR(__xludf.DUMMYFUNCTION("""COMPUTED_VALUE"""),"Subnational adjustments")</f>
        <v>Subnational adjustments</v>
      </c>
      <c r="B194" s="226">
        <f t="array" ref="B194">iferror(if(isblank($A194),"",index('Supplemental intervention-level'!$M:$M,match(1,('Supplemental intervention-level'!$C:$C=$A194)*('Supplemental intervention-level'!$A:$A="AMF"),0))),"Not specified")</f>
        <v>0.024</v>
      </c>
      <c r="C194" s="226">
        <f t="array" ref="C194">iferror(if(isblank($A194),"",index('Supplemental intervention-level'!$M:$M,match(1,('Supplemental intervention-level'!$C:$C=$A194)*('Supplemental intervention-level'!$A:$A="AMF"),0))),"Not specified")</f>
        <v>0.024</v>
      </c>
      <c r="D194" s="226">
        <f t="array" ref="D194">iferror(if(isblank($A194),"",index('Supplemental intervention-level'!$M:$M,match(1,('Supplemental intervention-level'!$C:$C=$A194)*('Supplemental intervention-level'!$A:$A="AMF"),0))),"Not specified")</f>
        <v>0.024</v>
      </c>
      <c r="E194" s="226">
        <f t="array" ref="E194">iferror(if(isblank($A194),"",index('Supplemental intervention-level'!$M:$M,match(1,('Supplemental intervention-level'!$C:$C=$A194)*('Supplemental intervention-level'!$A:$A="AMF"),0))),"Not specified")</f>
        <v>0.024</v>
      </c>
      <c r="F194" s="226">
        <f t="array" ref="F194">iferror(if(isblank($A194),"",index('Supplemental intervention-level'!$M:$M,match(1,('Supplemental intervention-level'!$C:$C=$A194)*('Supplemental intervention-level'!$A:$A="AMF"),0))),"Not specified")</f>
        <v>0.024</v>
      </c>
      <c r="G194" s="226">
        <f t="array" ref="G194">iferror(if(isblank($A194),"",index('Supplemental intervention-level'!$M:$M,match(1,('Supplemental intervention-level'!$C:$C=$A194)*('Supplemental intervention-level'!$A:$A="AMF"),0))),"Not specified")</f>
        <v>0.024</v>
      </c>
      <c r="H194" s="226">
        <f t="array" ref="H194">iferror(if(isblank($A194),"",index('Supplemental intervention-level'!$M:$M,match(1,('Supplemental intervention-level'!$C:$C=$A194)*('Supplemental intervention-level'!$A:$A="AMF"),0))),"Not specified")</f>
        <v>0.024</v>
      </c>
      <c r="I194" s="226">
        <f t="array" ref="I194">iferror(if(isblank($A194),"",index('Supplemental intervention-level'!$M:$M,match(1,('Supplemental intervention-level'!$C:$C=$A194)*('Supplemental intervention-level'!$A:$A="AMF"),0))),"Not specified")</f>
        <v>0.024</v>
      </c>
      <c r="J194" s="226"/>
      <c r="K194" s="226"/>
      <c r="L194" s="226"/>
      <c r="M194" s="226"/>
      <c r="N194" s="226"/>
      <c r="O194" s="226"/>
      <c r="P194" s="226"/>
    </row>
    <row r="195" ht="15.0" customHeight="1" outlineLevel="1">
      <c r="A195" s="116" t="str">
        <f>IFERROR(__xludf.DUMMYFUNCTION("""COMPUTED_VALUE"""),"Marginal funding goes to lower priority areas")</f>
        <v>Marginal funding goes to lower priority areas</v>
      </c>
      <c r="B195" s="227">
        <v>-0.05</v>
      </c>
      <c r="C195" s="227">
        <v>-0.15</v>
      </c>
      <c r="D195" s="227">
        <v>-0.15</v>
      </c>
      <c r="E195" s="227">
        <v>-0.15</v>
      </c>
      <c r="F195" s="227">
        <v>-0.05</v>
      </c>
      <c r="G195" s="227">
        <v>-0.05</v>
      </c>
      <c r="H195" s="227">
        <v>0.0</v>
      </c>
      <c r="I195" s="227">
        <v>-0.15</v>
      </c>
      <c r="J195" s="226"/>
      <c r="K195" s="226"/>
      <c r="L195" s="226"/>
      <c r="M195" s="226"/>
      <c r="N195" s="226"/>
      <c r="O195" s="226"/>
      <c r="P195" s="226"/>
    </row>
    <row r="196" ht="15.0" customHeight="1" outlineLevel="1">
      <c r="A196" s="116" t="str">
        <f>IFERROR(__xludf.DUMMYFUNCTION("""COMPUTED_VALUE"""),"Mosquito insecticide resistance in trials underlying our estimates")</f>
        <v>Mosquito insecticide resistance in trials underlying our estimates</v>
      </c>
      <c r="B196" s="226">
        <f t="array" ref="B196">iferror(if(isblank($A196),"",index('Supplemental intervention-level'!$M:$M,match(1,('Supplemental intervention-level'!$C:$C=$A196)*('Supplemental intervention-level'!$A:$A="AMF"),0))),"Not specified")</f>
        <v>0.05</v>
      </c>
      <c r="C196" s="226">
        <f t="array" ref="C196">iferror(if(isblank($A196),"",index('Supplemental intervention-level'!$M:$M,match(1,('Supplemental intervention-level'!$C:$C=$A196)*('Supplemental intervention-level'!$A:$A="AMF"),0))),"Not specified")</f>
        <v>0.05</v>
      </c>
      <c r="D196" s="226">
        <f t="array" ref="D196">iferror(if(isblank($A196),"",index('Supplemental intervention-level'!$M:$M,match(1,('Supplemental intervention-level'!$C:$C=$A196)*('Supplemental intervention-level'!$A:$A="AMF"),0))),"Not specified")</f>
        <v>0.05</v>
      </c>
      <c r="E196" s="226">
        <f t="array" ref="E196">iferror(if(isblank($A196),"",index('Supplemental intervention-level'!$M:$M,match(1,('Supplemental intervention-level'!$C:$C=$A196)*('Supplemental intervention-level'!$A:$A="AMF"),0))),"Not specified")</f>
        <v>0.05</v>
      </c>
      <c r="F196" s="226">
        <f t="array" ref="F196">iferror(if(isblank($A196),"",index('Supplemental intervention-level'!$M:$M,match(1,('Supplemental intervention-level'!$C:$C=$A196)*('Supplemental intervention-level'!$A:$A="AMF"),0))),"Not specified")</f>
        <v>0.05</v>
      </c>
      <c r="G196" s="226">
        <f t="array" ref="G196">iferror(if(isblank($A196),"",index('Supplemental intervention-level'!$M:$M,match(1,('Supplemental intervention-level'!$C:$C=$A196)*('Supplemental intervention-level'!$A:$A="AMF"),0))),"Not specified")</f>
        <v>0.05</v>
      </c>
      <c r="H196" s="226">
        <f t="array" ref="H196">iferror(if(isblank($A196),"",index('Supplemental intervention-level'!$M:$M,match(1,('Supplemental intervention-level'!$C:$C=$A196)*('Supplemental intervention-level'!$A:$A="AMF"),0))),"Not specified")</f>
        <v>0.05</v>
      </c>
      <c r="I196" s="226">
        <f t="array" ref="I196">iferror(if(isblank($A196),"",index('Supplemental intervention-level'!$M:$M,match(1,('Supplemental intervention-level'!$C:$C=$A196)*('Supplemental intervention-level'!$A:$A="AMF"),0))),"Not specified")</f>
        <v>0.05</v>
      </c>
      <c r="J196" s="226"/>
      <c r="K196" s="226"/>
      <c r="L196" s="226"/>
      <c r="M196" s="226"/>
      <c r="N196" s="226"/>
      <c r="O196" s="226"/>
      <c r="P196" s="226"/>
    </row>
    <row r="197" ht="15.0" customHeight="1" outlineLevel="1">
      <c r="A197" s="116" t="str">
        <f>IFERROR(__xludf.DUMMYFUNCTION("""COMPUTED_VALUE"""),"Differences in mosquito species")</f>
        <v>Differences in mosquito species</v>
      </c>
      <c r="B197" s="226">
        <f t="array" ref="B197">iferror(if(isblank($A197),"",index('Supplemental intervention-level'!$M:$M,match(1,('Supplemental intervention-level'!$C:$C=$A197)*('Supplemental intervention-level'!$A:$A="AMF"),0))),"Not specified")</f>
        <v>-0.02</v>
      </c>
      <c r="C197" s="226">
        <f t="array" ref="C197">iferror(if(isblank($A197),"",index('Supplemental intervention-level'!$M:$M,match(1,('Supplemental intervention-level'!$C:$C=$A197)*('Supplemental intervention-level'!$A:$A="AMF"),0))),"Not specified")</f>
        <v>-0.02</v>
      </c>
      <c r="D197" s="226">
        <f t="array" ref="D197">iferror(if(isblank($A197),"",index('Supplemental intervention-level'!$M:$M,match(1,('Supplemental intervention-level'!$C:$C=$A197)*('Supplemental intervention-level'!$A:$A="AMF"),0))),"Not specified")</f>
        <v>-0.02</v>
      </c>
      <c r="E197" s="226">
        <f t="array" ref="E197">iferror(if(isblank($A197),"",index('Supplemental intervention-level'!$M:$M,match(1,('Supplemental intervention-level'!$C:$C=$A197)*('Supplemental intervention-level'!$A:$A="AMF"),0))),"Not specified")</f>
        <v>-0.02</v>
      </c>
      <c r="F197" s="226">
        <f t="array" ref="F197">iferror(if(isblank($A197),"",index('Supplemental intervention-level'!$M:$M,match(1,('Supplemental intervention-level'!$C:$C=$A197)*('Supplemental intervention-level'!$A:$A="AMF"),0))),"Not specified")</f>
        <v>-0.02</v>
      </c>
      <c r="G197" s="226">
        <f t="array" ref="G197">iferror(if(isblank($A197),"",index('Supplemental intervention-level'!$M:$M,match(1,('Supplemental intervention-level'!$C:$C=$A197)*('Supplemental intervention-level'!$A:$A="AMF"),0))),"Not specified")</f>
        <v>-0.02</v>
      </c>
      <c r="H197" s="226">
        <f t="array" ref="H197">iferror(if(isblank($A197),"",index('Supplemental intervention-level'!$M:$M,match(1,('Supplemental intervention-level'!$C:$C=$A197)*('Supplemental intervention-level'!$A:$A="AMF"),0))),"Not specified")</f>
        <v>-0.02</v>
      </c>
      <c r="I197" s="226">
        <f t="array" ref="I197">iferror(if(isblank($A197),"",index('Supplemental intervention-level'!$M:$M,match(1,('Supplemental intervention-level'!$C:$C=$A197)*('Supplemental intervention-level'!$A:$A="AMF"),0))),"Not specified")</f>
        <v>-0.02</v>
      </c>
      <c r="J197" s="226"/>
      <c r="K197" s="226"/>
      <c r="L197" s="226"/>
      <c r="M197" s="226"/>
      <c r="N197" s="226"/>
      <c r="O197" s="226"/>
      <c r="P197" s="226"/>
    </row>
    <row r="198" ht="15.0" customHeight="1" outlineLevel="1">
      <c r="A198" s="225"/>
      <c r="B198" s="84"/>
      <c r="C198" s="228"/>
      <c r="D198" s="228"/>
      <c r="E198" s="228"/>
      <c r="F198" s="228"/>
      <c r="G198" s="228"/>
      <c r="H198" s="228"/>
      <c r="I198" s="228"/>
      <c r="J198" s="228"/>
      <c r="K198" s="228"/>
      <c r="L198" s="228"/>
      <c r="M198" s="228"/>
      <c r="N198" s="228"/>
      <c r="O198" s="228"/>
      <c r="P198" s="228"/>
    </row>
    <row r="199" ht="15.0" customHeight="1" outlineLevel="1">
      <c r="A199" s="225" t="s">
        <v>203</v>
      </c>
      <c r="B199" s="124">
        <f t="shared" ref="B199:I199" si="56">1+sum(B184:B197)</f>
        <v>1.479</v>
      </c>
      <c r="C199" s="218">
        <f t="shared" si="56"/>
        <v>1.379</v>
      </c>
      <c r="D199" s="218">
        <f t="shared" si="56"/>
        <v>1.379</v>
      </c>
      <c r="E199" s="218">
        <f t="shared" si="56"/>
        <v>1.379</v>
      </c>
      <c r="F199" s="218">
        <f t="shared" si="56"/>
        <v>1.479</v>
      </c>
      <c r="G199" s="218">
        <f t="shared" si="56"/>
        <v>1.479</v>
      </c>
      <c r="H199" s="218">
        <f t="shared" si="56"/>
        <v>1.529</v>
      </c>
      <c r="I199" s="218">
        <f t="shared" si="56"/>
        <v>1.379</v>
      </c>
      <c r="J199" s="218"/>
      <c r="K199" s="218"/>
      <c r="L199" s="218"/>
      <c r="M199" s="218"/>
      <c r="N199" s="218"/>
      <c r="O199" s="218"/>
      <c r="P199" s="218"/>
    </row>
    <row r="200" ht="15.0" customHeight="1">
      <c r="A200" s="77"/>
      <c r="B200" s="172"/>
      <c r="C200" s="229"/>
      <c r="D200" s="229"/>
      <c r="E200" s="229"/>
      <c r="F200" s="229"/>
      <c r="G200" s="229"/>
      <c r="H200" s="226"/>
      <c r="I200" s="226"/>
      <c r="J200" s="118"/>
      <c r="K200" s="118"/>
      <c r="L200" s="118"/>
      <c r="M200" s="118"/>
      <c r="N200" s="118"/>
      <c r="O200" s="118"/>
      <c r="P200" s="118"/>
    </row>
    <row r="201" ht="15.0" customHeight="1">
      <c r="A201" s="207" t="s">
        <v>212</v>
      </c>
      <c r="B201" s="26"/>
      <c r="C201" s="208"/>
      <c r="D201" s="208"/>
      <c r="E201" s="208"/>
      <c r="F201" s="208"/>
      <c r="G201" s="208"/>
      <c r="H201" s="208"/>
      <c r="I201" s="208"/>
      <c r="J201" s="208"/>
      <c r="K201" s="208"/>
      <c r="L201" s="208"/>
      <c r="M201" s="208"/>
      <c r="N201" s="208"/>
      <c r="O201" s="208"/>
      <c r="P201" s="208"/>
    </row>
    <row r="202" ht="15.0" customHeight="1">
      <c r="A202" s="77"/>
      <c r="B202" s="84"/>
      <c r="C202" s="118"/>
      <c r="D202" s="118"/>
      <c r="E202" s="118"/>
      <c r="F202" s="118"/>
      <c r="G202" s="118"/>
      <c r="H202" s="118"/>
      <c r="I202" s="118"/>
      <c r="J202" s="118"/>
      <c r="K202" s="118"/>
      <c r="L202" s="118"/>
      <c r="M202" s="118"/>
      <c r="N202" s="118"/>
      <c r="O202" s="118"/>
      <c r="P202" s="118"/>
    </row>
    <row r="203" ht="15.0" customHeight="1">
      <c r="A203" s="55" t="s">
        <v>213</v>
      </c>
      <c r="B203" s="84">
        <f t="shared" ref="B203:I203" si="57">B175*B199</f>
        <v>11078.53885</v>
      </c>
      <c r="C203" s="118">
        <f t="shared" si="57"/>
        <v>19383.83696</v>
      </c>
      <c r="D203" s="118">
        <f t="shared" si="57"/>
        <v>9262.525342</v>
      </c>
      <c r="E203" s="118">
        <f t="shared" si="57"/>
        <v>16698.67139</v>
      </c>
      <c r="F203" s="118">
        <f t="shared" si="57"/>
        <v>8373.026876</v>
      </c>
      <c r="G203" s="118">
        <f t="shared" si="57"/>
        <v>11891.5466</v>
      </c>
      <c r="H203" s="118">
        <f t="shared" si="57"/>
        <v>2892.517396</v>
      </c>
      <c r="I203" s="118">
        <f t="shared" si="57"/>
        <v>5826.275058</v>
      </c>
      <c r="J203" s="118"/>
      <c r="K203" s="118"/>
      <c r="L203" s="118"/>
      <c r="M203" s="118"/>
      <c r="N203" s="118"/>
      <c r="O203" s="118"/>
      <c r="P203" s="118"/>
    </row>
    <row r="204" ht="15.0" customHeight="1">
      <c r="A204" s="223" t="s">
        <v>183</v>
      </c>
      <c r="B204" s="203">
        <f t="shared" ref="B204:I204" si="58">B203/B14</f>
        <v>0.05582569896</v>
      </c>
      <c r="C204" s="203">
        <f t="shared" si="58"/>
        <v>0.1233882212</v>
      </c>
      <c r="D204" s="203">
        <f t="shared" si="58"/>
        <v>0.06052547167</v>
      </c>
      <c r="E204" s="203">
        <f t="shared" si="58"/>
        <v>0.1000813997</v>
      </c>
      <c r="F204" s="203">
        <f t="shared" si="58"/>
        <v>0.05701493754</v>
      </c>
      <c r="G204" s="203">
        <f t="shared" si="58"/>
        <v>0.08097379794</v>
      </c>
      <c r="H204" s="203">
        <f t="shared" si="58"/>
        <v>0.01841238023</v>
      </c>
      <c r="I204" s="203">
        <f t="shared" si="58"/>
        <v>0.02505673487</v>
      </c>
      <c r="J204" s="203"/>
      <c r="K204" s="203"/>
      <c r="L204" s="203"/>
      <c r="M204" s="203"/>
      <c r="N204" s="203"/>
      <c r="O204" s="203"/>
      <c r="P204" s="203"/>
    </row>
    <row r="205" ht="15.0" customHeight="1">
      <c r="A205" s="221" t="s">
        <v>214</v>
      </c>
      <c r="B205" s="222">
        <f t="array" ref="B205">B204/index(GiveDirectly!$B:$B,match("Units of value generated per philanthropic dollar spent, after accounting for all adjustments",GiveDirectly!$A:$A,0))</f>
        <v>16.6418644</v>
      </c>
      <c r="C205" s="222">
        <f t="array" ref="C205">C204/index(GiveDirectly!$B:$B,match("Units of value generated per philanthropic dollar spent, after accounting for all adjustments",GiveDirectly!$A:$A,0))</f>
        <v>36.78252283</v>
      </c>
      <c r="D205" s="222">
        <f t="array" ref="D205">D204/index(GiveDirectly!$B:$B,match("Units of value generated per philanthropic dollar spent, after accounting for all adjustments",GiveDirectly!$A:$A,0))</f>
        <v>18.04288547</v>
      </c>
      <c r="E205" s="222">
        <f t="array" ref="E205">E204/index(GiveDirectly!$B:$B,match("Units of value generated per philanthropic dollar spent, after accounting for all adjustments",GiveDirectly!$A:$A,0))</f>
        <v>29.83466599</v>
      </c>
      <c r="F205" s="222">
        <f t="array" ref="F205">F204/index(GiveDirectly!$B:$B,match("Units of value generated per philanthropic dollar spent, after accounting for all adjustments",GiveDirectly!$A:$A,0))</f>
        <v>16.99638119</v>
      </c>
      <c r="G205" s="222">
        <f t="array" ref="G205">G204/index(GiveDirectly!$B:$B,match("Units of value generated per philanthropic dollar spent, after accounting for all adjustments",GiveDirectly!$A:$A,0))</f>
        <v>24.13861341</v>
      </c>
      <c r="H205" s="222">
        <f t="array" ref="H205">H204/index(GiveDirectly!$B:$B,match("Units of value generated per philanthropic dollar spent, after accounting for all adjustments",GiveDirectly!$A:$A,0))</f>
        <v>5.488804275</v>
      </c>
      <c r="I205" s="222">
        <f t="array" ref="I205">I204/index(GiveDirectly!$B:$B,match("Units of value generated per philanthropic dollar spent, after accounting for all adjustments",GiveDirectly!$A:$A,0))</f>
        <v>7.469512999</v>
      </c>
      <c r="J205" s="222"/>
      <c r="K205" s="222"/>
      <c r="L205" s="222"/>
      <c r="M205" s="222"/>
      <c r="N205" s="222"/>
      <c r="O205" s="222"/>
      <c r="P205" s="222"/>
    </row>
    <row r="206" ht="15.0" customHeight="1">
      <c r="A206" s="77"/>
      <c r="B206" s="84"/>
      <c r="C206" s="118"/>
      <c r="D206" s="118"/>
      <c r="E206" s="118"/>
      <c r="F206" s="118"/>
      <c r="G206" s="118"/>
      <c r="H206" s="118"/>
      <c r="I206" s="118"/>
      <c r="J206" s="118"/>
      <c r="K206" s="118"/>
      <c r="L206" s="118"/>
      <c r="M206" s="118"/>
      <c r="N206" s="118"/>
      <c r="O206" s="118"/>
      <c r="P206" s="118"/>
    </row>
    <row r="207" ht="15.0" customHeight="1">
      <c r="A207" s="230" t="s">
        <v>215</v>
      </c>
      <c r="B207" s="87"/>
      <c r="C207" s="231"/>
      <c r="D207" s="231"/>
      <c r="E207" s="231"/>
      <c r="F207" s="231"/>
      <c r="G207" s="231"/>
      <c r="H207" s="231"/>
      <c r="I207" s="231"/>
      <c r="J207" s="231"/>
      <c r="K207" s="231"/>
      <c r="L207" s="231"/>
      <c r="M207" s="231"/>
      <c r="N207" s="231"/>
      <c r="O207" s="231"/>
      <c r="P207" s="231"/>
    </row>
    <row r="208" ht="15.0" customHeight="1">
      <c r="A208" s="77"/>
      <c r="B208" s="84"/>
      <c r="C208" s="232"/>
      <c r="D208" s="232"/>
      <c r="E208" s="232"/>
      <c r="F208" s="232"/>
      <c r="G208" s="232"/>
      <c r="H208" s="232"/>
      <c r="I208" s="232"/>
      <c r="J208" s="232"/>
      <c r="K208" s="232"/>
      <c r="L208" s="232"/>
      <c r="M208" s="232"/>
      <c r="N208" s="232"/>
      <c r="O208" s="232"/>
      <c r="P208" s="232"/>
    </row>
    <row r="209" ht="15.0" customHeight="1">
      <c r="A209" s="233" t="s">
        <v>216</v>
      </c>
      <c r="B209" s="84"/>
      <c r="C209" s="232"/>
      <c r="D209" s="232"/>
      <c r="E209" s="232"/>
      <c r="F209" s="232"/>
      <c r="G209" s="232"/>
      <c r="H209" s="232"/>
      <c r="I209" s="232"/>
      <c r="J209" s="232"/>
      <c r="K209" s="232"/>
      <c r="L209" s="232"/>
      <c r="M209" s="232"/>
      <c r="N209" s="232"/>
      <c r="O209" s="232"/>
      <c r="P209" s="232"/>
    </row>
    <row r="210" ht="15.0" customHeight="1">
      <c r="A210" s="142" t="s">
        <v>217</v>
      </c>
      <c r="B210" s="127">
        <v>0.0</v>
      </c>
      <c r="C210" s="92">
        <v>0.0</v>
      </c>
      <c r="D210" s="92">
        <v>0.0</v>
      </c>
      <c r="E210" s="92">
        <v>0.0</v>
      </c>
      <c r="F210" s="92">
        <v>0.0</v>
      </c>
      <c r="G210" s="92">
        <v>0.0</v>
      </c>
      <c r="H210" s="92">
        <v>0.0</v>
      </c>
      <c r="I210" s="92">
        <v>0.0</v>
      </c>
      <c r="J210" s="92"/>
      <c r="K210" s="92"/>
      <c r="L210" s="92"/>
      <c r="M210" s="92"/>
      <c r="N210" s="92"/>
      <c r="O210" s="92"/>
      <c r="P210" s="92"/>
    </row>
    <row r="211" ht="15.0" customHeight="1">
      <c r="A211" s="142" t="s">
        <v>218</v>
      </c>
      <c r="B211" s="92">
        <v>0.15</v>
      </c>
      <c r="C211" s="92">
        <v>0.35</v>
      </c>
      <c r="D211" s="92">
        <v>0.6</v>
      </c>
      <c r="E211" s="92">
        <v>0.4</v>
      </c>
      <c r="F211" s="92">
        <v>0.2</v>
      </c>
      <c r="G211" s="92">
        <v>0.35</v>
      </c>
      <c r="H211" s="92">
        <v>0.4</v>
      </c>
      <c r="I211" s="92">
        <v>0.15</v>
      </c>
      <c r="J211" s="92"/>
      <c r="K211" s="92"/>
      <c r="L211" s="92"/>
      <c r="M211" s="92"/>
      <c r="N211" s="92"/>
      <c r="O211" s="92"/>
      <c r="P211" s="92"/>
    </row>
    <row r="212" ht="15.0" customHeight="1">
      <c r="A212" s="234" t="s">
        <v>219</v>
      </c>
      <c r="B212" s="127">
        <f t="shared" ref="B212:I212" si="59">1-sum(B210:B211)</f>
        <v>0.85</v>
      </c>
      <c r="C212" s="127">
        <f t="shared" si="59"/>
        <v>0.65</v>
      </c>
      <c r="D212" s="127">
        <f t="shared" si="59"/>
        <v>0.4</v>
      </c>
      <c r="E212" s="127">
        <f t="shared" si="59"/>
        <v>0.6</v>
      </c>
      <c r="F212" s="127">
        <f t="shared" si="59"/>
        <v>0.8</v>
      </c>
      <c r="G212" s="127">
        <f t="shared" si="59"/>
        <v>0.65</v>
      </c>
      <c r="H212" s="127">
        <f t="shared" si="59"/>
        <v>0.6</v>
      </c>
      <c r="I212" s="127">
        <f t="shared" si="59"/>
        <v>0.85</v>
      </c>
      <c r="J212" s="127"/>
      <c r="K212" s="127"/>
      <c r="L212" s="127"/>
      <c r="M212" s="127"/>
      <c r="N212" s="127"/>
      <c r="O212" s="127"/>
      <c r="P212" s="127"/>
    </row>
    <row r="213" ht="15.0" customHeight="1">
      <c r="A213" s="142" t="s">
        <v>220</v>
      </c>
      <c r="B213" s="92">
        <v>0.0</v>
      </c>
      <c r="C213" s="92">
        <v>0.0</v>
      </c>
      <c r="D213" s="92">
        <v>0.0</v>
      </c>
      <c r="E213" s="92">
        <v>0.0</v>
      </c>
      <c r="F213" s="92">
        <v>0.0</v>
      </c>
      <c r="G213" s="92">
        <v>0.0</v>
      </c>
      <c r="H213" s="92">
        <v>0.0</v>
      </c>
      <c r="I213" s="92">
        <v>0.0</v>
      </c>
      <c r="J213" s="92"/>
      <c r="K213" s="92"/>
      <c r="L213" s="92"/>
      <c r="M213" s="92"/>
      <c r="N213" s="92"/>
      <c r="O213" s="92"/>
      <c r="P213" s="92"/>
    </row>
    <row r="214" ht="15.0" customHeight="1">
      <c r="A214" s="142"/>
      <c r="B214" s="84"/>
      <c r="C214" s="232"/>
      <c r="D214" s="232"/>
      <c r="E214" s="232"/>
      <c r="F214" s="232"/>
      <c r="G214" s="232"/>
      <c r="H214" s="232"/>
      <c r="I214" s="232"/>
      <c r="J214" s="232"/>
      <c r="K214" s="232"/>
      <c r="L214" s="232"/>
      <c r="M214" s="232"/>
      <c r="N214" s="232"/>
      <c r="O214" s="232"/>
      <c r="P214" s="232"/>
    </row>
    <row r="215" ht="15.0" customHeight="1">
      <c r="A215" s="230" t="s">
        <v>221</v>
      </c>
      <c r="B215" s="87"/>
      <c r="C215" s="231"/>
      <c r="D215" s="231"/>
      <c r="E215" s="231"/>
      <c r="F215" s="231"/>
      <c r="G215" s="231"/>
      <c r="H215" s="231"/>
      <c r="I215" s="231"/>
      <c r="J215" s="231"/>
      <c r="K215" s="231"/>
      <c r="L215" s="231"/>
      <c r="M215" s="231"/>
      <c r="N215" s="231"/>
      <c r="O215" s="231"/>
      <c r="P215" s="231"/>
    </row>
    <row r="216" ht="15.0" customHeight="1">
      <c r="A216" s="142"/>
      <c r="B216" s="84"/>
      <c r="C216" s="232"/>
      <c r="D216" s="232"/>
      <c r="E216" s="232"/>
      <c r="F216" s="232"/>
      <c r="G216" s="232"/>
      <c r="H216" s="232"/>
      <c r="I216" s="232"/>
      <c r="J216" s="232"/>
      <c r="K216" s="232"/>
      <c r="L216" s="232"/>
      <c r="M216" s="232"/>
      <c r="N216" s="232"/>
      <c r="O216" s="232"/>
      <c r="P216" s="232"/>
    </row>
    <row r="217" ht="15.0" customHeight="1">
      <c r="A217" s="77" t="s">
        <v>222</v>
      </c>
      <c r="B217" s="235">
        <v>5228.20597324686</v>
      </c>
      <c r="C217" s="235">
        <v>8911.955835804622</v>
      </c>
      <c r="D217" s="235">
        <v>3440.4475020603345</v>
      </c>
      <c r="E217" s="235">
        <v>6888.744586843022</v>
      </c>
      <c r="F217" s="235">
        <v>5037.090738415539</v>
      </c>
      <c r="G217" s="235">
        <v>6002.004284823268</v>
      </c>
      <c r="H217" s="235">
        <v>1758.655729257409</v>
      </c>
      <c r="I217" s="235">
        <v>2475.927543538624</v>
      </c>
      <c r="J217" s="235"/>
      <c r="K217" s="235"/>
      <c r="L217" s="235"/>
      <c r="M217" s="235"/>
      <c r="N217" s="235"/>
      <c r="O217" s="235"/>
      <c r="P217" s="235"/>
    </row>
    <row r="218" ht="15.0" customHeight="1">
      <c r="A218" s="236" t="s">
        <v>223</v>
      </c>
      <c r="B218" s="203">
        <f t="shared" ref="B218:I218" si="60">B217/(sum(B7:B8)*B14)</f>
        <v>0.05228205973</v>
      </c>
      <c r="C218" s="237">
        <f t="shared" si="60"/>
        <v>0.08911955836</v>
      </c>
      <c r="D218" s="237">
        <f t="shared" si="60"/>
        <v>0.03440447502</v>
      </c>
      <c r="E218" s="237">
        <f t="shared" si="60"/>
        <v>0.06888744587</v>
      </c>
      <c r="F218" s="237">
        <f t="shared" si="60"/>
        <v>0.05037090738</v>
      </c>
      <c r="G218" s="237">
        <f t="shared" si="60"/>
        <v>0.06002004285</v>
      </c>
      <c r="H218" s="237">
        <f t="shared" si="60"/>
        <v>0.01758655729</v>
      </c>
      <c r="I218" s="237">
        <f t="shared" si="60"/>
        <v>0.02475927544</v>
      </c>
      <c r="J218" s="237"/>
      <c r="K218" s="237"/>
      <c r="L218" s="237"/>
      <c r="M218" s="237"/>
      <c r="N218" s="237"/>
      <c r="O218" s="237"/>
      <c r="P218" s="237"/>
    </row>
    <row r="219" ht="15.0" customHeight="1">
      <c r="A219" s="238" t="s">
        <v>224</v>
      </c>
      <c r="B219" s="206">
        <f t="array" ref="B219">B218/index(GiveDirectly!$B:$B,match("Units of value generated per philanthropic dollar spent, after accounting for all adjustments",GiveDirectly!$A:$A,0))</f>
        <v>15.58549136</v>
      </c>
      <c r="C219" s="206">
        <f t="array" ref="C219">C218/index(GiveDirectly!$B:$B,match("Units of value generated per philanthropic dollar spent, after accounting for all adjustments",GiveDirectly!$A:$A,0))</f>
        <v>26.56689721</v>
      </c>
      <c r="D219" s="206">
        <f t="array" ref="D219">D218/index(GiveDirectly!$B:$B,match("Units of value generated per philanthropic dollar spent, after accounting for all adjustments",GiveDirectly!$A:$A,0))</f>
        <v>10.25611177</v>
      </c>
      <c r="E219" s="206">
        <f t="array" ref="E219">E218/index(GiveDirectly!$B:$B,match("Units of value generated per philanthropic dollar spent, after accounting for all adjustments",GiveDirectly!$A:$A,0))</f>
        <v>20.53562346</v>
      </c>
      <c r="F219" s="206">
        <f t="array" ref="F219">F218/index(GiveDirectly!$B:$B,match("Units of value generated per philanthropic dollar spent, after accounting for all adjustments",GiveDirectly!$A:$A,0))</f>
        <v>15.01576919</v>
      </c>
      <c r="G219" s="206">
        <f t="array" ref="G219">G218/index(GiveDirectly!$B:$B,match("Units of value generated per philanthropic dollar spent, after accounting for all adjustments",GiveDirectly!$A:$A,0))</f>
        <v>17.89221511</v>
      </c>
      <c r="H219" s="206">
        <f t="array" ref="H219">H218/index(GiveDirectly!$B:$B,match("Units of value generated per philanthropic dollar spent, after accounting for all adjustments",GiveDirectly!$A:$A,0))</f>
        <v>5.242623151</v>
      </c>
      <c r="I219" s="206">
        <f t="array" ref="I219">I218/index(GiveDirectly!$B:$B,match("Units of value generated per philanthropic dollar spent, after accounting for all adjustments",GiveDirectly!$A:$A,0))</f>
        <v>7.380839151</v>
      </c>
      <c r="J219" s="239"/>
      <c r="K219" s="239"/>
      <c r="L219" s="239"/>
      <c r="M219" s="239"/>
      <c r="N219" s="239"/>
      <c r="O219" s="239"/>
      <c r="P219" s="239"/>
    </row>
    <row r="220" ht="15.0" customHeight="1">
      <c r="A220" s="240" t="s">
        <v>225</v>
      </c>
      <c r="B220" s="117">
        <f t="shared" ref="B220:I220" si="61">(B219-B205)/B205</f>
        <v>-0.06347684484</v>
      </c>
      <c r="C220" s="241">
        <f t="shared" si="61"/>
        <v>-0.2777304229</v>
      </c>
      <c r="D220" s="241">
        <f t="shared" si="61"/>
        <v>-0.4315703113</v>
      </c>
      <c r="E220" s="241">
        <f t="shared" si="61"/>
        <v>-0.3116858267</v>
      </c>
      <c r="F220" s="241">
        <f t="shared" si="61"/>
        <v>-0.1165313941</v>
      </c>
      <c r="G220" s="241">
        <f t="shared" si="61"/>
        <v>-0.2587720426</v>
      </c>
      <c r="H220" s="241">
        <f t="shared" si="61"/>
        <v>-0.04485150353</v>
      </c>
      <c r="I220" s="241">
        <f t="shared" si="61"/>
        <v>-0.01187143642</v>
      </c>
      <c r="J220" s="241"/>
      <c r="K220" s="241"/>
      <c r="L220" s="241"/>
      <c r="M220" s="241"/>
      <c r="N220" s="241"/>
      <c r="O220" s="241"/>
      <c r="P220" s="241"/>
    </row>
    <row r="221" ht="15.0" customHeight="1">
      <c r="A221" s="240"/>
      <c r="B221" s="242"/>
      <c r="C221" s="243"/>
      <c r="D221" s="243"/>
      <c r="E221" s="243"/>
      <c r="F221" s="243"/>
      <c r="G221" s="243"/>
      <c r="H221" s="243"/>
      <c r="I221" s="243"/>
      <c r="J221" s="243"/>
      <c r="K221" s="243"/>
      <c r="L221" s="243"/>
      <c r="M221" s="243"/>
      <c r="N221" s="243"/>
      <c r="O221" s="243"/>
      <c r="P221" s="243"/>
    </row>
    <row r="222" ht="15.0" customHeight="1">
      <c r="A222" s="230" t="s">
        <v>226</v>
      </c>
      <c r="B222" s="87"/>
      <c r="C222" s="231"/>
      <c r="D222" s="231"/>
      <c r="E222" s="231"/>
      <c r="F222" s="231"/>
      <c r="G222" s="231"/>
      <c r="H222" s="231"/>
      <c r="I222" s="231"/>
      <c r="J222" s="231"/>
      <c r="K222" s="231"/>
      <c r="L222" s="231"/>
      <c r="M222" s="231"/>
      <c r="N222" s="231"/>
      <c r="O222" s="231"/>
      <c r="P222" s="231"/>
    </row>
    <row r="223" ht="15.0" customHeight="1">
      <c r="A223" s="240" t="s">
        <v>227</v>
      </c>
      <c r="B223" s="244">
        <f t="shared" ref="B223:I223" si="62">B172</f>
        <v>44.95730653</v>
      </c>
      <c r="C223" s="245">
        <f t="shared" si="62"/>
        <v>88.32884331</v>
      </c>
      <c r="D223" s="245">
        <f t="shared" si="62"/>
        <v>41.10155258</v>
      </c>
      <c r="E223" s="245">
        <f t="shared" si="62"/>
        <v>57.96765545</v>
      </c>
      <c r="F223" s="245">
        <f t="shared" si="62"/>
        <v>36.07020541</v>
      </c>
      <c r="G223" s="245">
        <f t="shared" si="62"/>
        <v>56.89974417</v>
      </c>
      <c r="H223" s="245">
        <f t="shared" si="62"/>
        <v>11.58675509</v>
      </c>
      <c r="I223" s="245">
        <f t="shared" si="62"/>
        <v>26.45329171</v>
      </c>
      <c r="J223" s="245"/>
      <c r="K223" s="245"/>
      <c r="L223" s="245"/>
      <c r="M223" s="245"/>
      <c r="N223" s="245"/>
      <c r="O223" s="245"/>
      <c r="P223" s="245"/>
    </row>
    <row r="224" ht="15.0" customHeight="1">
      <c r="A224" s="240" t="s">
        <v>228</v>
      </c>
      <c r="B224" s="246">
        <f>SUMIF('Supplemental intervention-level'!$N22:$N34,"Yes",B186:B198)</f>
        <v>-0.036</v>
      </c>
      <c r="C224" s="246">
        <f>SUMIF('Supplemental intervention-level'!$N22:$N34,"Yes",C186:C198)</f>
        <v>-0.136</v>
      </c>
      <c r="D224" s="246">
        <f>SUMIF('Supplemental intervention-level'!$N22:$N34,"Yes",D186:D198)</f>
        <v>-0.136</v>
      </c>
      <c r="E224" s="246">
        <f>SUMIF('Supplemental intervention-level'!$N22:$N34,"Yes",E186:E198)</f>
        <v>-0.136</v>
      </c>
      <c r="F224" s="246">
        <f>SUMIF('Supplemental intervention-level'!$N22:$N34,"Yes",F186:F198)</f>
        <v>-0.036</v>
      </c>
      <c r="G224" s="246">
        <f>SUMIF('Supplemental intervention-level'!$N22:$N34,"Yes",G186:G198)</f>
        <v>-0.036</v>
      </c>
      <c r="H224" s="246">
        <f>SUMIF('Supplemental intervention-level'!$N22:$N34,"Yes",H186:H198)</f>
        <v>0.014</v>
      </c>
      <c r="I224" s="246">
        <f>SUMIF('Supplemental intervention-level'!$N22:$N34,"Yes",I186:I198)</f>
        <v>-0.136</v>
      </c>
      <c r="J224" s="246"/>
      <c r="K224" s="246"/>
      <c r="L224" s="246"/>
      <c r="M224" s="246"/>
      <c r="N224" s="246"/>
      <c r="O224" s="246"/>
      <c r="P224" s="246"/>
    </row>
    <row r="225" ht="15.0" customHeight="1">
      <c r="A225" s="240" t="s">
        <v>229</v>
      </c>
      <c r="B225" s="124">
        <f t="shared" ref="B225:I225" si="63">if(B220&lt;0,B220,0)</f>
        <v>-0.06347684484</v>
      </c>
      <c r="C225" s="247">
        <f t="shared" si="63"/>
        <v>-0.2777304229</v>
      </c>
      <c r="D225" s="247">
        <f t="shared" si="63"/>
        <v>-0.4315703113</v>
      </c>
      <c r="E225" s="247">
        <f t="shared" si="63"/>
        <v>-0.3116858267</v>
      </c>
      <c r="F225" s="247">
        <f t="shared" si="63"/>
        <v>-0.1165313941</v>
      </c>
      <c r="G225" s="247">
        <f t="shared" si="63"/>
        <v>-0.2587720426</v>
      </c>
      <c r="H225" s="247">
        <f t="shared" si="63"/>
        <v>-0.04485150353</v>
      </c>
      <c r="I225" s="247">
        <f t="shared" si="63"/>
        <v>-0.01187143642</v>
      </c>
      <c r="J225" s="247"/>
      <c r="K225" s="247"/>
      <c r="L225" s="247"/>
      <c r="M225" s="247"/>
      <c r="N225" s="247"/>
      <c r="O225" s="247"/>
      <c r="P225" s="247"/>
    </row>
    <row r="226" ht="15.0" customHeight="1">
      <c r="A226" s="240" t="s">
        <v>230</v>
      </c>
      <c r="B226" s="248">
        <f t="shared" ref="B226:I226" si="64">B14/((B223)*(1+B224)*(1+B225))</f>
        <v>4889.365213</v>
      </c>
      <c r="C226" s="249">
        <f t="shared" si="64"/>
        <v>2850.036597</v>
      </c>
      <c r="D226" s="249">
        <f t="shared" si="64"/>
        <v>7581.27943</v>
      </c>
      <c r="E226" s="249">
        <f t="shared" si="64"/>
        <v>4839.966524</v>
      </c>
      <c r="F226" s="249">
        <f t="shared" si="64"/>
        <v>4780.541156</v>
      </c>
      <c r="G226" s="249">
        <f t="shared" si="64"/>
        <v>3612.057815</v>
      </c>
      <c r="H226" s="249">
        <f t="shared" si="64"/>
        <v>13998.94689</v>
      </c>
      <c r="I226" s="249">
        <f t="shared" si="64"/>
        <v>10295.78794</v>
      </c>
      <c r="J226" s="249"/>
      <c r="K226" s="249"/>
      <c r="L226" s="249"/>
      <c r="M226" s="249"/>
      <c r="N226" s="249"/>
      <c r="O226" s="249"/>
      <c r="P226" s="249"/>
    </row>
    <row r="227" ht="15.0" customHeight="1">
      <c r="A227" s="240"/>
      <c r="B227" s="242"/>
      <c r="C227" s="243"/>
      <c r="D227" s="243"/>
      <c r="E227" s="243"/>
      <c r="F227" s="243"/>
      <c r="G227" s="243"/>
      <c r="H227" s="243"/>
      <c r="I227" s="243"/>
      <c r="J227" s="243"/>
      <c r="K227" s="243"/>
      <c r="L227" s="243"/>
      <c r="M227" s="243"/>
      <c r="N227" s="243"/>
      <c r="O227" s="243"/>
      <c r="P227" s="243"/>
    </row>
    <row r="228" ht="15.0" customHeight="1">
      <c r="A228" s="240"/>
      <c r="B228" s="242"/>
      <c r="C228" s="243"/>
      <c r="D228" s="243"/>
      <c r="E228" s="243"/>
      <c r="F228" s="243"/>
      <c r="G228" s="243"/>
      <c r="H228" s="243"/>
      <c r="I228" s="243"/>
      <c r="J228" s="243"/>
      <c r="K228" s="243"/>
      <c r="L228" s="243"/>
      <c r="M228" s="243"/>
      <c r="N228" s="243"/>
      <c r="O228" s="243"/>
      <c r="P228" s="243"/>
    </row>
    <row r="229" ht="15.0" customHeight="1">
      <c r="A229" s="240"/>
      <c r="B229" s="250"/>
      <c r="C229" s="250"/>
      <c r="D229" s="250"/>
      <c r="E229" s="250"/>
      <c r="F229" s="250"/>
      <c r="G229" s="250"/>
      <c r="H229" s="250"/>
      <c r="I229" s="250"/>
      <c r="J229" s="243"/>
      <c r="K229" s="243"/>
      <c r="L229" s="243"/>
      <c r="M229" s="243"/>
      <c r="N229" s="243"/>
      <c r="O229" s="243"/>
      <c r="P229" s="243"/>
    </row>
    <row r="230" ht="15.0" customHeight="1">
      <c r="A230" s="240"/>
      <c r="B230" s="142"/>
      <c r="C230" s="250"/>
      <c r="D230" s="250"/>
      <c r="E230" s="250"/>
      <c r="F230" s="250"/>
      <c r="G230" s="250"/>
      <c r="H230" s="250"/>
      <c r="I230" s="250"/>
      <c r="J230" s="243"/>
      <c r="K230" s="243"/>
      <c r="L230" s="243"/>
      <c r="M230" s="243"/>
      <c r="N230" s="243"/>
      <c r="O230" s="243"/>
      <c r="P230" s="243"/>
    </row>
    <row r="231" ht="15.0" customHeight="1">
      <c r="A231" s="240"/>
      <c r="B231" s="242"/>
      <c r="C231" s="243"/>
      <c r="D231" s="243"/>
      <c r="E231" s="243"/>
      <c r="F231" s="243"/>
      <c r="G231" s="243"/>
      <c r="H231" s="243"/>
      <c r="I231" s="243"/>
      <c r="J231" s="243"/>
      <c r="K231" s="243"/>
      <c r="L231" s="243"/>
      <c r="M231" s="243"/>
      <c r="N231" s="243"/>
      <c r="O231" s="243"/>
      <c r="P231" s="243"/>
    </row>
    <row r="232" ht="15.0" customHeight="1">
      <c r="A232" s="240"/>
      <c r="B232" s="242"/>
      <c r="C232" s="243"/>
      <c r="D232" s="243"/>
      <c r="E232" s="243"/>
      <c r="F232" s="243"/>
      <c r="G232" s="243"/>
      <c r="H232" s="243"/>
      <c r="I232" s="243"/>
      <c r="J232" s="243"/>
      <c r="K232" s="243"/>
      <c r="L232" s="243"/>
      <c r="M232" s="243"/>
      <c r="N232" s="243"/>
      <c r="O232" s="243"/>
      <c r="P232" s="243"/>
    </row>
    <row r="233" ht="15.0" customHeight="1">
      <c r="A233" s="240"/>
      <c r="B233" s="242"/>
      <c r="C233" s="243"/>
      <c r="D233" s="243"/>
      <c r="E233" s="243"/>
      <c r="F233" s="243"/>
      <c r="G233" s="243"/>
      <c r="H233" s="243"/>
      <c r="I233" s="243"/>
      <c r="J233" s="243"/>
      <c r="K233" s="243"/>
      <c r="L233" s="243"/>
      <c r="M233" s="243"/>
      <c r="N233" s="243"/>
      <c r="O233" s="243"/>
      <c r="P233" s="243"/>
    </row>
    <row r="234" ht="15.0" customHeight="1">
      <c r="A234" s="240"/>
      <c r="B234" s="242"/>
      <c r="C234" s="243"/>
      <c r="D234" s="243"/>
      <c r="E234" s="243"/>
      <c r="F234" s="243"/>
      <c r="G234" s="243"/>
      <c r="H234" s="243"/>
      <c r="I234" s="243"/>
      <c r="J234" s="243"/>
      <c r="K234" s="243"/>
      <c r="L234" s="243"/>
      <c r="M234" s="243"/>
      <c r="N234" s="243"/>
      <c r="O234" s="243"/>
      <c r="P234" s="243"/>
    </row>
    <row r="235" ht="15.0" customHeight="1">
      <c r="A235" s="240"/>
      <c r="B235" s="242"/>
      <c r="C235" s="243"/>
      <c r="D235" s="243"/>
      <c r="E235" s="243"/>
      <c r="F235" s="243"/>
      <c r="G235" s="243"/>
      <c r="H235" s="243"/>
      <c r="I235" s="243"/>
      <c r="J235" s="243"/>
      <c r="K235" s="243"/>
      <c r="L235" s="243"/>
      <c r="M235" s="243"/>
      <c r="N235" s="243"/>
      <c r="O235" s="243"/>
      <c r="P235" s="243"/>
    </row>
    <row r="236" ht="15.0" customHeight="1">
      <c r="A236" s="240"/>
      <c r="B236" s="242"/>
      <c r="C236" s="243"/>
      <c r="D236" s="243"/>
      <c r="E236" s="243"/>
      <c r="F236" s="243"/>
      <c r="G236" s="243"/>
      <c r="H236" s="243"/>
      <c r="I236" s="243"/>
      <c r="J236" s="243"/>
      <c r="K236" s="243"/>
      <c r="L236" s="243"/>
      <c r="M236" s="243"/>
      <c r="N236" s="243"/>
      <c r="O236" s="243"/>
      <c r="P236" s="243"/>
    </row>
    <row r="237" ht="15.0" customHeight="1">
      <c r="A237" s="240"/>
      <c r="B237" s="242"/>
      <c r="C237" s="243"/>
      <c r="D237" s="243"/>
      <c r="E237" s="243"/>
      <c r="F237" s="243"/>
      <c r="G237" s="243"/>
      <c r="H237" s="243"/>
      <c r="I237" s="243"/>
      <c r="J237" s="243"/>
      <c r="K237" s="243"/>
      <c r="L237" s="243"/>
      <c r="M237" s="243"/>
      <c r="N237" s="243"/>
      <c r="O237" s="243"/>
      <c r="P237" s="243"/>
    </row>
    <row r="238" ht="15.0" customHeight="1">
      <c r="A238" s="240"/>
      <c r="B238" s="242"/>
      <c r="C238" s="243"/>
      <c r="D238" s="243"/>
      <c r="E238" s="243"/>
      <c r="F238" s="243"/>
      <c r="G238" s="243"/>
      <c r="H238" s="243"/>
      <c r="I238" s="243"/>
      <c r="J238" s="243"/>
      <c r="K238" s="243"/>
      <c r="L238" s="243"/>
      <c r="M238" s="243"/>
      <c r="N238" s="243"/>
      <c r="O238" s="243"/>
      <c r="P238" s="243"/>
    </row>
    <row r="239" ht="15.0" customHeight="1">
      <c r="A239" s="240"/>
      <c r="B239" s="242"/>
      <c r="C239" s="243"/>
      <c r="D239" s="243"/>
      <c r="E239" s="243"/>
      <c r="F239" s="243"/>
      <c r="G239" s="243"/>
      <c r="H239" s="243"/>
      <c r="I239" s="243"/>
      <c r="J239" s="243"/>
      <c r="K239" s="243"/>
      <c r="L239" s="243"/>
      <c r="M239" s="243"/>
      <c r="N239" s="243"/>
      <c r="O239" s="243"/>
      <c r="P239" s="243"/>
    </row>
    <row r="240" ht="15.0" customHeight="1">
      <c r="A240" s="240"/>
      <c r="B240" s="242"/>
      <c r="C240" s="243"/>
      <c r="D240" s="243"/>
      <c r="E240" s="243"/>
      <c r="F240" s="243"/>
      <c r="G240" s="243"/>
      <c r="H240" s="243"/>
      <c r="I240" s="243"/>
      <c r="J240" s="243"/>
      <c r="K240" s="243"/>
      <c r="L240" s="243"/>
      <c r="M240" s="243"/>
      <c r="N240" s="243"/>
      <c r="O240" s="243"/>
      <c r="P240" s="243"/>
    </row>
    <row r="241" ht="15.0" customHeight="1">
      <c r="A241" s="240"/>
      <c r="B241" s="242"/>
      <c r="C241" s="243"/>
      <c r="D241" s="243"/>
      <c r="E241" s="243"/>
      <c r="F241" s="243"/>
      <c r="G241" s="243"/>
      <c r="H241" s="243"/>
      <c r="I241" s="243"/>
      <c r="J241" s="243"/>
      <c r="K241" s="243"/>
      <c r="L241" s="243"/>
      <c r="M241" s="243"/>
      <c r="N241" s="243"/>
      <c r="O241" s="243"/>
      <c r="P241" s="243"/>
    </row>
    <row r="242" ht="15.0" customHeight="1">
      <c r="A242" s="240"/>
      <c r="B242" s="242"/>
      <c r="C242" s="243"/>
      <c r="D242" s="243"/>
      <c r="E242" s="243"/>
      <c r="F242" s="243"/>
      <c r="G242" s="243"/>
      <c r="H242" s="243"/>
      <c r="I242" s="243"/>
      <c r="J242" s="243"/>
      <c r="K242" s="243"/>
      <c r="L242" s="243"/>
      <c r="M242" s="243"/>
      <c r="N242" s="243"/>
      <c r="O242" s="243"/>
      <c r="P242" s="243"/>
    </row>
    <row r="243" ht="15.0" customHeight="1">
      <c r="A243" s="240"/>
      <c r="B243" s="242"/>
      <c r="C243" s="243"/>
      <c r="D243" s="243"/>
      <c r="E243" s="243"/>
      <c r="F243" s="243"/>
      <c r="G243" s="243"/>
      <c r="H243" s="243"/>
      <c r="I243" s="243"/>
      <c r="J243" s="243"/>
      <c r="K243" s="243"/>
      <c r="L243" s="243"/>
      <c r="M243" s="243"/>
      <c r="N243" s="243"/>
      <c r="O243" s="243"/>
      <c r="P243" s="243"/>
    </row>
    <row r="244" ht="15.0" customHeight="1">
      <c r="A244" s="240"/>
      <c r="B244" s="242"/>
      <c r="C244" s="243"/>
      <c r="D244" s="243"/>
      <c r="E244" s="243"/>
      <c r="F244" s="243"/>
      <c r="G244" s="243"/>
      <c r="H244" s="243"/>
      <c r="I244" s="243"/>
      <c r="J244" s="243"/>
      <c r="K244" s="243"/>
      <c r="L244" s="243"/>
      <c r="M244" s="243"/>
      <c r="N244" s="243"/>
      <c r="O244" s="243"/>
      <c r="P244" s="243"/>
    </row>
    <row r="245" ht="15.0" customHeight="1">
      <c r="A245" s="240"/>
      <c r="B245" s="242"/>
      <c r="C245" s="243"/>
      <c r="D245" s="243"/>
      <c r="E245" s="243"/>
      <c r="F245" s="243"/>
      <c r="G245" s="243"/>
      <c r="H245" s="243"/>
      <c r="I245" s="243"/>
      <c r="J245" s="243"/>
      <c r="K245" s="243"/>
      <c r="L245" s="243"/>
      <c r="M245" s="243"/>
      <c r="N245" s="243"/>
      <c r="O245" s="243"/>
      <c r="P245" s="243"/>
    </row>
    <row r="246" ht="15.0" customHeight="1">
      <c r="A246" s="240"/>
      <c r="B246" s="242"/>
      <c r="C246" s="243"/>
      <c r="D246" s="243"/>
      <c r="E246" s="243"/>
      <c r="F246" s="243"/>
      <c r="G246" s="243"/>
      <c r="H246" s="243"/>
      <c r="I246" s="243"/>
      <c r="J246" s="243"/>
      <c r="K246" s="243"/>
      <c r="L246" s="243"/>
      <c r="M246" s="243"/>
      <c r="N246" s="243"/>
      <c r="O246" s="243"/>
      <c r="P246" s="243"/>
    </row>
    <row r="247" ht="15.0" customHeight="1">
      <c r="A247" s="240"/>
      <c r="B247" s="242"/>
      <c r="C247" s="243"/>
      <c r="D247" s="243"/>
      <c r="E247" s="243"/>
      <c r="F247" s="243"/>
      <c r="G247" s="243"/>
      <c r="H247" s="243"/>
      <c r="I247" s="243"/>
      <c r="J247" s="243"/>
      <c r="K247" s="243"/>
      <c r="L247" s="243"/>
      <c r="M247" s="243"/>
      <c r="N247" s="243"/>
      <c r="O247" s="243"/>
      <c r="P247" s="243"/>
    </row>
  </sheetData>
  <drawing r:id="rId2"/>
  <legacyDrawing r:id="rId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3C78D8"/>
    <outlinePr summaryBelow="0" summaryRight="0"/>
  </sheetPr>
  <sheetViews>
    <sheetView workbookViewId="0">
      <pane xSplit="1.0" topLeftCell="B1" activePane="topRight" state="frozen"/>
      <selection activeCell="C2" sqref="C2" pane="topRight"/>
    </sheetView>
  </sheetViews>
  <sheetFormatPr customHeight="1" defaultColWidth="17.29" defaultRowHeight="15.0" outlineLevelRow="1"/>
  <cols>
    <col customWidth="1" min="1" max="1" width="109.43"/>
    <col customWidth="1" min="2" max="2" width="17.29"/>
  </cols>
  <sheetData>
    <row r="1" ht="13.5" customHeight="1">
      <c r="A1" s="251" t="s">
        <v>231</v>
      </c>
      <c r="B1" s="252" t="s">
        <v>232</v>
      </c>
    </row>
    <row r="2" ht="13.5" customHeight="1">
      <c r="A2" s="253"/>
      <c r="B2" s="254"/>
    </row>
    <row r="3" ht="13.5" customHeight="1">
      <c r="A3" s="255" t="s">
        <v>233</v>
      </c>
      <c r="B3" s="254"/>
    </row>
    <row r="4" ht="13.5" customHeight="1">
      <c r="A4" s="253" t="s">
        <v>234</v>
      </c>
      <c r="B4" s="254">
        <v>100000.0</v>
      </c>
    </row>
    <row r="5" ht="13.5" customHeight="1">
      <c r="A5" s="256" t="s">
        <v>235</v>
      </c>
      <c r="B5" s="257">
        <v>0.83</v>
      </c>
    </row>
    <row r="6" ht="13.5" customHeight="1">
      <c r="A6" s="253" t="s">
        <v>236</v>
      </c>
      <c r="B6" s="258">
        <f>B4*B5</f>
        <v>83000</v>
      </c>
    </row>
    <row r="7" ht="13.5" customHeight="1">
      <c r="A7" s="253" t="s">
        <v>237</v>
      </c>
      <c r="B7" s="259">
        <v>1000.0</v>
      </c>
    </row>
    <row r="8" ht="13.5" customHeight="1">
      <c r="A8" s="260" t="s">
        <v>238</v>
      </c>
      <c r="B8" s="261">
        <v>4.7</v>
      </c>
    </row>
    <row r="9" ht="13.5" customHeight="1">
      <c r="A9" s="256" t="s">
        <v>239</v>
      </c>
      <c r="B9" s="262">
        <f>B7/B8</f>
        <v>212.7659574</v>
      </c>
    </row>
    <row r="10" ht="13.5" customHeight="1">
      <c r="A10" s="256"/>
      <c r="B10" s="263"/>
    </row>
    <row r="11" ht="13.5" customHeight="1">
      <c r="A11" s="264" t="s">
        <v>240</v>
      </c>
      <c r="B11" s="263"/>
    </row>
    <row r="12" ht="13.5" customHeight="1">
      <c r="A12" s="256" t="s">
        <v>241</v>
      </c>
      <c r="B12" s="257">
        <v>0.39</v>
      </c>
    </row>
    <row r="13" ht="13.5" customHeight="1">
      <c r="A13" s="265" t="s">
        <v>242</v>
      </c>
      <c r="B13" s="266">
        <f>B9*B12</f>
        <v>82.9787234</v>
      </c>
    </row>
    <row r="14" ht="13.5" customHeight="1">
      <c r="A14" s="265" t="s">
        <v>243</v>
      </c>
      <c r="B14" s="266">
        <f>(1-B12)*B9</f>
        <v>129.787234</v>
      </c>
    </row>
    <row r="15">
      <c r="A15" s="256" t="s">
        <v>244</v>
      </c>
      <c r="B15" s="257">
        <v>0.1</v>
      </c>
    </row>
    <row r="16" ht="1.5" customHeight="1">
      <c r="A16" s="267" t="s">
        <v>245</v>
      </c>
      <c r="B16" s="268">
        <f>B13*B15</f>
        <v>8.29787234</v>
      </c>
    </row>
    <row r="17">
      <c r="A17" s="256"/>
      <c r="B17" s="269"/>
    </row>
    <row r="18">
      <c r="A18" s="264" t="s">
        <v>246</v>
      </c>
      <c r="B18" s="269"/>
    </row>
    <row r="19" ht="1.5" customHeight="1">
      <c r="A19" s="256" t="s">
        <v>247</v>
      </c>
      <c r="B19" s="269">
        <v>285.92228810603416</v>
      </c>
    </row>
    <row r="20" ht="1.5" customHeight="1">
      <c r="A20" s="267" t="s">
        <v>248</v>
      </c>
      <c r="B20" s="270">
        <f>LN(B19+B14)-LN(B19)</f>
        <v>0.3742666983</v>
      </c>
    </row>
    <row r="21" ht="1.5" customHeight="1">
      <c r="A21" s="267" t="s">
        <v>249</v>
      </c>
      <c r="B21" s="271">
        <f>LN(B19+B16)-LN(B19)</f>
        <v>0.02860827816</v>
      </c>
    </row>
    <row r="22" ht="13.5" customHeight="1">
      <c r="A22" s="272" t="s">
        <v>71</v>
      </c>
      <c r="B22" s="273">
        <f t="array" ref="B22">index('Moral weights and discount rate'!1:39,match("Overall discount rate",'Moral weights and discount rate'!A:A,0), match("Active",'Moral weights and discount rate'!1:1,0))</f>
        <v>0.04</v>
      </c>
    </row>
    <row r="23" ht="1.5" customHeight="1">
      <c r="A23" s="274" t="s">
        <v>250</v>
      </c>
      <c r="B23" s="275">
        <v>10.0</v>
      </c>
    </row>
    <row r="24" ht="1.5" customHeight="1">
      <c r="A24" s="276" t="s">
        <v>251</v>
      </c>
      <c r="B24" s="271">
        <f>PV(B22,B23-1,-B21)</f>
        <v>0.2127120349</v>
      </c>
    </row>
    <row r="25" ht="7.5" customHeight="1">
      <c r="A25" s="256" t="s">
        <v>252</v>
      </c>
      <c r="B25" s="257">
        <v>0.2</v>
      </c>
    </row>
    <row r="26" ht="1.5" customHeight="1">
      <c r="A26" s="277" t="s">
        <v>253</v>
      </c>
      <c r="B26" s="278">
        <f>(LN(B19+B13*(B15+B25))-LN(B19))/(1+B22)^B23</f>
        <v>0.05639659538</v>
      </c>
    </row>
    <row r="27" ht="1.5" customHeight="1">
      <c r="A27" s="267" t="s">
        <v>254</v>
      </c>
      <c r="B27" s="270">
        <f>B26+B24</f>
        <v>0.2691086303</v>
      </c>
    </row>
    <row r="28" ht="8.25" customHeight="1">
      <c r="A28" s="256" t="s">
        <v>255</v>
      </c>
      <c r="B28" s="279">
        <f>B27+B20</f>
        <v>0.6433753286</v>
      </c>
    </row>
    <row r="29" ht="3.75" customHeight="1">
      <c r="A29" s="280" t="s">
        <v>256</v>
      </c>
      <c r="B29" s="281">
        <v>0.05</v>
      </c>
    </row>
    <row r="30" ht="3.75" customHeight="1">
      <c r="A30" s="280" t="s">
        <v>257</v>
      </c>
      <c r="B30" s="250">
        <f>(1-B29)*B28</f>
        <v>0.6112065622</v>
      </c>
    </row>
    <row r="31" ht="15.0" customHeight="1">
      <c r="A31" s="282" t="s">
        <v>258</v>
      </c>
      <c r="B31" s="283">
        <f>B30*B8</f>
        <v>2.872670842</v>
      </c>
    </row>
    <row r="32" ht="15.0" customHeight="1">
      <c r="A32" s="282"/>
      <c r="B32" s="283"/>
    </row>
    <row r="33" ht="15.0" customHeight="1">
      <c r="A33" s="282" t="s">
        <v>259</v>
      </c>
      <c r="B33" s="284">
        <f>B6/B7</f>
        <v>83</v>
      </c>
    </row>
    <row r="34" ht="15.0" customHeight="1">
      <c r="A34" s="282" t="s">
        <v>260</v>
      </c>
      <c r="B34" s="284">
        <f>B31*B33</f>
        <v>238.4316799</v>
      </c>
    </row>
    <row r="35" ht="15.0" customHeight="1">
      <c r="A35" s="285" t="s">
        <v>65</v>
      </c>
      <c r="B35" s="286">
        <f t="array" ref="B35">index('Moral weights and discount rate'!$A$1:$ZU$39,match($A35,'Moral weights and discount rate'!$A$1:$A$39,0),match('Moral weights and discount rate'!$A$17,'Moral weights and discount rate'!$A$1:$ZU1,0))</f>
        <v>1.442695041</v>
      </c>
    </row>
    <row r="36" ht="15.0" customHeight="1">
      <c r="A36" s="287"/>
      <c r="B36" s="288"/>
    </row>
    <row r="37" ht="15.0" customHeight="1">
      <c r="A37" s="282" t="s">
        <v>213</v>
      </c>
      <c r="B37" s="284">
        <f>B34*B35</f>
        <v>343.9842022</v>
      </c>
    </row>
    <row r="38" ht="15.0" customHeight="1">
      <c r="A38" s="289" t="s">
        <v>183</v>
      </c>
      <c r="B38" s="290">
        <f>B37/B4</f>
        <v>0.003439842022</v>
      </c>
    </row>
    <row r="39">
      <c r="A39" s="71"/>
      <c r="B39" s="291"/>
    </row>
    <row r="40">
      <c r="A40" s="292" t="s">
        <v>261</v>
      </c>
      <c r="B40" s="293"/>
    </row>
    <row r="41">
      <c r="A41" s="294"/>
      <c r="B41" s="295"/>
    </row>
    <row r="42">
      <c r="A42" s="71" t="s">
        <v>262</v>
      </c>
      <c r="B42" s="296">
        <f>if(B12&lt;&gt;"", iferror(B20/(B20+B27)," "), "")</f>
        <v>0.5817237337</v>
      </c>
    </row>
    <row r="43">
      <c r="A43" s="71" t="s">
        <v>263</v>
      </c>
      <c r="B43" s="296">
        <f>if(B12&lt;&gt;"", iferror(B27/(B27+B20)," "), "")</f>
        <v>0.4182762663</v>
      </c>
    </row>
    <row r="44">
      <c r="A44" s="176"/>
      <c r="B44" s="291"/>
    </row>
    <row r="45">
      <c r="A45" s="297" t="s">
        <v>184</v>
      </c>
      <c r="B45" s="206">
        <f t="array" ref="B45">B37/index(GiveDirectly!B:B,match("Total units of value generated, after accounting for all adjustments",GiveDirectly!A:A,0))</f>
        <v>1.025430681</v>
      </c>
    </row>
    <row r="46">
      <c r="A46" s="176"/>
      <c r="B46" s="291"/>
    </row>
    <row r="47">
      <c r="A47" s="207" t="s">
        <v>264</v>
      </c>
      <c r="B47" s="298"/>
    </row>
    <row r="48" outlineLevel="1">
      <c r="A48" s="151"/>
      <c r="B48" s="151"/>
    </row>
    <row r="49" outlineLevel="1">
      <c r="A49" s="178" t="s">
        <v>189</v>
      </c>
      <c r="B49" s="172"/>
    </row>
    <row r="50" outlineLevel="1">
      <c r="A50" s="176" t="s">
        <v>190</v>
      </c>
      <c r="B50" s="92">
        <v>0.0</v>
      </c>
    </row>
    <row r="51" outlineLevel="1">
      <c r="A51" s="176" t="s">
        <v>191</v>
      </c>
      <c r="B51" s="92">
        <v>0.0</v>
      </c>
    </row>
    <row r="52" outlineLevel="1">
      <c r="A52" s="176" t="s">
        <v>192</v>
      </c>
      <c r="B52" s="299">
        <v>0.03</v>
      </c>
    </row>
    <row r="53" outlineLevel="1">
      <c r="A53" s="215" t="s">
        <v>193</v>
      </c>
      <c r="B53" s="300">
        <f>sum(B50:B52)</f>
        <v>0.03</v>
      </c>
    </row>
    <row r="54" outlineLevel="1">
      <c r="A54" s="176"/>
      <c r="B54" s="89"/>
    </row>
    <row r="55" outlineLevel="1">
      <c r="A55" s="178" t="s">
        <v>194</v>
      </c>
      <c r="B55" s="89"/>
    </row>
    <row r="56" outlineLevel="1">
      <c r="A56" s="176" t="s">
        <v>195</v>
      </c>
      <c r="B56" s="92">
        <v>0.0</v>
      </c>
    </row>
    <row r="57" outlineLevel="1">
      <c r="A57" s="176" t="s">
        <v>196</v>
      </c>
      <c r="B57" s="299">
        <v>0.0</v>
      </c>
    </row>
    <row r="58" outlineLevel="1">
      <c r="A58" s="215" t="s">
        <v>197</v>
      </c>
      <c r="B58" s="300">
        <f>sum(B55:B57)</f>
        <v>0</v>
      </c>
    </row>
    <row r="59" outlineLevel="1">
      <c r="A59" s="176"/>
      <c r="B59" s="89"/>
    </row>
    <row r="60" outlineLevel="1">
      <c r="A60" s="178" t="s">
        <v>198</v>
      </c>
      <c r="B60" s="89"/>
    </row>
    <row r="61" outlineLevel="1">
      <c r="A61" s="176" t="s">
        <v>199</v>
      </c>
      <c r="B61" s="92">
        <v>0.0</v>
      </c>
    </row>
    <row r="62" outlineLevel="1">
      <c r="A62" s="176" t="s">
        <v>200</v>
      </c>
      <c r="B62" s="92">
        <v>0.0</v>
      </c>
    </row>
    <row r="63" outlineLevel="1">
      <c r="A63" s="176" t="s">
        <v>201</v>
      </c>
      <c r="B63" s="299">
        <v>0.05</v>
      </c>
    </row>
    <row r="64" outlineLevel="1">
      <c r="A64" s="219" t="s">
        <v>202</v>
      </c>
      <c r="B64" s="300">
        <f>sum(B61:B63)</f>
        <v>0.05</v>
      </c>
    </row>
    <row r="65" outlineLevel="1">
      <c r="A65" s="301"/>
      <c r="B65" s="89"/>
    </row>
    <row r="66">
      <c r="A66" s="126" t="s">
        <v>203</v>
      </c>
      <c r="B66" s="218">
        <f>1-sum(B53,B58,B64)</f>
        <v>0.92</v>
      </c>
    </row>
    <row r="67">
      <c r="A67" s="301"/>
      <c r="B67" s="89"/>
    </row>
    <row r="68">
      <c r="A68" s="207" t="s">
        <v>204</v>
      </c>
      <c r="B68" s="87"/>
    </row>
    <row r="69">
      <c r="A69" s="301"/>
      <c r="B69" s="89"/>
    </row>
    <row r="70">
      <c r="A70" s="302" t="s">
        <v>209</v>
      </c>
      <c r="B70" s="303">
        <f>B45*B66</f>
        <v>0.9433962264</v>
      </c>
    </row>
    <row r="71">
      <c r="A71" s="225"/>
      <c r="B71" s="224"/>
    </row>
    <row r="72">
      <c r="A72" s="207" t="s">
        <v>265</v>
      </c>
      <c r="B72" s="87"/>
    </row>
    <row r="73" outlineLevel="1">
      <c r="A73" s="209" t="s">
        <v>211</v>
      </c>
      <c r="B73" s="84"/>
    </row>
    <row r="74" outlineLevel="1">
      <c r="A74" s="55" t="str">
        <f>IFERROR(__xludf.DUMMYFUNCTION("filter('Supplemental intervention-level'!C:C,'Supplemental intervention-level'!A:A=""Cash"",'Supplemental intervention-level'!D:D=""Explicitly modeled"")"),"Immediate consumption benefit")</f>
        <v>Immediate consumption benefit</v>
      </c>
      <c r="B74" s="84"/>
    </row>
    <row r="75" outlineLevel="1">
      <c r="A75" s="116" t="str">
        <f>IFERROR(__xludf.DUMMYFUNCTION("""COMPUTED_VALUE"""),"Investment of income increases")</f>
        <v>Investment of income increases</v>
      </c>
      <c r="B75" s="84"/>
    </row>
    <row r="76" outlineLevel="1">
      <c r="A76" s="304"/>
      <c r="B76" s="84"/>
    </row>
    <row r="77" outlineLevel="1">
      <c r="A77" s="221" t="s">
        <v>27</v>
      </c>
      <c r="B77" s="84"/>
    </row>
    <row r="78" outlineLevel="1">
      <c r="A78" s="55" t="str">
        <f>IFERROR(__xludf.DUMMYFUNCTION("filter('Supplemental intervention-level'!C:C,'Supplemental intervention-level'!A:A=""Cash"",'Supplemental intervention-level'!D:D=""Not explicitly modeled"")"),"Changes in PPP and exchange rates")</f>
        <v>Changes in PPP and exchange rates</v>
      </c>
      <c r="B78" s="117">
        <f t="array" ref="B78">iferror(if(isblank(A78),"",index('Supplemental intervention-level'!$M:M,match(1,('Supplemental intervention-level'!C:C=A78)*('Supplemental intervention-level'!A:A="Cash"),0))),"Not specified")</f>
        <v>-0.07</v>
      </c>
    </row>
    <row r="79" outlineLevel="1">
      <c r="A79" s="116" t="str">
        <f>IFERROR(__xludf.DUMMYFUNCTION("""COMPUTED_VALUE"""),"Developmental effects")</f>
        <v>Developmental effects</v>
      </c>
      <c r="B79" s="117">
        <f t="array" ref="B79">iferror(if(isblank(A79),"",index('Supplemental intervention-level'!$M:M,match(1,('Supplemental intervention-level'!C:C=A79)*('Supplemental intervention-level'!A:A="Cash"),0))),"Not specified")</f>
        <v>0.05</v>
      </c>
    </row>
    <row r="80" outlineLevel="1">
      <c r="A80" s="116" t="str">
        <f>IFERROR(__xludf.DUMMYFUNCTION("""COMPUTED_VALUE"""),"Reduced morbidity")</f>
        <v>Reduced morbidity</v>
      </c>
      <c r="B80" s="117">
        <f t="array" ref="B80">iferror(if(isblank(A80),"",index('Supplemental intervention-level'!$M:M,match(1,('Supplemental intervention-level'!C:C=A80)*('Supplemental intervention-level'!A:A="Cash"),0))),"Not specified")</f>
        <v>0.04</v>
      </c>
    </row>
    <row r="81" outlineLevel="1">
      <c r="A81" s="116" t="str">
        <f>IFERROR(__xludf.DUMMYFUNCTION("""COMPUTED_VALUE"""),"Child mortality effects")</f>
        <v>Child mortality effects</v>
      </c>
      <c r="B81" s="117">
        <f t="array" ref="B81">iferror(if(isblank(A81),"",index('Supplemental intervention-level'!$M:M,match(1,('Supplemental intervention-level'!C:C=A81)*('Supplemental intervention-level'!A:A="Cash"),0))),"Not specified")</f>
        <v>0.04</v>
      </c>
    </row>
    <row r="82" outlineLevel="1">
      <c r="A82" s="116"/>
      <c r="B82" s="117" t="str">
        <f t="array" ref="B82">iferror(if(isblank(A82),"",index('Supplemental intervention-level'!$M:M,match(1,('Supplemental intervention-level'!C:C=A82)*('Supplemental intervention-level'!A:A="Cash"),0))),"Not specified")</f>
        <v/>
      </c>
    </row>
    <row r="83">
      <c r="A83" s="225" t="s">
        <v>203</v>
      </c>
      <c r="B83" s="124">
        <f>1+sum(B77:B82)</f>
        <v>1.06</v>
      </c>
    </row>
    <row r="84">
      <c r="A84" s="55"/>
      <c r="B84" s="84"/>
    </row>
    <row r="85">
      <c r="A85" s="207" t="s">
        <v>266</v>
      </c>
      <c r="B85" s="305"/>
    </row>
    <row r="86">
      <c r="A86" s="91" t="s">
        <v>267</v>
      </c>
      <c r="B86" s="118">
        <f>B37*(B66)*B83</f>
        <v>335.453394</v>
      </c>
    </row>
    <row r="87">
      <c r="A87" s="91" t="s">
        <v>268</v>
      </c>
      <c r="B87" s="306">
        <f>B86/B4</f>
        <v>0.00335453394</v>
      </c>
    </row>
    <row r="88">
      <c r="A88" s="55"/>
      <c r="B88" s="134"/>
    </row>
    <row r="89">
      <c r="A89" s="307" t="s">
        <v>224</v>
      </c>
      <c r="B89" s="308">
        <f t="array" ref="B89">B86/index(GiveDirectly!$B:$B,match("Total units of value generated, after accounting for all adjustments",GiveDirectly!$A:$A,0))</f>
        <v>1</v>
      </c>
    </row>
    <row r="90">
      <c r="A90" s="55"/>
      <c r="B90" s="84"/>
    </row>
  </sheetData>
  <drawing r:id="rId2"/>
  <legacyDrawing r:id="rId3"/>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3D85C6"/>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7.29" defaultRowHeight="15.0" outlineLevelRow="1"/>
  <cols>
    <col customWidth="1" min="1" max="1" width="94.71"/>
    <col customWidth="1" min="2" max="13" width="17.29"/>
    <col customWidth="1" min="14" max="14" width="18.43"/>
  </cols>
  <sheetData>
    <row r="1" ht="13.5" customHeight="1">
      <c r="A1" s="309" t="s">
        <v>269</v>
      </c>
      <c r="B1" s="310" t="s">
        <v>270</v>
      </c>
      <c r="C1" s="311" t="s">
        <v>271</v>
      </c>
      <c r="D1" s="311" t="s">
        <v>272</v>
      </c>
      <c r="E1" s="312" t="s">
        <v>273</v>
      </c>
      <c r="F1" s="311" t="s">
        <v>274</v>
      </c>
      <c r="G1" s="311" t="s">
        <v>275</v>
      </c>
      <c r="H1" s="311" t="s">
        <v>276</v>
      </c>
      <c r="I1" s="311" t="s">
        <v>277</v>
      </c>
      <c r="J1" s="313" t="s">
        <v>278</v>
      </c>
      <c r="K1" s="313" t="s">
        <v>279</v>
      </c>
      <c r="L1" s="313" t="s">
        <v>280</v>
      </c>
      <c r="M1" s="313" t="s">
        <v>281</v>
      </c>
      <c r="N1" s="313" t="s">
        <v>282</v>
      </c>
    </row>
    <row r="2" ht="12.0" customHeight="1">
      <c r="A2" s="314"/>
      <c r="B2" s="84"/>
      <c r="C2" s="84"/>
      <c r="D2" s="84"/>
      <c r="E2" s="84"/>
      <c r="F2" s="84"/>
      <c r="G2" s="84"/>
      <c r="H2" s="84"/>
      <c r="I2" s="84"/>
      <c r="J2" s="84"/>
      <c r="K2" s="84"/>
      <c r="L2" s="84"/>
      <c r="M2" s="84"/>
      <c r="N2" s="84"/>
    </row>
    <row r="3" ht="12.0" customHeight="1">
      <c r="A3" s="56"/>
      <c r="B3" s="84"/>
      <c r="C3" s="84"/>
      <c r="D3" s="84"/>
      <c r="E3" s="84"/>
      <c r="F3" s="84"/>
      <c r="G3" s="84"/>
      <c r="H3" s="84"/>
      <c r="I3" s="84"/>
      <c r="J3" s="84"/>
      <c r="K3" s="84"/>
      <c r="L3" s="84"/>
      <c r="M3" s="84"/>
      <c r="N3" s="84"/>
    </row>
    <row r="4" ht="12.0" customHeight="1">
      <c r="A4" s="151"/>
      <c r="B4" s="84"/>
      <c r="C4" s="84"/>
      <c r="D4" s="84"/>
      <c r="E4" s="84"/>
      <c r="F4" s="84"/>
      <c r="G4" s="84"/>
      <c r="H4" s="84"/>
      <c r="I4" s="84"/>
      <c r="J4" s="84"/>
      <c r="K4" s="84"/>
      <c r="L4" s="84"/>
      <c r="M4" s="84"/>
      <c r="N4" s="84"/>
    </row>
    <row r="5" ht="12.0" customHeight="1">
      <c r="A5" s="315" t="s">
        <v>283</v>
      </c>
      <c r="B5" s="87"/>
      <c r="C5" s="87"/>
      <c r="D5" s="87"/>
      <c r="E5" s="87"/>
      <c r="F5" s="87"/>
      <c r="G5" s="87"/>
      <c r="H5" s="87"/>
      <c r="I5" s="87"/>
      <c r="J5" s="87"/>
      <c r="K5" s="87"/>
      <c r="L5" s="87"/>
      <c r="M5" s="87"/>
      <c r="N5" s="87"/>
    </row>
    <row r="6" ht="15.0" customHeight="1">
      <c r="A6" s="55"/>
      <c r="B6" s="84"/>
      <c r="C6" s="84"/>
      <c r="D6" s="84"/>
      <c r="E6" s="84"/>
      <c r="F6" s="84"/>
      <c r="G6" s="84"/>
      <c r="H6" s="84"/>
      <c r="I6" s="84"/>
      <c r="J6" s="84"/>
      <c r="K6" s="84"/>
      <c r="L6" s="84"/>
      <c r="M6" s="84"/>
      <c r="N6" s="84"/>
    </row>
    <row r="7" ht="15.0" customHeight="1">
      <c r="A7" s="116" t="s">
        <v>284</v>
      </c>
      <c r="B7" s="316">
        <v>0.109</v>
      </c>
      <c r="C7" s="316">
        <v>0.109</v>
      </c>
      <c r="D7" s="316">
        <v>0.109</v>
      </c>
      <c r="E7" s="316">
        <v>0.109</v>
      </c>
      <c r="F7" s="316">
        <v>0.109</v>
      </c>
      <c r="G7" s="316">
        <v>0.109</v>
      </c>
      <c r="H7" s="316">
        <v>0.109</v>
      </c>
      <c r="I7" s="316">
        <v>0.109</v>
      </c>
      <c r="J7" s="316">
        <v>0.109</v>
      </c>
      <c r="K7" s="316">
        <v>0.109</v>
      </c>
      <c r="L7" s="316">
        <v>0.109</v>
      </c>
      <c r="M7" s="316">
        <v>0.109</v>
      </c>
      <c r="N7" s="316">
        <v>0.109</v>
      </c>
    </row>
    <row r="8" ht="15.0" customHeight="1">
      <c r="A8" s="317" t="s">
        <v>285</v>
      </c>
      <c r="B8" s="127">
        <v>0.75</v>
      </c>
      <c r="C8" s="127">
        <v>0.75</v>
      </c>
      <c r="D8" s="127">
        <v>0.75</v>
      </c>
      <c r="E8" s="127">
        <v>0.75</v>
      </c>
      <c r="F8" s="127">
        <v>0.75</v>
      </c>
      <c r="G8" s="127">
        <v>0.75</v>
      </c>
      <c r="H8" s="127">
        <v>0.75</v>
      </c>
      <c r="I8" s="127">
        <v>0.75</v>
      </c>
      <c r="J8" s="127">
        <v>0.75</v>
      </c>
      <c r="K8" s="127">
        <v>0.75</v>
      </c>
      <c r="L8" s="127">
        <v>0.75</v>
      </c>
      <c r="M8" s="127">
        <v>0.75</v>
      </c>
      <c r="N8" s="127">
        <v>0.75</v>
      </c>
    </row>
    <row r="9" ht="15.0" customHeight="1">
      <c r="A9" s="317" t="s">
        <v>286</v>
      </c>
      <c r="B9" s="127">
        <v>0.05</v>
      </c>
      <c r="C9" s="127">
        <v>0.05</v>
      </c>
      <c r="D9" s="127">
        <v>0.05</v>
      </c>
      <c r="E9" s="127">
        <v>0.05</v>
      </c>
      <c r="F9" s="127">
        <v>0.05</v>
      </c>
      <c r="G9" s="127">
        <v>0.05</v>
      </c>
      <c r="H9" s="127">
        <v>0.05</v>
      </c>
      <c r="I9" s="127">
        <v>0.05</v>
      </c>
      <c r="J9" s="127">
        <v>0.05</v>
      </c>
      <c r="K9" s="127">
        <v>0.05</v>
      </c>
      <c r="L9" s="127">
        <v>0.05</v>
      </c>
      <c r="M9" s="127">
        <v>0.05</v>
      </c>
      <c r="N9" s="127">
        <v>0.05</v>
      </c>
    </row>
    <row r="10" ht="15.0" customHeight="1">
      <c r="A10" s="55" t="s">
        <v>287</v>
      </c>
      <c r="B10" s="203">
        <f t="shared" ref="B10:N10" si="1">B7/((B8-B9)-B9*B7)</f>
        <v>0.1569361457</v>
      </c>
      <c r="C10" s="203">
        <f t="shared" si="1"/>
        <v>0.1569361457</v>
      </c>
      <c r="D10" s="203">
        <f t="shared" si="1"/>
        <v>0.1569361457</v>
      </c>
      <c r="E10" s="203">
        <f t="shared" si="1"/>
        <v>0.1569361457</v>
      </c>
      <c r="F10" s="203">
        <f t="shared" si="1"/>
        <v>0.1569361457</v>
      </c>
      <c r="G10" s="203">
        <f t="shared" si="1"/>
        <v>0.1569361457</v>
      </c>
      <c r="H10" s="203">
        <f t="shared" si="1"/>
        <v>0.1569361457</v>
      </c>
      <c r="I10" s="203">
        <f t="shared" si="1"/>
        <v>0.1569361457</v>
      </c>
      <c r="J10" s="203">
        <f t="shared" si="1"/>
        <v>0.1569361457</v>
      </c>
      <c r="K10" s="203">
        <f t="shared" si="1"/>
        <v>0.1569361457</v>
      </c>
      <c r="L10" s="203">
        <f t="shared" si="1"/>
        <v>0.1569361457</v>
      </c>
      <c r="M10" s="203">
        <f t="shared" si="1"/>
        <v>0.1569361457</v>
      </c>
      <c r="N10" s="203">
        <f t="shared" si="1"/>
        <v>0.1569361457</v>
      </c>
    </row>
    <row r="11" ht="15.0" customHeight="1">
      <c r="A11" s="318" t="s">
        <v>288</v>
      </c>
      <c r="B11" s="127">
        <v>0.13</v>
      </c>
      <c r="C11" s="127">
        <v>0.13</v>
      </c>
      <c r="D11" s="127">
        <v>0.13</v>
      </c>
      <c r="E11" s="127">
        <v>0.13</v>
      </c>
      <c r="F11" s="127">
        <v>0.13</v>
      </c>
      <c r="G11" s="127">
        <v>0.13</v>
      </c>
      <c r="H11" s="127">
        <v>0.13</v>
      </c>
      <c r="I11" s="127">
        <v>0.13</v>
      </c>
      <c r="J11" s="127">
        <v>0.13</v>
      </c>
      <c r="K11" s="127">
        <v>0.13</v>
      </c>
      <c r="L11" s="127">
        <v>0.13</v>
      </c>
      <c r="M11" s="127">
        <v>0.13</v>
      </c>
      <c r="N11" s="127">
        <v>0.13</v>
      </c>
    </row>
    <row r="12" ht="15.0" customHeight="1">
      <c r="A12" s="318" t="s">
        <v>289</v>
      </c>
      <c r="B12" s="127">
        <v>0.9</v>
      </c>
      <c r="C12" s="127">
        <v>0.9</v>
      </c>
      <c r="D12" s="127">
        <v>0.9</v>
      </c>
      <c r="E12" s="127">
        <v>0.9</v>
      </c>
      <c r="F12" s="127">
        <v>0.9</v>
      </c>
      <c r="G12" s="127">
        <v>0.9</v>
      </c>
      <c r="H12" s="127">
        <v>0.9</v>
      </c>
      <c r="I12" s="127">
        <v>0.9</v>
      </c>
      <c r="J12" s="127">
        <v>0.9</v>
      </c>
      <c r="K12" s="127">
        <v>0.9</v>
      </c>
      <c r="L12" s="127">
        <v>0.9</v>
      </c>
      <c r="M12" s="127">
        <v>0.9</v>
      </c>
      <c r="N12" s="127">
        <v>0.9</v>
      </c>
    </row>
    <row r="13" ht="15.0" customHeight="1">
      <c r="A13" s="317" t="s">
        <v>290</v>
      </c>
      <c r="B13" s="141">
        <v>2.41</v>
      </c>
      <c r="C13" s="141">
        <v>2.41</v>
      </c>
      <c r="D13" s="141">
        <v>2.41</v>
      </c>
      <c r="E13" s="141">
        <v>2.41</v>
      </c>
      <c r="F13" s="141">
        <v>2.41</v>
      </c>
      <c r="G13" s="141">
        <v>2.41</v>
      </c>
      <c r="H13" s="141">
        <v>2.41</v>
      </c>
      <c r="I13" s="141">
        <v>2.41</v>
      </c>
      <c r="J13" s="141">
        <v>2.41</v>
      </c>
      <c r="K13" s="141">
        <v>2.41</v>
      </c>
      <c r="L13" s="141">
        <v>2.41</v>
      </c>
      <c r="M13" s="141">
        <v>2.41</v>
      </c>
      <c r="N13" s="141">
        <v>2.41</v>
      </c>
    </row>
    <row r="14" ht="15.0" customHeight="1">
      <c r="A14" s="162" t="s">
        <v>291</v>
      </c>
      <c r="B14" s="306">
        <f t="shared" ref="B14:N14" si="2">B10*B11/B13*B12</f>
        <v>0.007618891721</v>
      </c>
      <c r="C14" s="306">
        <f t="shared" si="2"/>
        <v>0.007618891721</v>
      </c>
      <c r="D14" s="306">
        <f t="shared" si="2"/>
        <v>0.007618891721</v>
      </c>
      <c r="E14" s="306">
        <f t="shared" si="2"/>
        <v>0.007618891721</v>
      </c>
      <c r="F14" s="306">
        <f t="shared" si="2"/>
        <v>0.007618891721</v>
      </c>
      <c r="G14" s="306">
        <f t="shared" si="2"/>
        <v>0.007618891721</v>
      </c>
      <c r="H14" s="306">
        <f t="shared" si="2"/>
        <v>0.007618891721</v>
      </c>
      <c r="I14" s="306">
        <f t="shared" si="2"/>
        <v>0.007618891721</v>
      </c>
      <c r="J14" s="306">
        <f t="shared" si="2"/>
        <v>0.007618891721</v>
      </c>
      <c r="K14" s="306">
        <f t="shared" si="2"/>
        <v>0.007618891721</v>
      </c>
      <c r="L14" s="306">
        <f t="shared" si="2"/>
        <v>0.007618891721</v>
      </c>
      <c r="M14" s="306">
        <f t="shared" si="2"/>
        <v>0.007618891721</v>
      </c>
      <c r="N14" s="306">
        <f t="shared" si="2"/>
        <v>0.007618891721</v>
      </c>
    </row>
    <row r="15" ht="15.0" customHeight="1">
      <c r="A15" s="319"/>
      <c r="B15" s="223"/>
      <c r="C15" s="223"/>
      <c r="D15" s="223"/>
      <c r="E15" s="223"/>
      <c r="F15" s="223"/>
      <c r="G15" s="223"/>
      <c r="H15" s="223"/>
      <c r="I15" s="223"/>
      <c r="J15" s="223"/>
      <c r="K15" s="223"/>
      <c r="L15" s="223"/>
      <c r="M15" s="223"/>
      <c r="N15" s="223"/>
    </row>
    <row r="16" ht="15.0" customHeight="1">
      <c r="A16" s="242" t="s">
        <v>71</v>
      </c>
      <c r="B16" s="196">
        <f t="array" ref="B16">index('Moral weights and discount rate'!$1:$39,match("Overall discount rate",'Moral weights and discount rate'!$A:$A,0), match("Active",'Moral weights and discount rate'!$1:$1,0))</f>
        <v>0.04</v>
      </c>
      <c r="C16" s="196">
        <f t="array" ref="C16">index('Moral weights and discount rate'!$1:$39,match("Overall discount rate",'Moral weights and discount rate'!$A:$A,0), match("Active",'Moral weights and discount rate'!$1:$1,0))</f>
        <v>0.04</v>
      </c>
      <c r="D16" s="196">
        <f t="array" ref="D16">index('Moral weights and discount rate'!$1:$39,match("Overall discount rate",'Moral weights and discount rate'!$A:$A,0), match("Active",'Moral weights and discount rate'!$1:$1,0))</f>
        <v>0.04</v>
      </c>
      <c r="E16" s="196">
        <f t="array" ref="E16">index('Moral weights and discount rate'!$1:$39,match("Overall discount rate",'Moral weights and discount rate'!$A:$A,0), match("Active",'Moral weights and discount rate'!$1:$1,0))</f>
        <v>0.04</v>
      </c>
      <c r="F16" s="196">
        <f t="array" ref="F16">index('Moral weights and discount rate'!$1:$39,match("Overall discount rate",'Moral weights and discount rate'!$A:$A,0), match("Active",'Moral weights and discount rate'!$1:$1,0))</f>
        <v>0.04</v>
      </c>
      <c r="G16" s="196">
        <f t="array" ref="G16">index('Moral weights and discount rate'!$1:$39,match("Overall discount rate",'Moral weights and discount rate'!$A:$A,0), match("Active",'Moral weights and discount rate'!$1:$1,0))</f>
        <v>0.04</v>
      </c>
      <c r="H16" s="196">
        <f t="array" ref="H16">index('Moral weights and discount rate'!$1:$39,match("Overall discount rate",'Moral weights and discount rate'!$A:$A,0), match("Active",'Moral weights and discount rate'!$1:$1,0))</f>
        <v>0.04</v>
      </c>
      <c r="I16" s="196">
        <f t="array" ref="I16">index('Moral weights and discount rate'!$1:$39,match("Overall discount rate",'Moral weights and discount rate'!$A:$A,0), match("Active",'Moral weights and discount rate'!$1:$1,0))</f>
        <v>0.04</v>
      </c>
      <c r="J16" s="196">
        <f t="array" ref="J16">index('Moral weights and discount rate'!$1:$39,match("Overall discount rate",'Moral weights and discount rate'!$A:$A,0), match("Active",'Moral weights and discount rate'!$1:$1,0))</f>
        <v>0.04</v>
      </c>
      <c r="K16" s="196">
        <f t="array" ref="K16">index('Moral weights and discount rate'!$1:$39,match("Overall discount rate",'Moral weights and discount rate'!$A:$A,0), match("Active",'Moral weights and discount rate'!$1:$1,0))</f>
        <v>0.04</v>
      </c>
      <c r="L16" s="196">
        <f t="array" ref="L16">index('Moral weights and discount rate'!$1:$39,match("Overall discount rate",'Moral weights and discount rate'!$A:$A,0), match("Active",'Moral weights and discount rate'!$1:$1,0))</f>
        <v>0.04</v>
      </c>
      <c r="M16" s="196">
        <f t="array" ref="M16">index('Moral weights and discount rate'!$1:$39,match("Overall discount rate",'Moral weights and discount rate'!$A:$A,0), match("Active",'Moral weights and discount rate'!$1:$1,0))</f>
        <v>0.04</v>
      </c>
      <c r="N16" s="196">
        <f t="array" ref="N16">index('Moral weights and discount rate'!$1:$39,match("Overall discount rate",'Moral weights and discount rate'!$A:$A,0), match("Active",'Moral weights and discount rate'!$1:$1,0))</f>
        <v>0.04</v>
      </c>
    </row>
    <row r="17" ht="15.0" customHeight="1">
      <c r="A17" s="320" t="s">
        <v>292</v>
      </c>
      <c r="B17" s="166">
        <v>8.0</v>
      </c>
      <c r="C17" s="166">
        <v>8.0</v>
      </c>
      <c r="D17" s="166">
        <v>8.0</v>
      </c>
      <c r="E17" s="166">
        <v>8.0</v>
      </c>
      <c r="F17" s="166">
        <v>8.0</v>
      </c>
      <c r="G17" s="166">
        <v>8.0</v>
      </c>
      <c r="H17" s="166">
        <v>8.0</v>
      </c>
      <c r="I17" s="166">
        <v>8.0</v>
      </c>
      <c r="J17" s="166">
        <v>8.0</v>
      </c>
      <c r="K17" s="166">
        <v>8.0</v>
      </c>
      <c r="L17" s="166">
        <v>8.0</v>
      </c>
      <c r="M17" s="166">
        <v>8.0</v>
      </c>
      <c r="N17" s="166">
        <v>8.0</v>
      </c>
    </row>
    <row r="18" ht="15.0" customHeight="1">
      <c r="A18" s="321" t="s">
        <v>293</v>
      </c>
      <c r="B18" s="322">
        <f t="shared" ref="B18:N18" si="3">B14/(1+B16)^B17</f>
        <v>0.005567049553</v>
      </c>
      <c r="C18" s="322">
        <f t="shared" si="3"/>
        <v>0.005567049553</v>
      </c>
      <c r="D18" s="322">
        <f t="shared" si="3"/>
        <v>0.005567049553</v>
      </c>
      <c r="E18" s="322">
        <f t="shared" si="3"/>
        <v>0.005567049553</v>
      </c>
      <c r="F18" s="322">
        <f t="shared" si="3"/>
        <v>0.005567049553</v>
      </c>
      <c r="G18" s="322">
        <f t="shared" si="3"/>
        <v>0.005567049553</v>
      </c>
      <c r="H18" s="322">
        <f t="shared" si="3"/>
        <v>0.005567049553</v>
      </c>
      <c r="I18" s="322">
        <f t="shared" si="3"/>
        <v>0.005567049553</v>
      </c>
      <c r="J18" s="322">
        <f t="shared" si="3"/>
        <v>0.005567049553</v>
      </c>
      <c r="K18" s="322">
        <f t="shared" si="3"/>
        <v>0.005567049553</v>
      </c>
      <c r="L18" s="322">
        <f t="shared" si="3"/>
        <v>0.005567049553</v>
      </c>
      <c r="M18" s="322">
        <f t="shared" si="3"/>
        <v>0.005567049553</v>
      </c>
      <c r="N18" s="322">
        <f t="shared" si="3"/>
        <v>0.005567049553</v>
      </c>
    </row>
    <row r="19" ht="15.0" customHeight="1">
      <c r="A19" s="320" t="s">
        <v>294</v>
      </c>
      <c r="B19" s="166">
        <v>40.0</v>
      </c>
      <c r="C19" s="166">
        <v>40.0</v>
      </c>
      <c r="D19" s="166">
        <v>40.0</v>
      </c>
      <c r="E19" s="166">
        <v>40.0</v>
      </c>
      <c r="F19" s="166">
        <v>40.0</v>
      </c>
      <c r="G19" s="166">
        <v>40.0</v>
      </c>
      <c r="H19" s="166">
        <v>40.0</v>
      </c>
      <c r="I19" s="166">
        <v>40.0</v>
      </c>
      <c r="J19" s="166">
        <v>40.0</v>
      </c>
      <c r="K19" s="166">
        <v>40.0</v>
      </c>
      <c r="L19" s="166">
        <v>40.0</v>
      </c>
      <c r="M19" s="166">
        <v>40.0</v>
      </c>
      <c r="N19" s="166">
        <v>40.0</v>
      </c>
    </row>
    <row r="20" ht="15.0" customHeight="1">
      <c r="A20" s="242"/>
      <c r="B20" s="242"/>
      <c r="C20" s="242"/>
      <c r="D20" s="242"/>
      <c r="E20" s="242"/>
      <c r="F20" s="242"/>
      <c r="G20" s="242"/>
      <c r="H20" s="242"/>
      <c r="I20" s="242"/>
      <c r="J20" s="242"/>
      <c r="K20" s="242"/>
      <c r="L20" s="242"/>
      <c r="M20" s="242"/>
      <c r="N20" s="242"/>
    </row>
    <row r="21" ht="15.0" customHeight="1">
      <c r="A21" s="323" t="s">
        <v>295</v>
      </c>
      <c r="B21" s="322">
        <f t="shared" ref="B21:N21" si="4">pv(B16,B19,-B18,,1)</f>
        <v>0.1145948471</v>
      </c>
      <c r="C21" s="322">
        <f t="shared" si="4"/>
        <v>0.1145948471</v>
      </c>
      <c r="D21" s="322">
        <f t="shared" si="4"/>
        <v>0.1145948471</v>
      </c>
      <c r="E21" s="322">
        <f t="shared" si="4"/>
        <v>0.1145948471</v>
      </c>
      <c r="F21" s="322">
        <f t="shared" si="4"/>
        <v>0.1145948471</v>
      </c>
      <c r="G21" s="322">
        <f t="shared" si="4"/>
        <v>0.1145948471</v>
      </c>
      <c r="H21" s="322">
        <f t="shared" si="4"/>
        <v>0.1145948471</v>
      </c>
      <c r="I21" s="322">
        <f t="shared" si="4"/>
        <v>0.1145948471</v>
      </c>
      <c r="J21" s="322">
        <f t="shared" si="4"/>
        <v>0.1145948471</v>
      </c>
      <c r="K21" s="322">
        <f t="shared" si="4"/>
        <v>0.1145948471</v>
      </c>
      <c r="L21" s="322">
        <f t="shared" si="4"/>
        <v>0.1145948471</v>
      </c>
      <c r="M21" s="322">
        <f t="shared" si="4"/>
        <v>0.1145948471</v>
      </c>
      <c r="N21" s="322">
        <f t="shared" si="4"/>
        <v>0.1145948471</v>
      </c>
    </row>
    <row r="22" ht="15.0" customHeight="1">
      <c r="A22" s="323" t="s">
        <v>296</v>
      </c>
      <c r="B22" s="117">
        <v>-0.1</v>
      </c>
      <c r="C22" s="117">
        <v>-0.1</v>
      </c>
      <c r="D22" s="117">
        <v>-0.1</v>
      </c>
      <c r="E22" s="117">
        <v>-0.1</v>
      </c>
      <c r="F22" s="117">
        <v>-0.1</v>
      </c>
      <c r="G22" s="117">
        <v>-0.1</v>
      </c>
      <c r="H22" s="117">
        <v>-0.1</v>
      </c>
      <c r="I22" s="117">
        <v>-0.1</v>
      </c>
      <c r="J22" s="117">
        <v>-0.1</v>
      </c>
      <c r="K22" s="117">
        <v>-0.1</v>
      </c>
      <c r="L22" s="117">
        <v>-0.1</v>
      </c>
      <c r="M22" s="117">
        <v>-0.1</v>
      </c>
      <c r="N22" s="117">
        <v>-0.1</v>
      </c>
    </row>
    <row r="23" ht="15.0" customHeight="1">
      <c r="A23" s="323" t="s">
        <v>297</v>
      </c>
      <c r="B23" s="322">
        <f t="shared" ref="B23:N23" si="5">B21*(1+B22)</f>
        <v>0.1031353624</v>
      </c>
      <c r="C23" s="322">
        <f t="shared" si="5"/>
        <v>0.1031353624</v>
      </c>
      <c r="D23" s="322">
        <f t="shared" si="5"/>
        <v>0.1031353624</v>
      </c>
      <c r="E23" s="322">
        <f t="shared" si="5"/>
        <v>0.1031353624</v>
      </c>
      <c r="F23" s="322">
        <f t="shared" si="5"/>
        <v>0.1031353624</v>
      </c>
      <c r="G23" s="322">
        <f t="shared" si="5"/>
        <v>0.1031353624</v>
      </c>
      <c r="H23" s="322">
        <f t="shared" si="5"/>
        <v>0.1031353624</v>
      </c>
      <c r="I23" s="322">
        <f t="shared" si="5"/>
        <v>0.1031353624</v>
      </c>
      <c r="J23" s="322">
        <f t="shared" si="5"/>
        <v>0.1031353624</v>
      </c>
      <c r="K23" s="322">
        <f t="shared" si="5"/>
        <v>0.1031353624</v>
      </c>
      <c r="L23" s="322">
        <f t="shared" si="5"/>
        <v>0.1031353624</v>
      </c>
      <c r="M23" s="322">
        <f t="shared" si="5"/>
        <v>0.1031353624</v>
      </c>
      <c r="N23" s="322">
        <f t="shared" si="5"/>
        <v>0.1031353624</v>
      </c>
    </row>
    <row r="24" ht="15.0" customHeight="1">
      <c r="A24" s="142"/>
      <c r="B24" s="142"/>
      <c r="C24" s="142"/>
      <c r="D24" s="142"/>
      <c r="E24" s="142"/>
      <c r="F24" s="142"/>
      <c r="G24" s="142"/>
      <c r="H24" s="142"/>
      <c r="I24" s="142"/>
      <c r="J24" s="142"/>
      <c r="K24" s="142"/>
      <c r="L24" s="142"/>
      <c r="M24" s="142"/>
      <c r="N24" s="142"/>
    </row>
    <row r="25" ht="15.0" customHeight="1">
      <c r="A25" s="324" t="s">
        <v>175</v>
      </c>
      <c r="B25" s="166">
        <v>2.0</v>
      </c>
      <c r="C25" s="166">
        <v>2.0</v>
      </c>
      <c r="D25" s="166">
        <v>2.0</v>
      </c>
      <c r="E25" s="166">
        <v>2.0</v>
      </c>
      <c r="F25" s="166">
        <v>2.0</v>
      </c>
      <c r="G25" s="166">
        <v>2.0</v>
      </c>
      <c r="H25" s="166">
        <v>2.0</v>
      </c>
      <c r="I25" s="166">
        <v>2.0</v>
      </c>
      <c r="J25" s="166">
        <v>2.0</v>
      </c>
      <c r="K25" s="166">
        <v>2.0</v>
      </c>
      <c r="L25" s="166">
        <v>2.0</v>
      </c>
      <c r="M25" s="166">
        <v>2.0</v>
      </c>
      <c r="N25" s="166">
        <v>2.0</v>
      </c>
    </row>
    <row r="26" ht="15.0" customHeight="1">
      <c r="A26" s="142"/>
      <c r="B26" s="142"/>
      <c r="C26" s="142"/>
      <c r="D26" s="142"/>
      <c r="E26" s="142"/>
      <c r="F26" s="142"/>
      <c r="G26" s="142"/>
      <c r="H26" s="142"/>
      <c r="I26" s="142"/>
      <c r="J26" s="142"/>
      <c r="K26" s="142"/>
      <c r="L26" s="142"/>
      <c r="M26" s="142"/>
      <c r="N26" s="142"/>
    </row>
    <row r="27" ht="13.5" customHeight="1">
      <c r="A27" s="325" t="s">
        <v>298</v>
      </c>
      <c r="B27" s="198">
        <f t="shared" ref="B27:N27" si="6">B25*B23</f>
        <v>0.2062707248</v>
      </c>
      <c r="C27" s="198">
        <f t="shared" si="6"/>
        <v>0.2062707248</v>
      </c>
      <c r="D27" s="198">
        <f t="shared" si="6"/>
        <v>0.2062707248</v>
      </c>
      <c r="E27" s="198">
        <f t="shared" si="6"/>
        <v>0.2062707248</v>
      </c>
      <c r="F27" s="198">
        <f t="shared" si="6"/>
        <v>0.2062707248</v>
      </c>
      <c r="G27" s="198">
        <f t="shared" si="6"/>
        <v>0.2062707248</v>
      </c>
      <c r="H27" s="198">
        <f t="shared" si="6"/>
        <v>0.2062707248</v>
      </c>
      <c r="I27" s="198">
        <f t="shared" si="6"/>
        <v>0.2062707248</v>
      </c>
      <c r="J27" s="198">
        <f t="shared" si="6"/>
        <v>0.2062707248</v>
      </c>
      <c r="K27" s="198">
        <f t="shared" si="6"/>
        <v>0.2062707248</v>
      </c>
      <c r="L27" s="198">
        <f t="shared" si="6"/>
        <v>0.2062707248</v>
      </c>
      <c r="M27" s="198">
        <f t="shared" si="6"/>
        <v>0.2062707248</v>
      </c>
      <c r="N27" s="198">
        <f t="shared" si="6"/>
        <v>0.2062707248</v>
      </c>
    </row>
    <row r="28" ht="13.5" customHeight="1">
      <c r="A28" s="151"/>
      <c r="B28" s="326"/>
      <c r="C28" s="326"/>
      <c r="D28" s="326"/>
      <c r="E28" s="326"/>
      <c r="F28" s="326"/>
      <c r="G28" s="326"/>
      <c r="H28" s="326"/>
      <c r="I28" s="326"/>
      <c r="J28" s="326"/>
      <c r="K28" s="326"/>
      <c r="L28" s="326"/>
      <c r="M28" s="326"/>
      <c r="N28" s="326"/>
    </row>
    <row r="29" ht="13.5" customHeight="1">
      <c r="A29" s="315" t="s">
        <v>87</v>
      </c>
      <c r="B29" s="327"/>
      <c r="C29" s="327"/>
      <c r="D29" s="327"/>
      <c r="E29" s="327"/>
      <c r="F29" s="327"/>
      <c r="G29" s="327"/>
      <c r="H29" s="327"/>
      <c r="I29" s="327"/>
      <c r="J29" s="327"/>
      <c r="K29" s="327"/>
      <c r="L29" s="327"/>
      <c r="M29" s="327"/>
      <c r="N29" s="327"/>
    </row>
    <row r="30" ht="13.5" customHeight="1">
      <c r="A30" s="151"/>
      <c r="B30" s="223"/>
      <c r="C30" s="223"/>
      <c r="D30" s="223"/>
      <c r="E30" s="223"/>
      <c r="F30" s="223"/>
      <c r="G30" s="223"/>
      <c r="H30" s="223"/>
      <c r="I30" s="223"/>
      <c r="J30" s="223"/>
      <c r="K30" s="223"/>
      <c r="L30" s="223"/>
      <c r="M30" s="223"/>
      <c r="N30" s="223"/>
    </row>
    <row r="31" ht="13.5" customHeight="1">
      <c r="A31" s="91" t="s">
        <v>299</v>
      </c>
      <c r="B31" s="92">
        <v>0.6082843</v>
      </c>
      <c r="C31" s="92">
        <v>0.4014779</v>
      </c>
      <c r="D31" s="92">
        <v>0.4014779</v>
      </c>
      <c r="E31" s="92">
        <v>0.4014779</v>
      </c>
      <c r="F31" s="92">
        <v>0.4014779</v>
      </c>
      <c r="G31" s="92">
        <v>0.4014779</v>
      </c>
      <c r="H31" s="92">
        <v>0.4014779</v>
      </c>
      <c r="I31" s="92">
        <v>0.4014779</v>
      </c>
      <c r="J31" s="92">
        <v>0.6735345</v>
      </c>
      <c r="K31" s="92">
        <v>0.6084396</v>
      </c>
      <c r="L31" s="92">
        <v>0.6270353204610798</v>
      </c>
      <c r="M31" s="92">
        <v>0.6220757005833413</v>
      </c>
      <c r="N31" s="127">
        <v>0.589401613589314</v>
      </c>
    </row>
    <row r="32" ht="13.5" customHeight="1">
      <c r="A32" s="91" t="s">
        <v>89</v>
      </c>
      <c r="B32" s="92">
        <v>0.0234169</v>
      </c>
      <c r="C32" s="92">
        <v>0.2573664</v>
      </c>
      <c r="D32" s="92">
        <v>0.2573664</v>
      </c>
      <c r="E32" s="92">
        <v>0.2573664</v>
      </c>
      <c r="F32" s="92">
        <v>0.2573664</v>
      </c>
      <c r="G32" s="92">
        <v>0.2573664</v>
      </c>
      <c r="H32" s="92">
        <v>0.2573664</v>
      </c>
      <c r="I32" s="92">
        <v>0.2573664</v>
      </c>
      <c r="J32" s="92">
        <v>0.0</v>
      </c>
      <c r="K32" s="92">
        <v>0.0090019</v>
      </c>
      <c r="L32" s="92">
        <v>0.0</v>
      </c>
      <c r="M32" s="92">
        <v>0.023113655139338433</v>
      </c>
      <c r="N32" s="127">
        <v>0.0351897688307239</v>
      </c>
    </row>
    <row r="33" ht="13.5" customHeight="1">
      <c r="A33" s="91" t="s">
        <v>300</v>
      </c>
      <c r="B33" s="92">
        <v>0.009947</v>
      </c>
      <c r="C33" s="92">
        <v>0.0</v>
      </c>
      <c r="D33" s="92">
        <v>0.0</v>
      </c>
      <c r="E33" s="92">
        <v>0.0</v>
      </c>
      <c r="F33" s="92">
        <v>0.0</v>
      </c>
      <c r="G33" s="92">
        <v>0.0</v>
      </c>
      <c r="H33" s="92">
        <v>0.0</v>
      </c>
      <c r="I33" s="92">
        <v>0.0</v>
      </c>
      <c r="J33" s="92">
        <v>0.0</v>
      </c>
      <c r="K33" s="92">
        <v>0.0</v>
      </c>
      <c r="L33" s="92">
        <v>0.0</v>
      </c>
      <c r="M33" s="92">
        <v>0.0</v>
      </c>
      <c r="N33" s="127">
        <v>0.0015079661387344956</v>
      </c>
    </row>
    <row r="34" ht="13.5" customHeight="1">
      <c r="A34" s="91" t="s">
        <v>301</v>
      </c>
      <c r="B34" s="92">
        <v>0.3</v>
      </c>
      <c r="C34" s="92">
        <v>0.3</v>
      </c>
      <c r="D34" s="92">
        <v>0.3</v>
      </c>
      <c r="E34" s="92">
        <v>0.3</v>
      </c>
      <c r="F34" s="92">
        <v>0.3</v>
      </c>
      <c r="G34" s="92">
        <v>0.3</v>
      </c>
      <c r="H34" s="92">
        <v>0.3</v>
      </c>
      <c r="I34" s="92">
        <v>0.3</v>
      </c>
      <c r="J34" s="92">
        <v>0.2999999</v>
      </c>
      <c r="K34" s="92">
        <v>0.3000001</v>
      </c>
      <c r="L34" s="92">
        <v>0.3</v>
      </c>
      <c r="M34" s="92">
        <v>0.3</v>
      </c>
      <c r="N34" s="127">
        <v>0.3</v>
      </c>
    </row>
    <row r="35" ht="13.5" customHeight="1">
      <c r="A35" s="91" t="s">
        <v>302</v>
      </c>
      <c r="B35" s="92">
        <v>0.0583518</v>
      </c>
      <c r="C35" s="92">
        <v>0.0411558</v>
      </c>
      <c r="D35" s="92">
        <v>0.0411558</v>
      </c>
      <c r="E35" s="92">
        <v>0.0411558</v>
      </c>
      <c r="F35" s="92">
        <v>0.0411558</v>
      </c>
      <c r="G35" s="92">
        <v>0.0411558</v>
      </c>
      <c r="H35" s="92">
        <v>0.0411558</v>
      </c>
      <c r="I35" s="92">
        <v>0.0411558</v>
      </c>
      <c r="J35" s="92">
        <v>0.0264655</v>
      </c>
      <c r="K35" s="92">
        <v>0.0825584</v>
      </c>
      <c r="L35" s="92">
        <v>0.07296462213182583</v>
      </c>
      <c r="M35" s="92">
        <v>0.05481063816941772</v>
      </c>
      <c r="N35" s="127">
        <v>0.0739006514412277</v>
      </c>
    </row>
    <row r="36" ht="13.5" customHeight="1">
      <c r="A36" s="151"/>
      <c r="B36" s="223"/>
      <c r="C36" s="223"/>
      <c r="D36" s="223"/>
      <c r="E36" s="223"/>
      <c r="F36" s="223"/>
      <c r="G36" s="223"/>
      <c r="H36" s="223"/>
      <c r="I36" s="223"/>
      <c r="J36" s="328"/>
      <c r="K36" s="223"/>
      <c r="L36" s="223"/>
      <c r="M36" s="223"/>
      <c r="N36" s="223"/>
    </row>
    <row r="37" ht="13.5" customHeight="1">
      <c r="A37" s="329" t="s">
        <v>303</v>
      </c>
      <c r="B37" s="330"/>
      <c r="C37" s="330"/>
      <c r="D37" s="330"/>
      <c r="E37" s="330"/>
      <c r="F37" s="330"/>
      <c r="G37" s="330"/>
      <c r="H37" s="330"/>
      <c r="I37" s="330"/>
      <c r="J37" s="330"/>
      <c r="K37" s="330"/>
      <c r="L37" s="330"/>
      <c r="M37" s="330"/>
      <c r="N37" s="330"/>
    </row>
    <row r="38" ht="13.5" customHeight="1">
      <c r="A38" s="55"/>
      <c r="B38" s="95"/>
      <c r="C38" s="95"/>
      <c r="D38" s="95"/>
      <c r="E38" s="95"/>
      <c r="F38" s="95"/>
      <c r="G38" s="95"/>
      <c r="H38" s="95"/>
      <c r="I38" s="95"/>
      <c r="J38" s="95"/>
      <c r="K38" s="95"/>
      <c r="L38" s="95"/>
      <c r="M38" s="95"/>
      <c r="N38" s="95"/>
    </row>
    <row r="39" ht="13.5" customHeight="1">
      <c r="A39" s="91" t="s">
        <v>304</v>
      </c>
      <c r="B39" s="100">
        <v>100000.0</v>
      </c>
      <c r="C39" s="100">
        <v>100000.0</v>
      </c>
      <c r="D39" s="100">
        <v>100000.0</v>
      </c>
      <c r="E39" s="100">
        <v>100000.0</v>
      </c>
      <c r="F39" s="100">
        <v>100000.0</v>
      </c>
      <c r="G39" s="100">
        <v>100000.0</v>
      </c>
      <c r="H39" s="100">
        <v>100000.0</v>
      </c>
      <c r="I39" s="100">
        <v>100000.0</v>
      </c>
      <c r="J39" s="100">
        <v>100000.0</v>
      </c>
      <c r="K39" s="100">
        <v>100000.0</v>
      </c>
      <c r="L39" s="100">
        <v>100000.0</v>
      </c>
      <c r="M39" s="100">
        <v>100000.0</v>
      </c>
      <c r="N39" s="100">
        <v>100000.0</v>
      </c>
    </row>
    <row r="40" ht="13.5" customHeight="1">
      <c r="A40" s="91" t="s">
        <v>93</v>
      </c>
      <c r="B40" s="101">
        <f t="shared" ref="B40:N40" si="7">B39/B31</f>
        <v>164396.8125</v>
      </c>
      <c r="C40" s="101">
        <f t="shared" si="7"/>
        <v>249079.7127</v>
      </c>
      <c r="D40" s="101">
        <f t="shared" si="7"/>
        <v>249079.7127</v>
      </c>
      <c r="E40" s="101">
        <f t="shared" si="7"/>
        <v>249079.7127</v>
      </c>
      <c r="F40" s="101">
        <f t="shared" si="7"/>
        <v>249079.7127</v>
      </c>
      <c r="G40" s="101">
        <f t="shared" si="7"/>
        <v>249079.7127</v>
      </c>
      <c r="H40" s="101">
        <f t="shared" si="7"/>
        <v>249079.7127</v>
      </c>
      <c r="I40" s="101">
        <f t="shared" si="7"/>
        <v>249079.7127</v>
      </c>
      <c r="J40" s="101">
        <f t="shared" si="7"/>
        <v>148470.4941</v>
      </c>
      <c r="K40" s="101">
        <f t="shared" si="7"/>
        <v>164354.8513</v>
      </c>
      <c r="L40" s="101">
        <f t="shared" si="7"/>
        <v>159480.6492</v>
      </c>
      <c r="M40" s="101">
        <f t="shared" si="7"/>
        <v>160752.1398</v>
      </c>
      <c r="N40" s="101">
        <f t="shared" si="7"/>
        <v>169663.6007</v>
      </c>
    </row>
    <row r="41" ht="1.5" customHeight="1">
      <c r="A41" s="331" t="s">
        <v>305</v>
      </c>
      <c r="B41" s="332">
        <v>1.0</v>
      </c>
      <c r="C41" s="332">
        <v>1.0</v>
      </c>
      <c r="D41" s="332">
        <v>1.0</v>
      </c>
      <c r="E41" s="332">
        <v>1.0</v>
      </c>
      <c r="F41" s="332">
        <v>1.0</v>
      </c>
      <c r="G41" s="332">
        <v>1.0</v>
      </c>
      <c r="H41" s="332">
        <v>1.0</v>
      </c>
      <c r="I41" s="332">
        <v>1.0</v>
      </c>
      <c r="J41" s="332">
        <v>1.0</v>
      </c>
      <c r="K41" s="332">
        <v>1.0</v>
      </c>
      <c r="L41" s="332">
        <v>1.0</v>
      </c>
      <c r="M41" s="332">
        <v>1.0</v>
      </c>
      <c r="N41" s="127">
        <v>1.0</v>
      </c>
    </row>
    <row r="42" ht="12.0" customHeight="1">
      <c r="A42" s="126" t="s">
        <v>306</v>
      </c>
      <c r="B42" s="333">
        <v>0.20523514303046</v>
      </c>
      <c r="C42" s="146">
        <v>0.0355752</v>
      </c>
      <c r="D42" s="146">
        <v>0.0128676</v>
      </c>
      <c r="E42" s="146">
        <v>0.1264055</v>
      </c>
      <c r="F42" s="146">
        <v>0.0075692</v>
      </c>
      <c r="G42" s="146">
        <v>0.0531569</v>
      </c>
      <c r="H42" s="146">
        <v>0.0075692</v>
      </c>
      <c r="I42" s="146">
        <v>0.0128676</v>
      </c>
      <c r="J42" s="333">
        <v>0.0700532622286556</v>
      </c>
      <c r="K42" s="333">
        <v>0.110769485470474</v>
      </c>
      <c r="L42" s="333">
        <v>0.205235143030462</v>
      </c>
      <c r="M42" s="333">
        <v>0.0832610819812009</v>
      </c>
      <c r="N42" s="333">
        <v>0.123383074085492</v>
      </c>
    </row>
    <row r="43">
      <c r="A43" s="323" t="s">
        <v>307</v>
      </c>
      <c r="B43" s="334">
        <f t="shared" ref="B43:N43" si="8">B27*B41*B42</f>
        <v>0.04233400171</v>
      </c>
      <c r="C43" s="334">
        <f t="shared" si="8"/>
        <v>0.00733812229</v>
      </c>
      <c r="D43" s="334">
        <f t="shared" si="8"/>
        <v>0.002654209179</v>
      </c>
      <c r="E43" s="334">
        <f t="shared" si="8"/>
        <v>0.02607375411</v>
      </c>
      <c r="F43" s="334">
        <f t="shared" si="8"/>
        <v>0.00156130437</v>
      </c>
      <c r="G43" s="334">
        <f t="shared" si="8"/>
        <v>0.01096471229</v>
      </c>
      <c r="H43" s="334">
        <f t="shared" si="8"/>
        <v>0.00156130437</v>
      </c>
      <c r="I43" s="334">
        <f t="shared" si="8"/>
        <v>0.002654209179</v>
      </c>
      <c r="J43" s="334">
        <f t="shared" si="8"/>
        <v>0.01444993718</v>
      </c>
      <c r="K43" s="334">
        <f t="shared" si="8"/>
        <v>0.02284850206</v>
      </c>
      <c r="L43" s="334">
        <f t="shared" si="8"/>
        <v>0.04233400171</v>
      </c>
      <c r="M43" s="334">
        <f t="shared" si="8"/>
        <v>0.01717432373</v>
      </c>
      <c r="N43" s="334">
        <f t="shared" si="8"/>
        <v>0.02545031612</v>
      </c>
    </row>
    <row r="44" ht="1.5" customHeight="1">
      <c r="A44" s="324" t="s">
        <v>65</v>
      </c>
      <c r="B44" s="137">
        <f t="array" ref="B44">index('Moral weights and discount rate'!$A$1:$ZU$39,match($A44,'Moral weights and discount rate'!$A$1:$A$39,0),match('Moral weights and discount rate'!$A$17,'Moral weights and discount rate'!$A$1:$ZU1,0))</f>
        <v>1.442695041</v>
      </c>
      <c r="C44" s="137">
        <f t="array" ref="C44">index('Moral weights and discount rate'!$A$1:$ZU$39,match($A44,'Moral weights and discount rate'!$A$1:$A$39,0),match('Moral weights and discount rate'!$A$17,'Moral weights and discount rate'!$A$1:$ZU1,0))</f>
        <v>1.442695041</v>
      </c>
      <c r="D44" s="137">
        <f t="array" ref="D44">index('Moral weights and discount rate'!$A$1:$ZU$39,match($A44,'Moral weights and discount rate'!$A$1:$A$39,0),match('Moral weights and discount rate'!$A$17,'Moral weights and discount rate'!$A$1:$ZU1,0))</f>
        <v>1.442695041</v>
      </c>
      <c r="E44" s="137">
        <f t="array" ref="E44">index('Moral weights and discount rate'!$A$1:$ZU$39,match($A44,'Moral weights and discount rate'!$A$1:$A$39,0),match('Moral weights and discount rate'!$A$17,'Moral weights and discount rate'!$A$1:$ZU1,0))</f>
        <v>1.442695041</v>
      </c>
      <c r="F44" s="137">
        <f t="array" ref="F44">index('Moral weights and discount rate'!$A$1:$ZU$39,match($A44,'Moral weights and discount rate'!$A$1:$A$39,0),match('Moral weights and discount rate'!$A$17,'Moral weights and discount rate'!$A$1:$ZU1,0))</f>
        <v>1.442695041</v>
      </c>
      <c r="G44" s="137">
        <f t="array" ref="G44">index('Moral weights and discount rate'!$A$1:$ZU$39,match($A44,'Moral weights and discount rate'!$A$1:$A$39,0),match('Moral weights and discount rate'!$A$17,'Moral weights and discount rate'!$A$1:$ZU1,0))</f>
        <v>1.442695041</v>
      </c>
      <c r="H44" s="137">
        <f t="array" ref="H44">index('Moral weights and discount rate'!$A$1:$ZU$39,match($A44,'Moral weights and discount rate'!$A$1:$A$39,0),match('Moral weights and discount rate'!$A$17,'Moral weights and discount rate'!$A$1:$ZU1,0))</f>
        <v>1.442695041</v>
      </c>
      <c r="I44" s="137">
        <f t="array" ref="I44">index('Moral weights and discount rate'!$A$1:$ZU$39,match($A44,'Moral weights and discount rate'!$A$1:$A$39,0),match('Moral weights and discount rate'!$A$17,'Moral weights and discount rate'!$A$1:$ZU1,0))</f>
        <v>1.442695041</v>
      </c>
      <c r="J44" s="137">
        <f t="array" ref="J44">index('Moral weights and discount rate'!$A$1:$ZU$39,match($A44,'Moral weights and discount rate'!$A$1:$A$39,0),match('Moral weights and discount rate'!$A$17,'Moral weights and discount rate'!$A$1:$ZU1,0))</f>
        <v>1.442695041</v>
      </c>
      <c r="K44" s="137">
        <f t="array" ref="K44">index('Moral weights and discount rate'!$A$1:$ZU$39,match($A44,'Moral weights and discount rate'!$A$1:$A$39,0),match('Moral weights and discount rate'!$A$17,'Moral weights and discount rate'!$A$1:$ZU1,0))</f>
        <v>1.442695041</v>
      </c>
      <c r="L44" s="137">
        <f t="array" ref="L44">index('Moral weights and discount rate'!$A$1:$ZU$39,match($A44,'Moral weights and discount rate'!$A$1:$A$39,0),match('Moral weights and discount rate'!$A$17,'Moral weights and discount rate'!$A$1:$ZU1,0))</f>
        <v>1.442695041</v>
      </c>
      <c r="M44" s="137">
        <f t="array" ref="M44">index('Moral weights and discount rate'!$A$1:$ZU$39,match($A44,'Moral weights and discount rate'!$A$1:$A$39,0),match('Moral weights and discount rate'!$A$17,'Moral weights and discount rate'!$A$1:$ZU1,0))</f>
        <v>1.442695041</v>
      </c>
      <c r="N44" s="137">
        <f t="array" ref="N44">index('Moral weights and discount rate'!$A$1:$ZU$39,match($A44,'Moral weights and discount rate'!$A$1:$A$39,0),match('Moral weights and discount rate'!$A$17,'Moral weights and discount rate'!$A$1:$ZU1,0))</f>
        <v>1.442695041</v>
      </c>
    </row>
    <row r="45">
      <c r="A45" s="335" t="s">
        <v>308</v>
      </c>
      <c r="B45" s="336">
        <f t="shared" ref="B45:N45" si="9">(B43*B44)</f>
        <v>0.06107505433</v>
      </c>
      <c r="C45" s="336">
        <f t="shared" si="9"/>
        <v>0.01058667264</v>
      </c>
      <c r="D45" s="336">
        <f t="shared" si="9"/>
        <v>0.00382921442</v>
      </c>
      <c r="E45" s="336">
        <f t="shared" si="9"/>
        <v>0.03761647575</v>
      </c>
      <c r="F45" s="336">
        <f t="shared" si="9"/>
        <v>0.002252486073</v>
      </c>
      <c r="G45" s="336">
        <f t="shared" si="9"/>
        <v>0.01581873605</v>
      </c>
      <c r="H45" s="336">
        <f t="shared" si="9"/>
        <v>0.002252486073</v>
      </c>
      <c r="I45" s="336">
        <f t="shared" si="9"/>
        <v>0.00382921442</v>
      </c>
      <c r="J45" s="336">
        <f t="shared" si="9"/>
        <v>0.02084685271</v>
      </c>
      <c r="K45" s="336">
        <f t="shared" si="9"/>
        <v>0.03296342061</v>
      </c>
      <c r="L45" s="336">
        <f t="shared" si="9"/>
        <v>0.06107505433</v>
      </c>
      <c r="M45" s="336">
        <f t="shared" si="9"/>
        <v>0.02477731168</v>
      </c>
      <c r="N45" s="336">
        <f t="shared" si="9"/>
        <v>0.03671704486</v>
      </c>
    </row>
    <row r="46">
      <c r="A46" s="337" t="s">
        <v>309</v>
      </c>
      <c r="B46" s="338">
        <v>0.64757</v>
      </c>
      <c r="C46" s="339">
        <v>0.74247</v>
      </c>
      <c r="D46" s="339">
        <v>0.74247</v>
      </c>
      <c r="E46" s="339">
        <v>0.74247</v>
      </c>
      <c r="F46" s="339">
        <v>0.74247</v>
      </c>
      <c r="G46" s="339">
        <v>0.74247</v>
      </c>
      <c r="H46" s="339">
        <v>0.74247</v>
      </c>
      <c r="I46" s="339">
        <v>0.74247</v>
      </c>
      <c r="J46" s="338">
        <v>0.75506</v>
      </c>
      <c r="K46" s="338">
        <v>0.78975</v>
      </c>
      <c r="L46" s="338">
        <v>1.518246103</v>
      </c>
      <c r="M46" s="338">
        <v>0.7480077174</v>
      </c>
      <c r="N46" s="338">
        <v>1.16122759803812</v>
      </c>
    </row>
    <row r="47">
      <c r="A47" s="337" t="s">
        <v>310</v>
      </c>
      <c r="B47" s="168">
        <f t="shared" ref="B47:N47" si="10">B40/B46</f>
        <v>253867.246</v>
      </c>
      <c r="C47" s="168">
        <f t="shared" si="10"/>
        <v>335474.4471</v>
      </c>
      <c r="D47" s="168">
        <f t="shared" si="10"/>
        <v>335474.4471</v>
      </c>
      <c r="E47" s="168">
        <f t="shared" si="10"/>
        <v>335474.4471</v>
      </c>
      <c r="F47" s="168">
        <f t="shared" si="10"/>
        <v>335474.4471</v>
      </c>
      <c r="G47" s="168">
        <f t="shared" si="10"/>
        <v>335474.4471</v>
      </c>
      <c r="H47" s="168">
        <f t="shared" si="10"/>
        <v>335474.4471</v>
      </c>
      <c r="I47" s="168">
        <f t="shared" si="10"/>
        <v>335474.4471</v>
      </c>
      <c r="J47" s="168">
        <f t="shared" si="10"/>
        <v>196634.0345</v>
      </c>
      <c r="K47" s="168">
        <f t="shared" si="10"/>
        <v>208109.9732</v>
      </c>
      <c r="L47" s="168">
        <f t="shared" si="10"/>
        <v>105042.6864</v>
      </c>
      <c r="M47" s="168">
        <f t="shared" si="10"/>
        <v>214907.0606</v>
      </c>
      <c r="N47" s="168">
        <f t="shared" si="10"/>
        <v>146107.1033</v>
      </c>
    </row>
    <row r="48">
      <c r="A48" s="151"/>
      <c r="B48" s="55"/>
      <c r="C48" s="172"/>
      <c r="D48" s="172"/>
      <c r="E48" s="172"/>
      <c r="F48" s="172"/>
      <c r="G48" s="172"/>
      <c r="H48" s="172"/>
      <c r="I48" s="172"/>
      <c r="J48" s="172"/>
      <c r="K48" s="172"/>
      <c r="L48" s="172"/>
      <c r="M48" s="172"/>
      <c r="N48" s="172"/>
    </row>
    <row r="49">
      <c r="A49" s="207" t="s">
        <v>311</v>
      </c>
      <c r="B49" s="161"/>
      <c r="C49" s="161"/>
      <c r="D49" s="161"/>
      <c r="E49" s="161"/>
      <c r="F49" s="161"/>
      <c r="G49" s="161"/>
      <c r="H49" s="161"/>
      <c r="I49" s="161"/>
      <c r="J49" s="161"/>
      <c r="K49" s="161"/>
      <c r="L49" s="161"/>
      <c r="M49" s="161"/>
      <c r="N49" s="161"/>
    </row>
    <row r="50">
      <c r="A50" s="55"/>
      <c r="B50" s="151"/>
      <c r="C50" s="151"/>
      <c r="D50" s="151"/>
      <c r="E50" s="151"/>
      <c r="F50" s="151"/>
      <c r="G50" s="151"/>
      <c r="H50" s="151"/>
      <c r="I50" s="151"/>
      <c r="J50" s="151"/>
      <c r="K50" s="151"/>
      <c r="L50" s="151"/>
      <c r="M50" s="151"/>
      <c r="N50" s="151"/>
    </row>
    <row r="51">
      <c r="A51" s="55" t="s">
        <v>312</v>
      </c>
      <c r="B51" s="229">
        <f t="shared" ref="B51:N51" si="11">product(B11:B12,B42)</f>
        <v>0.02401251173</v>
      </c>
      <c r="C51" s="229">
        <f t="shared" si="11"/>
        <v>0.0041622984</v>
      </c>
      <c r="D51" s="229">
        <f t="shared" si="11"/>
        <v>0.0015055092</v>
      </c>
      <c r="E51" s="229">
        <f t="shared" si="11"/>
        <v>0.0147894435</v>
      </c>
      <c r="F51" s="229">
        <f t="shared" si="11"/>
        <v>0.0008855964</v>
      </c>
      <c r="G51" s="229">
        <f t="shared" si="11"/>
        <v>0.0062193573</v>
      </c>
      <c r="H51" s="229">
        <f t="shared" si="11"/>
        <v>0.0008855964</v>
      </c>
      <c r="I51" s="229">
        <f t="shared" si="11"/>
        <v>0.0015055092</v>
      </c>
      <c r="J51" s="229">
        <f t="shared" si="11"/>
        <v>0.008196231681</v>
      </c>
      <c r="K51" s="229">
        <f t="shared" si="11"/>
        <v>0.0129600298</v>
      </c>
      <c r="L51" s="229">
        <f t="shared" si="11"/>
        <v>0.02401251173</v>
      </c>
      <c r="M51" s="229">
        <f t="shared" si="11"/>
        <v>0.009741546592</v>
      </c>
      <c r="N51" s="229">
        <f t="shared" si="11"/>
        <v>0.01443581967</v>
      </c>
    </row>
    <row r="52">
      <c r="A52" s="151"/>
      <c r="B52" s="172"/>
      <c r="C52" s="172"/>
      <c r="D52" s="172"/>
      <c r="E52" s="172"/>
      <c r="F52" s="172"/>
      <c r="G52" s="172"/>
      <c r="H52" s="172"/>
      <c r="I52" s="172"/>
      <c r="J52" s="172"/>
      <c r="K52" s="172"/>
      <c r="L52" s="172"/>
      <c r="M52" s="172"/>
      <c r="N52" s="172"/>
    </row>
    <row r="53">
      <c r="A53" s="160" t="s">
        <v>180</v>
      </c>
      <c r="B53" s="161"/>
      <c r="C53" s="161"/>
      <c r="D53" s="161"/>
      <c r="E53" s="161"/>
      <c r="F53" s="161"/>
      <c r="G53" s="161"/>
      <c r="H53" s="161"/>
      <c r="I53" s="161"/>
      <c r="J53" s="161"/>
      <c r="K53" s="161"/>
      <c r="L53" s="161"/>
      <c r="M53" s="161"/>
      <c r="N53" s="161"/>
    </row>
    <row r="54">
      <c r="A54" s="55"/>
      <c r="B54" s="151"/>
      <c r="C54" s="151"/>
      <c r="D54" s="151"/>
      <c r="E54" s="151"/>
      <c r="F54" s="151"/>
      <c r="G54" s="151"/>
      <c r="H54" s="151"/>
      <c r="I54" s="151"/>
      <c r="J54" s="151"/>
      <c r="K54" s="151"/>
      <c r="L54" s="151"/>
      <c r="M54" s="151"/>
      <c r="N54" s="151"/>
    </row>
    <row r="55">
      <c r="A55" s="340" t="str">
        <f t="shared" ref="A55:N55" si="12">A43</f>
        <v>Present value of lifetime benefits from a year of deworming — in terms of increases in ln(consumption) — DtW</v>
      </c>
      <c r="B55" s="341">
        <f t="shared" si="12"/>
        <v>0.04233400171</v>
      </c>
      <c r="C55" s="341">
        <f t="shared" si="12"/>
        <v>0.00733812229</v>
      </c>
      <c r="D55" s="341">
        <f t="shared" si="12"/>
        <v>0.002654209179</v>
      </c>
      <c r="E55" s="341">
        <f t="shared" si="12"/>
        <v>0.02607375411</v>
      </c>
      <c r="F55" s="341">
        <f t="shared" si="12"/>
        <v>0.00156130437</v>
      </c>
      <c r="G55" s="341">
        <f t="shared" si="12"/>
        <v>0.01096471229</v>
      </c>
      <c r="H55" s="341">
        <f t="shared" si="12"/>
        <v>0.00156130437</v>
      </c>
      <c r="I55" s="341">
        <f t="shared" si="12"/>
        <v>0.002654209179</v>
      </c>
      <c r="J55" s="341">
        <f t="shared" si="12"/>
        <v>0.01444993718</v>
      </c>
      <c r="K55" s="341">
        <f t="shared" si="12"/>
        <v>0.02284850206</v>
      </c>
      <c r="L55" s="341">
        <f t="shared" si="12"/>
        <v>0.04233400171</v>
      </c>
      <c r="M55" s="341">
        <f t="shared" si="12"/>
        <v>0.01717432373</v>
      </c>
      <c r="N55" s="341">
        <f t="shared" si="12"/>
        <v>0.02545031612</v>
      </c>
    </row>
    <row r="56">
      <c r="A56" s="342" t="str">
        <f t="shared" ref="A56:N56" si="13">A44</f>
        <v>Value assigned to increasing ln(consumption) by one unit for one person for one year</v>
      </c>
      <c r="B56" s="343">
        <f t="shared" si="13"/>
        <v>1.442695041</v>
      </c>
      <c r="C56" s="343">
        <f t="shared" si="13"/>
        <v>1.442695041</v>
      </c>
      <c r="D56" s="343">
        <f t="shared" si="13"/>
        <v>1.442695041</v>
      </c>
      <c r="E56" s="343">
        <f t="shared" si="13"/>
        <v>1.442695041</v>
      </c>
      <c r="F56" s="343">
        <f t="shared" si="13"/>
        <v>1.442695041</v>
      </c>
      <c r="G56" s="343">
        <f t="shared" si="13"/>
        <v>1.442695041</v>
      </c>
      <c r="H56" s="343">
        <f t="shared" si="13"/>
        <v>1.442695041</v>
      </c>
      <c r="I56" s="343">
        <f t="shared" si="13"/>
        <v>1.442695041</v>
      </c>
      <c r="J56" s="343">
        <f t="shared" si="13"/>
        <v>1.442695041</v>
      </c>
      <c r="K56" s="343">
        <f t="shared" si="13"/>
        <v>1.442695041</v>
      </c>
      <c r="L56" s="343">
        <f t="shared" si="13"/>
        <v>1.442695041</v>
      </c>
      <c r="M56" s="343">
        <f t="shared" si="13"/>
        <v>1.442695041</v>
      </c>
      <c r="N56" s="343">
        <f t="shared" si="13"/>
        <v>1.442695041</v>
      </c>
    </row>
    <row r="57">
      <c r="A57" s="344" t="str">
        <f t="shared" ref="A57:N57" si="14">A47</f>
        <v>Total number of children dewormed (per year) — DtW</v>
      </c>
      <c r="B57" s="345">
        <f t="shared" si="14"/>
        <v>253867.246</v>
      </c>
      <c r="C57" s="345">
        <f t="shared" si="14"/>
        <v>335474.4471</v>
      </c>
      <c r="D57" s="345">
        <f t="shared" si="14"/>
        <v>335474.4471</v>
      </c>
      <c r="E57" s="345">
        <f t="shared" si="14"/>
        <v>335474.4471</v>
      </c>
      <c r="F57" s="345">
        <f t="shared" si="14"/>
        <v>335474.4471</v>
      </c>
      <c r="G57" s="345">
        <f t="shared" si="14"/>
        <v>335474.4471</v>
      </c>
      <c r="H57" s="345">
        <f t="shared" si="14"/>
        <v>335474.4471</v>
      </c>
      <c r="I57" s="345">
        <f t="shared" si="14"/>
        <v>335474.4471</v>
      </c>
      <c r="J57" s="345">
        <f t="shared" si="14"/>
        <v>196634.0345</v>
      </c>
      <c r="K57" s="345">
        <f t="shared" si="14"/>
        <v>208109.9732</v>
      </c>
      <c r="L57" s="345">
        <f t="shared" si="14"/>
        <v>105042.6864</v>
      </c>
      <c r="M57" s="345">
        <f t="shared" si="14"/>
        <v>214907.0606</v>
      </c>
      <c r="N57" s="345">
        <f t="shared" si="14"/>
        <v>146107.1033</v>
      </c>
    </row>
    <row r="58">
      <c r="A58" s="346" t="s">
        <v>213</v>
      </c>
      <c r="B58" s="347">
        <f t="shared" ref="B58:N58" si="15">product(B55:B57)</f>
        <v>15504.95584</v>
      </c>
      <c r="C58" s="347">
        <f t="shared" si="15"/>
        <v>3551.55815</v>
      </c>
      <c r="D58" s="347">
        <f t="shared" si="15"/>
        <v>1284.60359</v>
      </c>
      <c r="E58" s="347">
        <f t="shared" si="15"/>
        <v>12619.3664</v>
      </c>
      <c r="F58" s="347">
        <f t="shared" si="15"/>
        <v>755.6515198</v>
      </c>
      <c r="G58" s="347">
        <f t="shared" si="15"/>
        <v>5306.78173</v>
      </c>
      <c r="H58" s="347">
        <f t="shared" si="15"/>
        <v>755.6515198</v>
      </c>
      <c r="I58" s="347">
        <f t="shared" si="15"/>
        <v>1284.60359</v>
      </c>
      <c r="J58" s="347">
        <f t="shared" si="15"/>
        <v>4099.200754</v>
      </c>
      <c r="K58" s="347">
        <f t="shared" si="15"/>
        <v>6860.016579</v>
      </c>
      <c r="L58" s="347">
        <f t="shared" si="15"/>
        <v>6415.487778</v>
      </c>
      <c r="M58" s="347">
        <f t="shared" si="15"/>
        <v>5324.819221</v>
      </c>
      <c r="N58" s="347">
        <f t="shared" si="15"/>
        <v>5364.621068</v>
      </c>
    </row>
    <row r="59">
      <c r="A59" s="348" t="s">
        <v>183</v>
      </c>
      <c r="B59" s="142">
        <f t="shared" ref="B59:N59" si="16">B58/B40</f>
        <v>0.09431421211</v>
      </c>
      <c r="C59" s="142">
        <f t="shared" si="16"/>
        <v>0.01425872108</v>
      </c>
      <c r="D59" s="142">
        <f t="shared" si="16"/>
        <v>0.005157399518</v>
      </c>
      <c r="E59" s="142">
        <f t="shared" si="16"/>
        <v>0.05066396723</v>
      </c>
      <c r="F59" s="142">
        <f t="shared" si="16"/>
        <v>0.003033773853</v>
      </c>
      <c r="G59" s="142">
        <f t="shared" si="16"/>
        <v>0.02130555585</v>
      </c>
      <c r="H59" s="142">
        <f t="shared" si="16"/>
        <v>0.003033773853</v>
      </c>
      <c r="I59" s="142">
        <f t="shared" si="16"/>
        <v>0.005157399518</v>
      </c>
      <c r="J59" s="142">
        <f t="shared" si="16"/>
        <v>0.0276095313</v>
      </c>
      <c r="K59" s="142">
        <f t="shared" si="16"/>
        <v>0.04173905744</v>
      </c>
      <c r="L59" s="142">
        <f t="shared" si="16"/>
        <v>0.04022737435</v>
      </c>
      <c r="M59" s="142">
        <f t="shared" si="16"/>
        <v>0.03312440647</v>
      </c>
      <c r="N59" s="142">
        <f t="shared" si="16"/>
        <v>0.03161916314</v>
      </c>
    </row>
    <row r="60">
      <c r="A60" s="223"/>
      <c r="B60" s="223"/>
      <c r="C60" s="223"/>
      <c r="D60" s="223"/>
      <c r="E60" s="223"/>
      <c r="F60" s="223"/>
      <c r="G60" s="223"/>
      <c r="H60" s="223"/>
      <c r="I60" s="223"/>
      <c r="J60" s="223"/>
      <c r="K60" s="223"/>
      <c r="L60" s="223"/>
      <c r="M60" s="223"/>
      <c r="N60" s="223"/>
    </row>
    <row r="61">
      <c r="A61" s="204" t="s">
        <v>184</v>
      </c>
      <c r="B61" s="206">
        <f t="array" ref="B61">B59/index(GiveDirectly!$B:$B,match("Units of value generated per philanthropic dollar spent, after accounting for all adjustments",GiveDirectly!$A:$A,0))</f>
        <v>28.11544429</v>
      </c>
      <c r="C61" s="206">
        <f t="array" ref="C61">C59/index(GiveDirectly!$B:$B,match("Units of value generated per philanthropic dollar spent, after accounting for all adjustments",GiveDirectly!$A:$A,0))</f>
        <v>4.250581849</v>
      </c>
      <c r="D61" s="206">
        <f t="array" ref="D61">D59/index(GiveDirectly!$B:$B,match("Units of value generated per philanthropic dollar spent, after accounting for all adjustments",GiveDirectly!$A:$A,0))</f>
        <v>1.537441448</v>
      </c>
      <c r="E61" s="206">
        <f t="array" ref="E61">E59/index(GiveDirectly!$B:$B,match("Units of value generated per philanthropic dollar spent, after accounting for all adjustments",GiveDirectly!$A:$A,0))</f>
        <v>15.1031315</v>
      </c>
      <c r="F61" s="206">
        <f t="array" ref="F61">F59/index(GiveDirectly!$B:$B,match("Units of value generated per philanthropic dollar spent, after accounting for all adjustments",GiveDirectly!$A:$A,0))</f>
        <v>0.9043801337</v>
      </c>
      <c r="G61" s="206">
        <f t="array" ref="G61">G59/index(GiveDirectly!$B:$B,match("Units of value generated per philanthropic dollar spent, after accounting for all adjustments",GiveDirectly!$A:$A,0))</f>
        <v>6.351271512</v>
      </c>
      <c r="H61" s="206">
        <f t="array" ref="H61">H59/index(GiveDirectly!$B:$B,match("Units of value generated per philanthropic dollar spent, after accounting for all adjustments",GiveDirectly!$A:$A,0))</f>
        <v>0.9043801337</v>
      </c>
      <c r="I61" s="206">
        <f t="array" ref="I61">I59/index(GiveDirectly!$B:$B,match("Units of value generated per philanthropic dollar spent, after accounting for all adjustments",GiveDirectly!$A:$A,0))</f>
        <v>1.537441448</v>
      </c>
      <c r="J61" s="206">
        <f t="array" ref="J61">J59/index(GiveDirectly!$B:$B,match("Units of value generated per philanthropic dollar spent, after accounting for all adjustments",GiveDirectly!$A:$A,0))</f>
        <v>8.230511838</v>
      </c>
      <c r="K61" s="206">
        <f t="array" ref="K61">K59/index(GiveDirectly!$B:$B,match("Units of value generated per philanthropic dollar spent, after accounting for all adjustments",GiveDirectly!$A:$A,0))</f>
        <v>12.44258016</v>
      </c>
      <c r="L61" s="206">
        <f t="array" ref="L61">L59/index(GiveDirectly!$B:$B,match("Units of value generated per philanthropic dollar spent, after accounting for all adjustments",GiveDirectly!$A:$A,0))</f>
        <v>11.99194137</v>
      </c>
      <c r="M61" s="206">
        <f t="array" ref="M61">M59/index(GiveDirectly!$B:$B,match("Units of value generated per philanthropic dollar spent, after accounting for all adjustments",GiveDirectly!$A:$A,0))</f>
        <v>9.87451821</v>
      </c>
      <c r="N61" s="206">
        <f t="array" ref="N61">N59/index(GiveDirectly!$B:$B,match("Units of value generated per philanthropic dollar spent, after accounting for all adjustments",GiveDirectly!$A:$A,0))</f>
        <v>9.425799143</v>
      </c>
    </row>
    <row r="62">
      <c r="A62" s="151"/>
      <c r="B62" s="151"/>
      <c r="C62" s="151"/>
      <c r="D62" s="151"/>
      <c r="E62" s="151"/>
      <c r="F62" s="151"/>
      <c r="G62" s="151"/>
      <c r="H62" s="151"/>
      <c r="I62" s="151"/>
      <c r="J62" s="151"/>
      <c r="K62" s="151"/>
      <c r="L62" s="151"/>
      <c r="M62" s="151"/>
      <c r="N62" s="151"/>
    </row>
    <row r="63">
      <c r="A63" s="207" t="s">
        <v>313</v>
      </c>
      <c r="B63" s="208"/>
      <c r="C63" s="208"/>
      <c r="D63" s="208"/>
      <c r="E63" s="208"/>
      <c r="F63" s="208"/>
      <c r="G63" s="208"/>
      <c r="H63" s="208"/>
      <c r="I63" s="208"/>
      <c r="J63" s="208"/>
      <c r="K63" s="208"/>
      <c r="L63" s="208"/>
      <c r="M63" s="208"/>
      <c r="N63" s="208"/>
    </row>
    <row r="64" outlineLevel="1">
      <c r="A64" s="209"/>
      <c r="B64" s="349"/>
      <c r="C64" s="349"/>
      <c r="D64" s="349"/>
      <c r="E64" s="349"/>
      <c r="F64" s="349"/>
      <c r="G64" s="349"/>
      <c r="H64" s="349"/>
      <c r="I64" s="349"/>
      <c r="J64" s="350"/>
      <c r="K64" s="349"/>
      <c r="L64" s="349"/>
      <c r="M64" s="349"/>
      <c r="N64" s="349"/>
    </row>
    <row r="65" outlineLevel="1">
      <c r="A65" s="178" t="s">
        <v>189</v>
      </c>
      <c r="B65" s="349"/>
      <c r="C65" s="349"/>
      <c r="D65" s="349"/>
      <c r="E65" s="349"/>
      <c r="F65" s="349"/>
      <c r="G65" s="349"/>
      <c r="H65" s="349"/>
      <c r="I65" s="349"/>
      <c r="J65" s="350"/>
      <c r="K65" s="349"/>
      <c r="L65" s="349"/>
      <c r="M65" s="349"/>
      <c r="N65" s="349"/>
    </row>
    <row r="66" outlineLevel="1">
      <c r="A66" s="176" t="s">
        <v>190</v>
      </c>
      <c r="B66" s="127">
        <v>0.0</v>
      </c>
      <c r="C66" s="127">
        <v>0.0</v>
      </c>
      <c r="D66" s="127">
        <v>0.0</v>
      </c>
      <c r="E66" s="127">
        <v>0.0</v>
      </c>
      <c r="F66" s="127">
        <v>0.0</v>
      </c>
      <c r="G66" s="127">
        <v>0.0</v>
      </c>
      <c r="H66" s="127">
        <v>0.0</v>
      </c>
      <c r="I66" s="127">
        <v>0.0</v>
      </c>
      <c r="J66" s="127">
        <v>0.0</v>
      </c>
      <c r="K66" s="127">
        <v>0.0</v>
      </c>
      <c r="L66" s="127">
        <v>0.0</v>
      </c>
      <c r="M66" s="127">
        <v>0.0</v>
      </c>
      <c r="N66" s="127">
        <v>0.0</v>
      </c>
    </row>
    <row r="67" outlineLevel="1">
      <c r="A67" s="176" t="s">
        <v>191</v>
      </c>
      <c r="B67" s="127">
        <v>0.02</v>
      </c>
      <c r="C67" s="127">
        <v>0.02</v>
      </c>
      <c r="D67" s="127">
        <v>0.02</v>
      </c>
      <c r="E67" s="127">
        <v>0.02</v>
      </c>
      <c r="F67" s="127">
        <v>0.02</v>
      </c>
      <c r="G67" s="127">
        <v>0.02</v>
      </c>
      <c r="H67" s="127">
        <v>0.02</v>
      </c>
      <c r="I67" s="127">
        <v>0.02</v>
      </c>
      <c r="J67" s="127">
        <v>0.02</v>
      </c>
      <c r="K67" s="127">
        <v>0.02</v>
      </c>
      <c r="L67" s="127">
        <v>0.02</v>
      </c>
      <c r="M67" s="127">
        <v>0.02</v>
      </c>
      <c r="N67" s="127">
        <v>0.02</v>
      </c>
    </row>
    <row r="68" outlineLevel="1">
      <c r="A68" s="176" t="s">
        <v>192</v>
      </c>
      <c r="B68" s="214">
        <v>0.0</v>
      </c>
      <c r="C68" s="214">
        <v>0.0</v>
      </c>
      <c r="D68" s="214">
        <v>0.0</v>
      </c>
      <c r="E68" s="214">
        <v>0.0</v>
      </c>
      <c r="F68" s="214">
        <v>0.0</v>
      </c>
      <c r="G68" s="214">
        <v>0.0</v>
      </c>
      <c r="H68" s="214">
        <v>0.0</v>
      </c>
      <c r="I68" s="214">
        <v>0.0</v>
      </c>
      <c r="J68" s="214">
        <v>0.0</v>
      </c>
      <c r="K68" s="214">
        <v>0.0</v>
      </c>
      <c r="L68" s="214">
        <v>0.0</v>
      </c>
      <c r="M68" s="214">
        <v>0.0</v>
      </c>
      <c r="N68" s="214">
        <v>0.0</v>
      </c>
    </row>
    <row r="69" outlineLevel="1">
      <c r="A69" s="215" t="s">
        <v>193</v>
      </c>
      <c r="B69" s="217">
        <f t="shared" ref="B69:N69" si="17">SUM(B66:B68)</f>
        <v>0.02</v>
      </c>
      <c r="C69" s="217">
        <f t="shared" si="17"/>
        <v>0.02</v>
      </c>
      <c r="D69" s="217">
        <f t="shared" si="17"/>
        <v>0.02</v>
      </c>
      <c r="E69" s="217">
        <f t="shared" si="17"/>
        <v>0.02</v>
      </c>
      <c r="F69" s="217">
        <f t="shared" si="17"/>
        <v>0.02</v>
      </c>
      <c r="G69" s="217">
        <f t="shared" si="17"/>
        <v>0.02</v>
      </c>
      <c r="H69" s="217">
        <f t="shared" si="17"/>
        <v>0.02</v>
      </c>
      <c r="I69" s="217">
        <f t="shared" si="17"/>
        <v>0.02</v>
      </c>
      <c r="J69" s="217">
        <f t="shared" si="17"/>
        <v>0.02</v>
      </c>
      <c r="K69" s="217">
        <f t="shared" si="17"/>
        <v>0.02</v>
      </c>
      <c r="L69" s="217">
        <f t="shared" si="17"/>
        <v>0.02</v>
      </c>
      <c r="M69" s="217">
        <f t="shared" si="17"/>
        <v>0.02</v>
      </c>
      <c r="N69" s="217">
        <f t="shared" si="17"/>
        <v>0.02</v>
      </c>
    </row>
    <row r="70" outlineLevel="1">
      <c r="A70" s="176"/>
      <c r="B70" s="210"/>
      <c r="C70" s="210"/>
      <c r="D70" s="210"/>
      <c r="E70" s="210"/>
      <c r="F70" s="210"/>
      <c r="G70" s="210"/>
      <c r="H70" s="210"/>
      <c r="I70" s="210"/>
      <c r="J70" s="210"/>
      <c r="K70" s="210"/>
      <c r="L70" s="210"/>
      <c r="M70" s="210"/>
      <c r="N70" s="210"/>
    </row>
    <row r="71" outlineLevel="1">
      <c r="A71" s="178" t="s">
        <v>194</v>
      </c>
      <c r="B71" s="210"/>
      <c r="C71" s="210"/>
      <c r="D71" s="210"/>
      <c r="E71" s="210"/>
      <c r="F71" s="210"/>
      <c r="G71" s="210"/>
      <c r="H71" s="210"/>
      <c r="I71" s="210"/>
      <c r="J71" s="210"/>
      <c r="K71" s="210"/>
      <c r="L71" s="210"/>
      <c r="M71" s="210"/>
      <c r="N71" s="210"/>
    </row>
    <row r="72" outlineLevel="1">
      <c r="A72" s="176" t="s">
        <v>195</v>
      </c>
      <c r="B72" s="127">
        <v>0.01</v>
      </c>
      <c r="C72" s="127">
        <v>0.01</v>
      </c>
      <c r="D72" s="127">
        <v>0.01</v>
      </c>
      <c r="E72" s="127">
        <v>0.01</v>
      </c>
      <c r="F72" s="127">
        <v>0.01</v>
      </c>
      <c r="G72" s="127">
        <v>0.01</v>
      </c>
      <c r="H72" s="127">
        <v>0.01</v>
      </c>
      <c r="I72" s="127">
        <v>0.01</v>
      </c>
      <c r="J72" s="92">
        <v>0.05</v>
      </c>
      <c r="K72" s="92">
        <v>0.05</v>
      </c>
      <c r="L72" s="92">
        <v>0.05</v>
      </c>
      <c r="M72" s="92">
        <v>0.05</v>
      </c>
      <c r="N72" s="92">
        <v>0.05</v>
      </c>
    </row>
    <row r="73" outlineLevel="1">
      <c r="A73" s="176" t="s">
        <v>196</v>
      </c>
      <c r="B73" s="299">
        <v>0.01</v>
      </c>
      <c r="C73" s="299">
        <v>0.01</v>
      </c>
      <c r="D73" s="299">
        <v>0.01</v>
      </c>
      <c r="E73" s="299">
        <v>0.01</v>
      </c>
      <c r="F73" s="299">
        <v>0.01</v>
      </c>
      <c r="G73" s="299">
        <v>0.01</v>
      </c>
      <c r="H73" s="299">
        <v>0.01</v>
      </c>
      <c r="I73" s="299">
        <v>0.01</v>
      </c>
      <c r="J73" s="299">
        <v>0.01</v>
      </c>
      <c r="K73" s="299">
        <v>0.01</v>
      </c>
      <c r="L73" s="299">
        <v>0.01</v>
      </c>
      <c r="M73" s="299">
        <v>0.01</v>
      </c>
      <c r="N73" s="299">
        <v>0.01</v>
      </c>
    </row>
    <row r="74" outlineLevel="1">
      <c r="A74" s="215" t="s">
        <v>197</v>
      </c>
      <c r="B74" s="217">
        <f t="shared" ref="B74:N74" si="18">sum(B71:B73)</f>
        <v>0.02</v>
      </c>
      <c r="C74" s="217">
        <f t="shared" si="18"/>
        <v>0.02</v>
      </c>
      <c r="D74" s="217">
        <f t="shared" si="18"/>
        <v>0.02</v>
      </c>
      <c r="E74" s="217">
        <f t="shared" si="18"/>
        <v>0.02</v>
      </c>
      <c r="F74" s="217">
        <f t="shared" si="18"/>
        <v>0.02</v>
      </c>
      <c r="G74" s="217">
        <f t="shared" si="18"/>
        <v>0.02</v>
      </c>
      <c r="H74" s="217">
        <f t="shared" si="18"/>
        <v>0.02</v>
      </c>
      <c r="I74" s="217">
        <f t="shared" si="18"/>
        <v>0.02</v>
      </c>
      <c r="J74" s="217">
        <f t="shared" si="18"/>
        <v>0.06</v>
      </c>
      <c r="K74" s="217">
        <f t="shared" si="18"/>
        <v>0.06</v>
      </c>
      <c r="L74" s="217">
        <f t="shared" si="18"/>
        <v>0.06</v>
      </c>
      <c r="M74" s="217">
        <f t="shared" si="18"/>
        <v>0.06</v>
      </c>
      <c r="N74" s="217">
        <f t="shared" si="18"/>
        <v>0.06</v>
      </c>
    </row>
    <row r="75" outlineLevel="1">
      <c r="A75" s="176"/>
      <c r="B75" s="210"/>
      <c r="C75" s="210"/>
      <c r="D75" s="210"/>
      <c r="E75" s="210"/>
      <c r="F75" s="210"/>
      <c r="G75" s="210"/>
      <c r="H75" s="210"/>
      <c r="I75" s="210"/>
      <c r="J75" s="210"/>
      <c r="K75" s="210"/>
      <c r="L75" s="210"/>
      <c r="M75" s="210"/>
      <c r="N75" s="210"/>
    </row>
    <row r="76" outlineLevel="1">
      <c r="A76" s="178" t="s">
        <v>198</v>
      </c>
      <c r="B76" s="210"/>
      <c r="C76" s="210"/>
      <c r="D76" s="210"/>
      <c r="E76" s="210"/>
      <c r="F76" s="210"/>
      <c r="G76" s="210"/>
      <c r="H76" s="210"/>
      <c r="I76" s="210"/>
      <c r="J76" s="210"/>
      <c r="K76" s="210"/>
      <c r="L76" s="210"/>
      <c r="M76" s="210"/>
      <c r="N76" s="210"/>
    </row>
    <row r="77" outlineLevel="1">
      <c r="A77" s="176" t="s">
        <v>199</v>
      </c>
      <c r="B77" s="127">
        <v>0.0</v>
      </c>
      <c r="C77" s="127">
        <v>0.0</v>
      </c>
      <c r="D77" s="127">
        <v>0.0</v>
      </c>
      <c r="E77" s="127">
        <v>0.0</v>
      </c>
      <c r="F77" s="127">
        <v>0.0</v>
      </c>
      <c r="G77" s="127">
        <v>0.0</v>
      </c>
      <c r="H77" s="127">
        <v>0.0</v>
      </c>
      <c r="I77" s="127">
        <v>0.0</v>
      </c>
      <c r="J77" s="127">
        <v>0.0</v>
      </c>
      <c r="K77" s="127">
        <v>0.0</v>
      </c>
      <c r="L77" s="127">
        <v>0.0</v>
      </c>
      <c r="M77" s="127">
        <v>0.0</v>
      </c>
      <c r="N77" s="127">
        <v>0.0</v>
      </c>
    </row>
    <row r="78" outlineLevel="1">
      <c r="A78" s="176" t="s">
        <v>200</v>
      </c>
      <c r="B78" s="127">
        <v>0.0</v>
      </c>
      <c r="C78" s="127">
        <v>0.0</v>
      </c>
      <c r="D78" s="127">
        <v>0.0</v>
      </c>
      <c r="E78" s="127">
        <v>0.0</v>
      </c>
      <c r="F78" s="127">
        <v>0.0</v>
      </c>
      <c r="G78" s="127">
        <v>0.0</v>
      </c>
      <c r="H78" s="127">
        <v>0.0</v>
      </c>
      <c r="I78" s="127">
        <v>0.0</v>
      </c>
      <c r="J78" s="127">
        <v>0.0</v>
      </c>
      <c r="K78" s="127">
        <v>0.0</v>
      </c>
      <c r="L78" s="127">
        <v>0.0</v>
      </c>
      <c r="M78" s="127">
        <v>0.0</v>
      </c>
      <c r="N78" s="127">
        <v>0.0</v>
      </c>
    </row>
    <row r="79" outlineLevel="1">
      <c r="A79" s="176" t="s">
        <v>201</v>
      </c>
      <c r="B79" s="214">
        <v>0.05</v>
      </c>
      <c r="C79" s="214">
        <v>0.05</v>
      </c>
      <c r="D79" s="214">
        <v>0.05</v>
      </c>
      <c r="E79" s="214">
        <v>0.05</v>
      </c>
      <c r="F79" s="214">
        <v>0.05</v>
      </c>
      <c r="G79" s="214">
        <v>0.05</v>
      </c>
      <c r="H79" s="214">
        <v>0.05</v>
      </c>
      <c r="I79" s="214">
        <v>0.05</v>
      </c>
      <c r="J79" s="214">
        <v>0.05</v>
      </c>
      <c r="K79" s="214">
        <v>0.05</v>
      </c>
      <c r="L79" s="214">
        <v>0.05</v>
      </c>
      <c r="M79" s="214">
        <v>0.05</v>
      </c>
      <c r="N79" s="214">
        <v>0.05</v>
      </c>
    </row>
    <row r="80" outlineLevel="1">
      <c r="A80" s="219" t="s">
        <v>202</v>
      </c>
      <c r="B80" s="217">
        <f t="shared" ref="B80:N80" si="19">sum(B77:B79)</f>
        <v>0.05</v>
      </c>
      <c r="C80" s="217">
        <f t="shared" si="19"/>
        <v>0.05</v>
      </c>
      <c r="D80" s="217">
        <f t="shared" si="19"/>
        <v>0.05</v>
      </c>
      <c r="E80" s="217">
        <f t="shared" si="19"/>
        <v>0.05</v>
      </c>
      <c r="F80" s="217">
        <f t="shared" si="19"/>
        <v>0.05</v>
      </c>
      <c r="G80" s="217">
        <f t="shared" si="19"/>
        <v>0.05</v>
      </c>
      <c r="H80" s="217">
        <f t="shared" si="19"/>
        <v>0.05</v>
      </c>
      <c r="I80" s="217">
        <f t="shared" si="19"/>
        <v>0.05</v>
      </c>
      <c r="J80" s="217">
        <f t="shared" si="19"/>
        <v>0.05</v>
      </c>
      <c r="K80" s="217">
        <f t="shared" si="19"/>
        <v>0.05</v>
      </c>
      <c r="L80" s="217">
        <f t="shared" si="19"/>
        <v>0.05</v>
      </c>
      <c r="M80" s="217">
        <f t="shared" si="19"/>
        <v>0.05</v>
      </c>
      <c r="N80" s="217">
        <f t="shared" si="19"/>
        <v>0.05</v>
      </c>
    </row>
    <row r="81" outlineLevel="1">
      <c r="A81" s="176"/>
      <c r="B81" s="210"/>
      <c r="C81" s="210"/>
      <c r="D81" s="210"/>
      <c r="E81" s="210"/>
      <c r="F81" s="210"/>
      <c r="G81" s="210"/>
      <c r="H81" s="210"/>
      <c r="I81" s="210"/>
      <c r="J81" s="210"/>
      <c r="K81" s="210"/>
      <c r="L81" s="210"/>
      <c r="M81" s="210"/>
      <c r="N81" s="210"/>
    </row>
    <row r="82">
      <c r="A82" s="71" t="s">
        <v>203</v>
      </c>
      <c r="B82" s="218">
        <f t="shared" ref="B82:N82" si="20">1-sum(B69,B74,B80)</f>
        <v>0.91</v>
      </c>
      <c r="C82" s="218">
        <f t="shared" si="20"/>
        <v>0.91</v>
      </c>
      <c r="D82" s="218">
        <f t="shared" si="20"/>
        <v>0.91</v>
      </c>
      <c r="E82" s="218">
        <f t="shared" si="20"/>
        <v>0.91</v>
      </c>
      <c r="F82" s="218">
        <f t="shared" si="20"/>
        <v>0.91</v>
      </c>
      <c r="G82" s="218">
        <f t="shared" si="20"/>
        <v>0.91</v>
      </c>
      <c r="H82" s="218">
        <f t="shared" si="20"/>
        <v>0.91</v>
      </c>
      <c r="I82" s="218">
        <f t="shared" si="20"/>
        <v>0.91</v>
      </c>
      <c r="J82" s="218">
        <f t="shared" si="20"/>
        <v>0.87</v>
      </c>
      <c r="K82" s="218">
        <f t="shared" si="20"/>
        <v>0.87</v>
      </c>
      <c r="L82" s="218">
        <f t="shared" si="20"/>
        <v>0.87</v>
      </c>
      <c r="M82" s="218">
        <f t="shared" si="20"/>
        <v>0.87</v>
      </c>
      <c r="N82" s="218">
        <f t="shared" si="20"/>
        <v>0.87</v>
      </c>
    </row>
    <row r="83">
      <c r="A83" s="151"/>
      <c r="B83" s="151"/>
      <c r="C83" s="151"/>
      <c r="D83" s="151"/>
      <c r="E83" s="151"/>
      <c r="F83" s="151"/>
      <c r="G83" s="151"/>
      <c r="H83" s="151"/>
      <c r="I83" s="151"/>
      <c r="J83" s="151"/>
      <c r="K83" s="151"/>
      <c r="L83" s="151"/>
      <c r="M83" s="151"/>
      <c r="N83" s="151"/>
    </row>
    <row r="84">
      <c r="A84" s="207" t="s">
        <v>204</v>
      </c>
      <c r="B84" s="161"/>
      <c r="C84" s="161"/>
      <c r="D84" s="161"/>
      <c r="E84" s="161"/>
      <c r="F84" s="161"/>
      <c r="G84" s="161"/>
      <c r="H84" s="161"/>
      <c r="I84" s="161"/>
      <c r="J84" s="161"/>
      <c r="K84" s="161"/>
      <c r="L84" s="161"/>
      <c r="M84" s="161"/>
      <c r="N84" s="161"/>
    </row>
    <row r="85">
      <c r="A85" s="151"/>
      <c r="B85" s="151"/>
      <c r="C85" s="151"/>
      <c r="D85" s="151"/>
      <c r="E85" s="151"/>
      <c r="F85" s="151"/>
      <c r="G85" s="151"/>
      <c r="H85" s="151"/>
      <c r="I85" s="151"/>
      <c r="J85" s="151"/>
      <c r="K85" s="151"/>
      <c r="L85" s="151"/>
      <c r="M85" s="151"/>
      <c r="N85" s="151"/>
    </row>
    <row r="86">
      <c r="A86" s="351" t="s">
        <v>213</v>
      </c>
      <c r="B86" s="84">
        <f t="shared" ref="B86:N86" si="21">B58*B82</f>
        <v>14109.50982</v>
      </c>
      <c r="C86" s="84">
        <f t="shared" si="21"/>
        <v>3231.917916</v>
      </c>
      <c r="D86" s="84">
        <f t="shared" si="21"/>
        <v>1168.989267</v>
      </c>
      <c r="E86" s="84">
        <f t="shared" si="21"/>
        <v>11483.62343</v>
      </c>
      <c r="F86" s="84">
        <f t="shared" si="21"/>
        <v>687.642883</v>
      </c>
      <c r="G86" s="84">
        <f t="shared" si="21"/>
        <v>4829.171374</v>
      </c>
      <c r="H86" s="84">
        <f t="shared" si="21"/>
        <v>687.642883</v>
      </c>
      <c r="I86" s="84">
        <f t="shared" si="21"/>
        <v>1168.989267</v>
      </c>
      <c r="J86" s="84">
        <f t="shared" si="21"/>
        <v>3566.304656</v>
      </c>
      <c r="K86" s="84">
        <f t="shared" si="21"/>
        <v>5968.214424</v>
      </c>
      <c r="L86" s="84">
        <f t="shared" si="21"/>
        <v>5581.474367</v>
      </c>
      <c r="M86" s="84">
        <f t="shared" si="21"/>
        <v>4632.592722</v>
      </c>
      <c r="N86" s="84">
        <f t="shared" si="21"/>
        <v>4667.220329</v>
      </c>
    </row>
    <row r="87">
      <c r="A87" s="352" t="s">
        <v>314</v>
      </c>
      <c r="B87" s="223">
        <f t="shared" ref="B87:N87" si="22">B86/B40</f>
        <v>0.08582593302</v>
      </c>
      <c r="C87" s="223">
        <f t="shared" si="22"/>
        <v>0.01297543618</v>
      </c>
      <c r="D87" s="223">
        <f t="shared" si="22"/>
        <v>0.004693233561</v>
      </c>
      <c r="E87" s="223">
        <f t="shared" si="22"/>
        <v>0.04610421018</v>
      </c>
      <c r="F87" s="223">
        <f t="shared" si="22"/>
        <v>0.002760734206</v>
      </c>
      <c r="G87" s="223">
        <f t="shared" si="22"/>
        <v>0.01938805582</v>
      </c>
      <c r="H87" s="223">
        <f t="shared" si="22"/>
        <v>0.002760734206</v>
      </c>
      <c r="I87" s="223">
        <f t="shared" si="22"/>
        <v>0.004693233561</v>
      </c>
      <c r="J87" s="223">
        <f t="shared" si="22"/>
        <v>0.02402029223</v>
      </c>
      <c r="K87" s="223">
        <f t="shared" si="22"/>
        <v>0.03631297997</v>
      </c>
      <c r="L87" s="223">
        <f t="shared" si="22"/>
        <v>0.03499781568</v>
      </c>
      <c r="M87" s="223">
        <f t="shared" si="22"/>
        <v>0.02881823363</v>
      </c>
      <c r="N87" s="223">
        <f t="shared" si="22"/>
        <v>0.02750867193</v>
      </c>
    </row>
    <row r="88">
      <c r="A88" s="28" t="s">
        <v>209</v>
      </c>
      <c r="B88" s="353">
        <f t="array" ref="B88">B87/index(GiveDirectly!$B:$B,match("Units of value generated per philanthropic dollar spent, after accounting for all adjustments",GiveDirectly!$A:$A,0))</f>
        <v>25.5850543</v>
      </c>
      <c r="C88" s="353">
        <f t="array" ref="C88">C87/index(GiveDirectly!$B:$B,match("Units of value generated per philanthropic dollar spent, after accounting for all adjustments",GiveDirectly!$A:$A,0))</f>
        <v>3.868029483</v>
      </c>
      <c r="D88" s="353">
        <f t="array" ref="D88">D87/index(GiveDirectly!$B:$B,match("Units of value generated per philanthropic dollar spent, after accounting for all adjustments",GiveDirectly!$A:$A,0))</f>
        <v>1.399071718</v>
      </c>
      <c r="E88" s="353">
        <f t="array" ref="E88">E87/index(GiveDirectly!$B:$B,match("Units of value generated per philanthropic dollar spent, after accounting for all adjustments",GiveDirectly!$A:$A,0))</f>
        <v>13.74384967</v>
      </c>
      <c r="F88" s="353">
        <f t="array" ref="F88">F87/index(GiveDirectly!$B:$B,match("Units of value generated per philanthropic dollar spent, after accounting for all adjustments",GiveDirectly!$A:$A,0))</f>
        <v>0.8229859216</v>
      </c>
      <c r="G88" s="353">
        <f t="array" ref="G88">G87/index(GiveDirectly!$B:$B,match("Units of value generated per philanthropic dollar spent, after accounting for all adjustments",GiveDirectly!$A:$A,0))</f>
        <v>5.779657076</v>
      </c>
      <c r="H88" s="353">
        <f t="array" ref="H88">H87/index(GiveDirectly!$B:$B,match("Units of value generated per philanthropic dollar spent, after accounting for all adjustments",GiveDirectly!$A:$A,0))</f>
        <v>0.8229859216</v>
      </c>
      <c r="I88" s="353">
        <f t="array" ref="I88">I87/index(GiveDirectly!$B:$B,match("Units of value generated per philanthropic dollar spent, after accounting for all adjustments",GiveDirectly!$A:$A,0))</f>
        <v>1.399071718</v>
      </c>
      <c r="J88" s="353">
        <f t="array" ref="J88">J87/index(GiveDirectly!$B:$B,match("Units of value generated per philanthropic dollar spent, after accounting for all adjustments",GiveDirectly!$A:$A,0))</f>
        <v>7.160545299</v>
      </c>
      <c r="K88" s="353">
        <f t="array" ref="K88">K87/index(GiveDirectly!$B:$B,match("Units of value generated per philanthropic dollar spent, after accounting for all adjustments",GiveDirectly!$A:$A,0))</f>
        <v>10.82504474</v>
      </c>
      <c r="L88" s="353">
        <f t="array" ref="L88">L87/index(GiveDirectly!$B:$B,match("Units of value generated per philanthropic dollar spent, after accounting for all adjustments",GiveDirectly!$A:$A,0))</f>
        <v>10.432989</v>
      </c>
      <c r="M88" s="353">
        <f t="array" ref="M88">M87/index(GiveDirectly!$B:$B,match("Units of value generated per philanthropic dollar spent, after accounting for all adjustments",GiveDirectly!$A:$A,0))</f>
        <v>8.590830843</v>
      </c>
      <c r="N88" s="353">
        <f t="array" ref="N88">N87/index(GiveDirectly!$B:$B,match("Units of value generated per philanthropic dollar spent, after accounting for all adjustments",GiveDirectly!$A:$A,0))</f>
        <v>8.200445255</v>
      </c>
    </row>
    <row r="89">
      <c r="A89" s="151"/>
      <c r="B89" s="151"/>
      <c r="C89" s="151"/>
      <c r="D89" s="151"/>
      <c r="E89" s="151"/>
      <c r="F89" s="151"/>
      <c r="G89" s="151"/>
      <c r="H89" s="151"/>
      <c r="I89" s="151"/>
      <c r="J89" s="151"/>
      <c r="K89" s="151"/>
      <c r="L89" s="151"/>
      <c r="M89" s="151"/>
      <c r="N89" s="151"/>
    </row>
    <row r="90">
      <c r="A90" s="207" t="s">
        <v>315</v>
      </c>
      <c r="B90" s="208"/>
      <c r="C90" s="208"/>
      <c r="D90" s="208"/>
      <c r="E90" s="208"/>
      <c r="F90" s="208"/>
      <c r="G90" s="208"/>
      <c r="H90" s="208"/>
      <c r="I90" s="208"/>
      <c r="J90" s="208"/>
      <c r="K90" s="208"/>
      <c r="L90" s="208"/>
      <c r="M90" s="208"/>
      <c r="N90" s="208"/>
    </row>
    <row r="91" outlineLevel="1">
      <c r="A91" s="209" t="s">
        <v>211</v>
      </c>
      <c r="B91" s="224"/>
      <c r="C91" s="224"/>
      <c r="D91" s="224"/>
      <c r="E91" s="224"/>
      <c r="F91" s="224"/>
      <c r="G91" s="224"/>
      <c r="H91" s="224"/>
      <c r="I91" s="224"/>
      <c r="J91" s="224"/>
      <c r="K91" s="224"/>
      <c r="L91" s="224"/>
      <c r="M91" s="224"/>
      <c r="N91" s="224"/>
    </row>
    <row r="92" outlineLevel="1">
      <c r="A92" s="77" t="str">
        <f>IFERROR(__xludf.DUMMYFUNCTION("filter('Supplemental intervention-level'!C:C,'Supplemental intervention-level'!A:A=""Deworming"",'Supplemental intervention-level'!D:D=""Explicitly modeled"")"),"Developmental effects")</f>
        <v>Developmental effects</v>
      </c>
      <c r="B92" s="224"/>
      <c r="C92" s="224"/>
      <c r="D92" s="224"/>
      <c r="E92" s="224"/>
      <c r="F92" s="224"/>
      <c r="G92" s="224"/>
      <c r="H92" s="224"/>
      <c r="I92" s="224"/>
      <c r="J92" s="224"/>
      <c r="K92" s="224"/>
      <c r="L92" s="224"/>
      <c r="M92" s="224"/>
      <c r="N92" s="224"/>
    </row>
    <row r="93" outlineLevel="1">
      <c r="A93" s="71"/>
      <c r="B93" s="224"/>
      <c r="C93" s="224"/>
      <c r="D93" s="224"/>
      <c r="E93" s="224"/>
      <c r="F93" s="224"/>
      <c r="G93" s="224"/>
      <c r="H93" s="224"/>
      <c r="I93" s="224"/>
      <c r="J93" s="224"/>
      <c r="K93" s="224"/>
      <c r="L93" s="224"/>
      <c r="M93" s="224"/>
      <c r="N93" s="224"/>
    </row>
    <row r="94" outlineLevel="1">
      <c r="A94" s="209" t="s">
        <v>27</v>
      </c>
      <c r="B94" s="224"/>
      <c r="C94" s="224"/>
      <c r="D94" s="224"/>
      <c r="E94" s="224"/>
      <c r="F94" s="224"/>
      <c r="G94" s="224"/>
      <c r="H94" s="224"/>
      <c r="I94" s="224"/>
      <c r="J94" s="224"/>
      <c r="K94" s="224"/>
      <c r="L94" s="224"/>
      <c r="M94" s="224"/>
      <c r="N94" s="224"/>
    </row>
    <row r="95" outlineLevel="1">
      <c r="A95" s="77" t="str">
        <f>IFERROR(__xludf.DUMMYFUNCTION("filter('Supplemental intervention-level'!C:C,'Supplemental intervention-level'!A:A=""Deworming"",'Supplemental intervention-level'!D:D=""Not explicitly modeled"",'Supplemental intervention-level'!B:B=""Unlimit HealthDTWI"")"),"Direct health effects")</f>
        <v>Direct health effects</v>
      </c>
      <c r="B95" s="226">
        <f t="array" ref="B95">iferror(if(isblank($A95),"",index('Supplemental intervention-level'!$M:$M,match(1,('Supplemental intervention-level'!$C:$C=$A95)*('Supplemental intervention-level'!$A:$A="Deworming"),0))),"Not specified")</f>
        <v>0.008</v>
      </c>
      <c r="C95" s="226">
        <f t="array" ref="C95">iferror(if(isblank($A95),"",index('Supplemental intervention-level'!$M:$M,match(1,('Supplemental intervention-level'!$C:$C=$A95)*('Supplemental intervention-level'!$A:$A="Deworming"),0))),"Not specified")</f>
        <v>0.008</v>
      </c>
      <c r="D95" s="226">
        <f t="array" ref="D95">iferror(if(isblank($A95),"",index('Supplemental intervention-level'!$M:$M,match(1,('Supplemental intervention-level'!$C:$C=$A95)*('Supplemental intervention-level'!$A:$A="Deworming"),0))),"Not specified")</f>
        <v>0.008</v>
      </c>
      <c r="E95" s="226">
        <f t="array" ref="E95">iferror(if(isblank($A95),"",index('Supplemental intervention-level'!$M:$M,match(1,('Supplemental intervention-level'!$C:$C=$A95)*('Supplemental intervention-level'!$A:$A="Deworming"),0))),"Not specified")</f>
        <v>0.008</v>
      </c>
      <c r="F95" s="226">
        <f t="array" ref="F95">iferror(if(isblank($A95),"",index('Supplemental intervention-level'!$M:$M,match(1,('Supplemental intervention-level'!$C:$C=$A95)*('Supplemental intervention-level'!$A:$A="Deworming"),0))),"Not specified")</f>
        <v>0.008</v>
      </c>
      <c r="G95" s="226">
        <f t="array" ref="G95">iferror(if(isblank($A95),"",index('Supplemental intervention-level'!$M:$M,match(1,('Supplemental intervention-level'!$C:$C=$A95)*('Supplemental intervention-level'!$A:$A="Deworming"),0))),"Not specified")</f>
        <v>0.008</v>
      </c>
      <c r="H95" s="226">
        <f t="array" ref="H95">iferror(if(isblank($A95),"",index('Supplemental intervention-level'!$M:$M,match(1,('Supplemental intervention-level'!$C:$C=$A95)*('Supplemental intervention-level'!$A:$A="Deworming"),0))),"Not specified")</f>
        <v>0.008</v>
      </c>
      <c r="I95" s="226">
        <f t="array" ref="I95">iferror(if(isblank($A95),"",index('Supplemental intervention-level'!$M:$M,match(1,('Supplemental intervention-level'!$C:$C=$A95)*('Supplemental intervention-level'!$A:$A="Deworming"),0))),"Not specified")</f>
        <v>0.008</v>
      </c>
      <c r="J95" s="226">
        <f t="array" ref="J95">iferror(if(isblank($A95),"",index('Supplemental intervention-level'!$M:$M,match(1,('Supplemental intervention-level'!$C:$C=$A95)*('Supplemental intervention-level'!$A:$A="Deworming"),0))),"Not specified")</f>
        <v>0.008</v>
      </c>
      <c r="K95" s="226">
        <f t="array" ref="K95">iferror(if(isblank($A95),"",index('Supplemental intervention-level'!$M:$M,match(1,('Supplemental intervention-level'!$C:$C=$A95)*('Supplemental intervention-level'!$A:$A="Deworming"),0))),"Not specified")</f>
        <v>0.008</v>
      </c>
      <c r="L95" s="226">
        <f t="array" ref="L95">iferror(if(isblank($A95),"",index('Supplemental intervention-level'!$M:$M,match(1,('Supplemental intervention-level'!$C:$C=$A95)*('Supplemental intervention-level'!$A:$A="Deworming"),0))),"Not specified")</f>
        <v>0.008</v>
      </c>
      <c r="M95" s="226">
        <f t="array" ref="M95">iferror(if(isblank($A95),"",index('Supplemental intervention-level'!$M:$M,match(1,('Supplemental intervention-level'!$C:$C=$A95)*('Supplemental intervention-level'!$A:$A="Deworming"),0))),"Not specified")</f>
        <v>0.008</v>
      </c>
      <c r="N95" s="226">
        <f t="array" ref="N95">iferror(if(isblank($A95),"",index('Supplemental intervention-level'!$M:$M,match(1,('Supplemental intervention-level'!$C:$C=$A95)*('Supplemental intervention-level'!$A:$A="Deworming"),0))),"Not specified")</f>
        <v>0.008</v>
      </c>
    </row>
    <row r="96" outlineLevel="1">
      <c r="A96" s="116" t="str">
        <f>IFERROR(__xludf.DUMMYFUNCTION("""COMPUTED_VALUE"""),"HIV reduction")</f>
        <v>HIV reduction</v>
      </c>
      <c r="B96" s="226">
        <f t="array" ref="B96">iferror(if(isblank($A96),"",index('Supplemental intervention-level'!$M:$M,match(1,('Supplemental intervention-level'!$C:$C=$A96)*('Supplemental intervention-level'!$A:$A="Deworming"),0))),"Not specified")</f>
        <v>0.06</v>
      </c>
      <c r="C96" s="226">
        <f t="array" ref="C96">iferror(if(isblank($A96),"",index('Supplemental intervention-level'!$M:$M,match(1,('Supplemental intervention-level'!$C:$C=$A96)*('Supplemental intervention-level'!$A:$A="Deworming"),0))),"Not specified")</f>
        <v>0.06</v>
      </c>
      <c r="D96" s="226">
        <f t="array" ref="D96">iferror(if(isblank($A96),"",index('Supplemental intervention-level'!$M:$M,match(1,('Supplemental intervention-level'!$C:$C=$A96)*('Supplemental intervention-level'!$A:$A="Deworming"),0))),"Not specified")</f>
        <v>0.06</v>
      </c>
      <c r="E96" s="226">
        <f t="array" ref="E96">iferror(if(isblank($A96),"",index('Supplemental intervention-level'!$M:$M,match(1,('Supplemental intervention-level'!$C:$C=$A96)*('Supplemental intervention-level'!$A:$A="Deworming"),0))),"Not specified")</f>
        <v>0.06</v>
      </c>
      <c r="F96" s="226">
        <f t="array" ref="F96">iferror(if(isblank($A96),"",index('Supplemental intervention-level'!$M:$M,match(1,('Supplemental intervention-level'!$C:$C=$A96)*('Supplemental intervention-level'!$A:$A="Deworming"),0))),"Not specified")</f>
        <v>0.06</v>
      </c>
      <c r="G96" s="226">
        <f t="array" ref="G96">iferror(if(isblank($A96),"",index('Supplemental intervention-level'!$M:$M,match(1,('Supplemental intervention-level'!$C:$C=$A96)*('Supplemental intervention-level'!$A:$A="Deworming"),0))),"Not specified")</f>
        <v>0.06</v>
      </c>
      <c r="H96" s="226">
        <f t="array" ref="H96">iferror(if(isblank($A96),"",index('Supplemental intervention-level'!$M:$M,match(1,('Supplemental intervention-level'!$C:$C=$A96)*('Supplemental intervention-level'!$A:$A="Deworming"),0))),"Not specified")</f>
        <v>0.06</v>
      </c>
      <c r="I96" s="226">
        <f t="array" ref="I96">iferror(if(isblank($A96),"",index('Supplemental intervention-level'!$M:$M,match(1,('Supplemental intervention-level'!$C:$C=$A96)*('Supplemental intervention-level'!$A:$A="Deworming"),0))),"Not specified")</f>
        <v>0.06</v>
      </c>
      <c r="J96" s="226">
        <f t="array" ref="J96">iferror(if(isblank($A96),"",index('Supplemental intervention-level'!$M:$M,match(1,('Supplemental intervention-level'!$C:$C=$A96)*('Supplemental intervention-level'!$A:$A="Deworming"),0))),"Not specified")</f>
        <v>0.06</v>
      </c>
      <c r="K96" s="226">
        <f t="array" ref="K96">iferror(if(isblank($A96),"",index('Supplemental intervention-level'!$M:$M,match(1,('Supplemental intervention-level'!$C:$C=$A96)*('Supplemental intervention-level'!$A:$A="Deworming"),0))),"Not specified")</f>
        <v>0.06</v>
      </c>
      <c r="L96" s="226">
        <f t="array" ref="L96">iferror(if(isblank($A96),"",index('Supplemental intervention-level'!$M:$M,match(1,('Supplemental intervention-level'!$C:$C=$A96)*('Supplemental intervention-level'!$A:$A="Deworming"),0))),"Not specified")</f>
        <v>0.06</v>
      </c>
      <c r="M96" s="226">
        <f t="array" ref="M96">iferror(if(isblank($A96),"",index('Supplemental intervention-level'!$M:$M,match(1,('Supplemental intervention-level'!$C:$C=$A96)*('Supplemental intervention-level'!$A:$A="Deworming"),0))),"Not specified")</f>
        <v>0.06</v>
      </c>
      <c r="N96" s="226">
        <f t="array" ref="N96">iferror(if(isblank($A96),"",index('Supplemental intervention-level'!$M:$M,match(1,('Supplemental intervention-level'!$C:$C=$A96)*('Supplemental intervention-level'!$A:$A="Deworming"),0))),"Not specified")</f>
        <v>0.06</v>
      </c>
    </row>
    <row r="97" outlineLevel="1">
      <c r="A97" s="116" t="str">
        <f>IFERROR(__xludf.DUMMYFUNCTION("""COMPUTED_VALUE"""),"Possible increases in diseases of affluence (harms of deworming)")</f>
        <v>Possible increases in diseases of affluence (harms of deworming)</v>
      </c>
      <c r="B97" s="226">
        <f t="array" ref="B97">iferror(if(isblank($A97),"",index('Supplemental intervention-level'!$M:$M,match(1,('Supplemental intervention-level'!$C:$C=$A97)*('Supplemental intervention-level'!$A:$A="Deworming"),0))),"Not specified")</f>
        <v>-0.025</v>
      </c>
      <c r="C97" s="226">
        <f t="array" ref="C97">iferror(if(isblank($A97),"",index('Supplemental intervention-level'!$M:$M,match(1,('Supplemental intervention-level'!$C:$C=$A97)*('Supplemental intervention-level'!$A:$A="Deworming"),0))),"Not specified")</f>
        <v>-0.025</v>
      </c>
      <c r="D97" s="226">
        <f t="array" ref="D97">iferror(if(isblank($A97),"",index('Supplemental intervention-level'!$M:$M,match(1,('Supplemental intervention-level'!$C:$C=$A97)*('Supplemental intervention-level'!$A:$A="Deworming"),0))),"Not specified")</f>
        <v>-0.025</v>
      </c>
      <c r="E97" s="226">
        <f t="array" ref="E97">iferror(if(isblank($A97),"",index('Supplemental intervention-level'!$M:$M,match(1,('Supplemental intervention-level'!$C:$C=$A97)*('Supplemental intervention-level'!$A:$A="Deworming"),0))),"Not specified")</f>
        <v>-0.025</v>
      </c>
      <c r="F97" s="226">
        <f t="array" ref="F97">iferror(if(isblank($A97),"",index('Supplemental intervention-level'!$M:$M,match(1,('Supplemental intervention-level'!$C:$C=$A97)*('Supplemental intervention-level'!$A:$A="Deworming"),0))),"Not specified")</f>
        <v>-0.025</v>
      </c>
      <c r="G97" s="226">
        <f t="array" ref="G97">iferror(if(isblank($A97),"",index('Supplemental intervention-level'!$M:$M,match(1,('Supplemental intervention-level'!$C:$C=$A97)*('Supplemental intervention-level'!$A:$A="Deworming"),0))),"Not specified")</f>
        <v>-0.025</v>
      </c>
      <c r="H97" s="226">
        <f t="array" ref="H97">iferror(if(isblank($A97),"",index('Supplemental intervention-level'!$M:$M,match(1,('Supplemental intervention-level'!$C:$C=$A97)*('Supplemental intervention-level'!$A:$A="Deworming"),0))),"Not specified")</f>
        <v>-0.025</v>
      </c>
      <c r="I97" s="226">
        <f t="array" ref="I97">iferror(if(isblank($A97),"",index('Supplemental intervention-level'!$M:$M,match(1,('Supplemental intervention-level'!$C:$C=$A97)*('Supplemental intervention-level'!$A:$A="Deworming"),0))),"Not specified")</f>
        <v>-0.025</v>
      </c>
      <c r="J97" s="226">
        <f t="array" ref="J97">iferror(if(isblank($A97),"",index('Supplemental intervention-level'!$M:$M,match(1,('Supplemental intervention-level'!$C:$C=$A97)*('Supplemental intervention-level'!$A:$A="Deworming"),0))),"Not specified")</f>
        <v>-0.025</v>
      </c>
      <c r="K97" s="226">
        <f t="array" ref="K97">iferror(if(isblank($A97),"",index('Supplemental intervention-level'!$M:$M,match(1,('Supplemental intervention-level'!$C:$C=$A97)*('Supplemental intervention-level'!$A:$A="Deworming"),0))),"Not specified")</f>
        <v>-0.025</v>
      </c>
      <c r="L97" s="226">
        <f t="array" ref="L97">iferror(if(isblank($A97),"",index('Supplemental intervention-level'!$M:$M,match(1,('Supplemental intervention-level'!$C:$C=$A97)*('Supplemental intervention-level'!$A:$A="Deworming"),0))),"Not specified")</f>
        <v>-0.025</v>
      </c>
      <c r="M97" s="226">
        <f t="array" ref="M97">iferror(if(isblank($A97),"",index('Supplemental intervention-level'!$M:$M,match(1,('Supplemental intervention-level'!$C:$C=$A97)*('Supplemental intervention-level'!$A:$A="Deworming"),0))),"Not specified")</f>
        <v>-0.025</v>
      </c>
      <c r="N97" s="226">
        <f t="array" ref="N97">iferror(if(isblank($A97),"",index('Supplemental intervention-level'!$M:$M,match(1,('Supplemental intervention-level'!$C:$C=$A97)*('Supplemental intervention-level'!$A:$A="Deworming"),0))),"Not specified")</f>
        <v>-0.025</v>
      </c>
    </row>
    <row r="98" outlineLevel="1">
      <c r="A98" s="116" t="str">
        <f>IFERROR(__xludf.DUMMYFUNCTION("""COMPUTED_VALUE"""),"Averted mortality")</f>
        <v>Averted mortality</v>
      </c>
      <c r="B98" s="226">
        <f t="array" ref="B98">iferror(if(isblank($A98),"",index('Supplemental intervention-level'!$M:$M,match(1,('Supplemental intervention-level'!$C:$C=$A98)*('Supplemental intervention-level'!$A:$A="Deworming"),0))),"Not specified")</f>
        <v>0.035</v>
      </c>
      <c r="C98" s="226">
        <f t="array" ref="C98">iferror(if(isblank($A98),"",index('Supplemental intervention-level'!$M:$M,match(1,('Supplemental intervention-level'!$C:$C=$A98)*('Supplemental intervention-level'!$A:$A="Deworming"),0))),"Not specified")</f>
        <v>0.035</v>
      </c>
      <c r="D98" s="226">
        <f t="array" ref="D98">iferror(if(isblank($A98),"",index('Supplemental intervention-level'!$M:$M,match(1,('Supplemental intervention-level'!$C:$C=$A98)*('Supplemental intervention-level'!$A:$A="Deworming"),0))),"Not specified")</f>
        <v>0.035</v>
      </c>
      <c r="E98" s="226">
        <f t="array" ref="E98">iferror(if(isblank($A98),"",index('Supplemental intervention-level'!$M:$M,match(1,('Supplemental intervention-level'!$C:$C=$A98)*('Supplemental intervention-level'!$A:$A="Deworming"),0))),"Not specified")</f>
        <v>0.035</v>
      </c>
      <c r="F98" s="226">
        <f t="array" ref="F98">iferror(if(isblank($A98),"",index('Supplemental intervention-level'!$M:$M,match(1,('Supplemental intervention-level'!$C:$C=$A98)*('Supplemental intervention-level'!$A:$A="Deworming"),0))),"Not specified")</f>
        <v>0.035</v>
      </c>
      <c r="G98" s="226">
        <f t="array" ref="G98">iferror(if(isblank($A98),"",index('Supplemental intervention-level'!$M:$M,match(1,('Supplemental intervention-level'!$C:$C=$A98)*('Supplemental intervention-level'!$A:$A="Deworming"),0))),"Not specified")</f>
        <v>0.035</v>
      </c>
      <c r="H98" s="226">
        <f t="array" ref="H98">iferror(if(isblank($A98),"",index('Supplemental intervention-level'!$M:$M,match(1,('Supplemental intervention-level'!$C:$C=$A98)*('Supplemental intervention-level'!$A:$A="Deworming"),0))),"Not specified")</f>
        <v>0.035</v>
      </c>
      <c r="I98" s="226">
        <f t="array" ref="I98">iferror(if(isblank($A98),"",index('Supplemental intervention-level'!$M:$M,match(1,('Supplemental intervention-level'!$C:$C=$A98)*('Supplemental intervention-level'!$A:$A="Deworming"),0))),"Not specified")</f>
        <v>0.035</v>
      </c>
      <c r="J98" s="226">
        <f t="array" ref="J98">iferror(if(isblank($A98),"",index('Supplemental intervention-level'!$M:$M,match(1,('Supplemental intervention-level'!$C:$C=$A98)*('Supplemental intervention-level'!$A:$A="Deworming"),0))),"Not specified")</f>
        <v>0.035</v>
      </c>
      <c r="K98" s="226">
        <f t="array" ref="K98">iferror(if(isblank($A98),"",index('Supplemental intervention-level'!$M:$M,match(1,('Supplemental intervention-level'!$C:$C=$A98)*('Supplemental intervention-level'!$A:$A="Deworming"),0))),"Not specified")</f>
        <v>0.035</v>
      </c>
      <c r="L98" s="226">
        <f t="array" ref="L98">iferror(if(isblank($A98),"",index('Supplemental intervention-level'!$M:$M,match(1,('Supplemental intervention-level'!$C:$C=$A98)*('Supplemental intervention-level'!$A:$A="Deworming"),0))),"Not specified")</f>
        <v>0.035</v>
      </c>
      <c r="M98" s="226">
        <f t="array" ref="M98">iferror(if(isblank($A98),"",index('Supplemental intervention-level'!$M:$M,match(1,('Supplemental intervention-level'!$C:$C=$A98)*('Supplemental intervention-level'!$A:$A="Deworming"),0))),"Not specified")</f>
        <v>0.035</v>
      </c>
      <c r="N98" s="226">
        <f t="array" ref="N98">iferror(if(isblank($A98),"",index('Supplemental intervention-level'!$M:$M,match(1,('Supplemental intervention-level'!$C:$C=$A98)*('Supplemental intervention-level'!$A:$A="Deworming"),0))),"Not specified")</f>
        <v>0.035</v>
      </c>
    </row>
    <row r="99" outlineLevel="1">
      <c r="A99" s="116" t="str">
        <f>IFERROR(__xludf.DUMMYFUNCTION("""COMPUTED_VALUE"""),"Short-term anemia effects")</f>
        <v>Short-term anemia effects</v>
      </c>
      <c r="B99" s="226">
        <f t="array" ref="B99">iferror(if(isblank($A99),"",index('Supplemental intervention-level'!$M:$M,match(1,('Supplemental intervention-level'!$C:$C=$A99)*('Supplemental intervention-level'!$A:$A="Deworming"),0))),"Not specified")</f>
        <v>0.09</v>
      </c>
      <c r="C99" s="226">
        <f t="array" ref="C99">iferror(if(isblank($A99),"",index('Supplemental intervention-level'!$M:$M,match(1,('Supplemental intervention-level'!$C:$C=$A99)*('Supplemental intervention-level'!$A:$A="Deworming"),0))),"Not specified")</f>
        <v>0.09</v>
      </c>
      <c r="D99" s="226">
        <f t="array" ref="D99">iferror(if(isblank($A99),"",index('Supplemental intervention-level'!$M:$M,match(1,('Supplemental intervention-level'!$C:$C=$A99)*('Supplemental intervention-level'!$A:$A="Deworming"),0))),"Not specified")</f>
        <v>0.09</v>
      </c>
      <c r="E99" s="226">
        <f t="array" ref="E99">iferror(if(isblank($A99),"",index('Supplemental intervention-level'!$M:$M,match(1,('Supplemental intervention-level'!$C:$C=$A99)*('Supplemental intervention-level'!$A:$A="Deworming"),0))),"Not specified")</f>
        <v>0.09</v>
      </c>
      <c r="F99" s="226">
        <f t="array" ref="F99">iferror(if(isblank($A99),"",index('Supplemental intervention-level'!$M:$M,match(1,('Supplemental intervention-level'!$C:$C=$A99)*('Supplemental intervention-level'!$A:$A="Deworming"),0))),"Not specified")</f>
        <v>0.09</v>
      </c>
      <c r="G99" s="226">
        <f t="array" ref="G99">iferror(if(isblank($A99),"",index('Supplemental intervention-level'!$M:$M,match(1,('Supplemental intervention-level'!$C:$C=$A99)*('Supplemental intervention-level'!$A:$A="Deworming"),0))),"Not specified")</f>
        <v>0.09</v>
      </c>
      <c r="H99" s="226">
        <f t="array" ref="H99">iferror(if(isblank($A99),"",index('Supplemental intervention-level'!$M:$M,match(1,('Supplemental intervention-level'!$C:$C=$A99)*('Supplemental intervention-level'!$A:$A="Deworming"),0))),"Not specified")</f>
        <v>0.09</v>
      </c>
      <c r="I99" s="226">
        <f t="array" ref="I99">iferror(if(isblank($A99),"",index('Supplemental intervention-level'!$M:$M,match(1,('Supplemental intervention-level'!$C:$C=$A99)*('Supplemental intervention-level'!$A:$A="Deworming"),0))),"Not specified")</f>
        <v>0.09</v>
      </c>
      <c r="J99" s="226">
        <f t="array" ref="J99">iferror(if(isblank($A99),"",index('Supplemental intervention-level'!$M:$M,match(1,('Supplemental intervention-level'!$C:$C=$A99)*('Supplemental intervention-level'!$A:$A="Deworming"),0))),"Not specified")</f>
        <v>0.09</v>
      </c>
      <c r="K99" s="226">
        <f t="array" ref="K99">iferror(if(isblank($A99),"",index('Supplemental intervention-level'!$M:$M,match(1,('Supplemental intervention-level'!$C:$C=$A99)*('Supplemental intervention-level'!$A:$A="Deworming"),0))),"Not specified")</f>
        <v>0.09</v>
      </c>
      <c r="L99" s="226">
        <f t="array" ref="L99">iferror(if(isblank($A99),"",index('Supplemental intervention-level'!$M:$M,match(1,('Supplemental intervention-level'!$C:$C=$A99)*('Supplemental intervention-level'!$A:$A="Deworming"),0))),"Not specified")</f>
        <v>0.09</v>
      </c>
      <c r="M99" s="226">
        <f t="array" ref="M99">iferror(if(isblank($A99),"",index('Supplemental intervention-level'!$M:$M,match(1,('Supplemental intervention-level'!$C:$C=$A99)*('Supplemental intervention-level'!$A:$A="Deworming"),0))),"Not specified")</f>
        <v>0.09</v>
      </c>
      <c r="N99" s="226">
        <f t="array" ref="N99">iferror(if(isblank($A99),"",index('Supplemental intervention-level'!$M:$M,match(1,('Supplemental intervention-level'!$C:$C=$A99)*('Supplemental intervention-level'!$A:$A="Deworming"),0))),"Not specified")</f>
        <v>0.09</v>
      </c>
    </row>
    <row r="100" outlineLevel="1">
      <c r="A100" s="55" t="str">
        <f>IFERROR(__xludf.DUMMYFUNCTION("""COMPUTED_VALUE"""),"Investment of income increases")</f>
        <v>Investment of income increases</v>
      </c>
      <c r="B100" s="226">
        <f t="array" ref="B100">iferror(if(isblank($A100),"",index('Supplemental intervention-level'!$M:$M,match(1,('Supplemental intervention-level'!$C:$C=$A100)*('Supplemental intervention-level'!$A:$A="Deworming"),0))),"Not specified")</f>
        <v>0.1</v>
      </c>
      <c r="C100" s="226">
        <f t="array" ref="C100">iferror(if(isblank($A100),"",index('Supplemental intervention-level'!$M:$M,match(1,('Supplemental intervention-level'!$C:$C=$A100)*('Supplemental intervention-level'!$A:$A="Deworming"),0))),"Not specified")</f>
        <v>0.1</v>
      </c>
      <c r="D100" s="226">
        <f t="array" ref="D100">iferror(if(isblank($A100),"",index('Supplemental intervention-level'!$M:$M,match(1,('Supplemental intervention-level'!$C:$C=$A100)*('Supplemental intervention-level'!$A:$A="Deworming"),0))),"Not specified")</f>
        <v>0.1</v>
      </c>
      <c r="E100" s="226">
        <f t="array" ref="E100">iferror(if(isblank($A100),"",index('Supplemental intervention-level'!$M:$M,match(1,('Supplemental intervention-level'!$C:$C=$A100)*('Supplemental intervention-level'!$A:$A="Deworming"),0))),"Not specified")</f>
        <v>0.1</v>
      </c>
      <c r="F100" s="226">
        <f t="array" ref="F100">iferror(if(isblank($A100),"",index('Supplemental intervention-level'!$M:$M,match(1,('Supplemental intervention-level'!$C:$C=$A100)*('Supplemental intervention-level'!$A:$A="Deworming"),0))),"Not specified")</f>
        <v>0.1</v>
      </c>
      <c r="G100" s="226">
        <f t="array" ref="G100">iferror(if(isblank($A100),"",index('Supplemental intervention-level'!$M:$M,match(1,('Supplemental intervention-level'!$C:$C=$A100)*('Supplemental intervention-level'!$A:$A="Deworming"),0))),"Not specified")</f>
        <v>0.1</v>
      </c>
      <c r="H100" s="226">
        <f t="array" ref="H100">iferror(if(isblank($A100),"",index('Supplemental intervention-level'!$M:$M,match(1,('Supplemental intervention-level'!$C:$C=$A100)*('Supplemental intervention-level'!$A:$A="Deworming"),0))),"Not specified")</f>
        <v>0.1</v>
      </c>
      <c r="I100" s="226">
        <f t="array" ref="I100">iferror(if(isblank($A100),"",index('Supplemental intervention-level'!$M:$M,match(1,('Supplemental intervention-level'!$C:$C=$A100)*('Supplemental intervention-level'!$A:$A="Deworming"),0))),"Not specified")</f>
        <v>0.1</v>
      </c>
      <c r="J100" s="226">
        <f t="array" ref="J100">iferror(if(isblank($A100),"",index('Supplemental intervention-level'!$M:$M,match(1,('Supplemental intervention-level'!$C:$C=$A100)*('Supplemental intervention-level'!$A:$A="Deworming"),0))),"Not specified")</f>
        <v>0.1</v>
      </c>
      <c r="K100" s="226">
        <f t="array" ref="K100">iferror(if(isblank($A100),"",index('Supplemental intervention-level'!$M:$M,match(1,('Supplemental intervention-level'!$C:$C=$A100)*('Supplemental intervention-level'!$A:$A="Deworming"),0))),"Not specified")</f>
        <v>0.1</v>
      </c>
      <c r="L100" s="226">
        <f t="array" ref="L100">iferror(if(isblank($A100),"",index('Supplemental intervention-level'!$M:$M,match(1,('Supplemental intervention-level'!$C:$C=$A100)*('Supplemental intervention-level'!$A:$A="Deworming"),0))),"Not specified")</f>
        <v>0.1</v>
      </c>
      <c r="M100" s="226">
        <f t="array" ref="M100">iferror(if(isblank($A100),"",index('Supplemental intervention-level'!$M:$M,match(1,('Supplemental intervention-level'!$C:$C=$A100)*('Supplemental intervention-level'!$A:$A="Deworming"),0))),"Not specified")</f>
        <v>0.1</v>
      </c>
      <c r="N100" s="226">
        <f t="array" ref="N100">iferror(if(isblank($A100),"",index('Supplemental intervention-level'!$M:$M,match(1,('Supplemental intervention-level'!$C:$C=$A100)*('Supplemental intervention-level'!$A:$A="Deworming"),0))),"Not specified")</f>
        <v>0.1</v>
      </c>
    </row>
    <row r="101" outlineLevel="1">
      <c r="A101" s="116" t="str">
        <f>IFERROR(__xludf.DUMMYFUNCTION("""COMPUTED_VALUE"""),"Non-income long-run benefits of deworming")</f>
        <v>Non-income long-run benefits of deworming</v>
      </c>
      <c r="B101" s="226">
        <f t="array" ref="B101">iferror(if(isblank($A101),"",index('Supplemental intervention-level'!$M:$M,match(1,('Supplemental intervention-level'!$C:$C=$A101)*('Supplemental intervention-level'!$A:$A="Deworming"),0))),"Not specified")</f>
        <v>0.04</v>
      </c>
      <c r="C101" s="226">
        <f t="array" ref="C101">iferror(if(isblank($A101),"",index('Supplemental intervention-level'!$M:$M,match(1,('Supplemental intervention-level'!$C:$C=$A101)*('Supplemental intervention-level'!$A:$A="Deworming"),0))),"Not specified")</f>
        <v>0.04</v>
      </c>
      <c r="D101" s="226">
        <f t="array" ref="D101">iferror(if(isblank($A101),"",index('Supplemental intervention-level'!$M:$M,match(1,('Supplemental intervention-level'!$C:$C=$A101)*('Supplemental intervention-level'!$A:$A="Deworming"),0))),"Not specified")</f>
        <v>0.04</v>
      </c>
      <c r="E101" s="226">
        <f t="array" ref="E101">iferror(if(isblank($A101),"",index('Supplemental intervention-level'!$M:$M,match(1,('Supplemental intervention-level'!$C:$C=$A101)*('Supplemental intervention-level'!$A:$A="Deworming"),0))),"Not specified")</f>
        <v>0.04</v>
      </c>
      <c r="F101" s="226">
        <f t="array" ref="F101">iferror(if(isblank($A101),"",index('Supplemental intervention-level'!$M:$M,match(1,('Supplemental intervention-level'!$C:$C=$A101)*('Supplemental intervention-level'!$A:$A="Deworming"),0))),"Not specified")</f>
        <v>0.04</v>
      </c>
      <c r="G101" s="226">
        <f t="array" ref="G101">iferror(if(isblank($A101),"",index('Supplemental intervention-level'!$M:$M,match(1,('Supplemental intervention-level'!$C:$C=$A101)*('Supplemental intervention-level'!$A:$A="Deworming"),0))),"Not specified")</f>
        <v>0.04</v>
      </c>
      <c r="H101" s="226">
        <f t="array" ref="H101">iferror(if(isblank($A101),"",index('Supplemental intervention-level'!$M:$M,match(1,('Supplemental intervention-level'!$C:$C=$A101)*('Supplemental intervention-level'!$A:$A="Deworming"),0))),"Not specified")</f>
        <v>0.04</v>
      </c>
      <c r="I101" s="226">
        <f t="array" ref="I101">iferror(if(isblank($A101),"",index('Supplemental intervention-level'!$M:$M,match(1,('Supplemental intervention-level'!$C:$C=$A101)*('Supplemental intervention-level'!$A:$A="Deworming"),0))),"Not specified")</f>
        <v>0.04</v>
      </c>
      <c r="J101" s="226">
        <f t="array" ref="J101">iferror(if(isblank($A101),"",index('Supplemental intervention-level'!$M:$M,match(1,('Supplemental intervention-level'!$C:$C=$A101)*('Supplemental intervention-level'!$A:$A="Deworming"),0))),"Not specified")</f>
        <v>0.04</v>
      </c>
      <c r="K101" s="226">
        <f t="array" ref="K101">iferror(if(isblank($A101),"",index('Supplemental intervention-level'!$M:$M,match(1,('Supplemental intervention-level'!$C:$C=$A101)*('Supplemental intervention-level'!$A:$A="Deworming"),0))),"Not specified")</f>
        <v>0.04</v>
      </c>
      <c r="L101" s="226">
        <f t="array" ref="L101">iferror(if(isblank($A101),"",index('Supplemental intervention-level'!$M:$M,match(1,('Supplemental intervention-level'!$C:$C=$A101)*('Supplemental intervention-level'!$A:$A="Deworming"),0))),"Not specified")</f>
        <v>0.04</v>
      </c>
      <c r="M101" s="226">
        <f t="array" ref="M101">iferror(if(isblank($A101),"",index('Supplemental intervention-level'!$M:$M,match(1,('Supplemental intervention-level'!$C:$C=$A101)*('Supplemental intervention-level'!$A:$A="Deworming"),0))),"Not specified")</f>
        <v>0.04</v>
      </c>
      <c r="N101" s="226">
        <f t="array" ref="N101">iferror(if(isblank($A101),"",index('Supplemental intervention-level'!$M:$M,match(1,('Supplemental intervention-level'!$C:$C=$A101)*('Supplemental intervention-level'!$A:$A="Deworming"),0))),"Not specified")</f>
        <v>0.04</v>
      </c>
    </row>
    <row r="102" outlineLevel="1">
      <c r="A102" s="116" t="str">
        <f>IFERROR(__xludf.DUMMYFUNCTION("""COMPUTED_VALUE"""),"Drug resistance")</f>
        <v>Drug resistance</v>
      </c>
      <c r="B102" s="226">
        <f t="array" ref="B102">iferror(if(isblank($A102),"",index('Supplemental intervention-level'!$M:$M,match(1,('Supplemental intervention-level'!$C:$C=$A102)*('Supplemental intervention-level'!$A:$A="Deworming"),0))),"Not specified")</f>
        <v>-0.04</v>
      </c>
      <c r="C102" s="226">
        <f t="array" ref="C102">iferror(if(isblank($A102),"",index('Supplemental intervention-level'!$M:$M,match(1,('Supplemental intervention-level'!$C:$C=$A102)*('Supplemental intervention-level'!$A:$A="Deworming"),0))),"Not specified")</f>
        <v>-0.04</v>
      </c>
      <c r="D102" s="226">
        <f t="array" ref="D102">iferror(if(isblank($A102),"",index('Supplemental intervention-level'!$M:$M,match(1,('Supplemental intervention-level'!$C:$C=$A102)*('Supplemental intervention-level'!$A:$A="Deworming"),0))),"Not specified")</f>
        <v>-0.04</v>
      </c>
      <c r="E102" s="226">
        <f t="array" ref="E102">iferror(if(isblank($A102),"",index('Supplemental intervention-level'!$M:$M,match(1,('Supplemental intervention-level'!$C:$C=$A102)*('Supplemental intervention-level'!$A:$A="Deworming"),0))),"Not specified")</f>
        <v>-0.04</v>
      </c>
      <c r="F102" s="226">
        <f t="array" ref="F102">iferror(if(isblank($A102),"",index('Supplemental intervention-level'!$M:$M,match(1,('Supplemental intervention-level'!$C:$C=$A102)*('Supplemental intervention-level'!$A:$A="Deworming"),0))),"Not specified")</f>
        <v>-0.04</v>
      </c>
      <c r="G102" s="226">
        <f t="array" ref="G102">iferror(if(isblank($A102),"",index('Supplemental intervention-level'!$M:$M,match(1,('Supplemental intervention-level'!$C:$C=$A102)*('Supplemental intervention-level'!$A:$A="Deworming"),0))),"Not specified")</f>
        <v>-0.04</v>
      </c>
      <c r="H102" s="226">
        <f t="array" ref="H102">iferror(if(isblank($A102),"",index('Supplemental intervention-level'!$M:$M,match(1,('Supplemental intervention-level'!$C:$C=$A102)*('Supplemental intervention-level'!$A:$A="Deworming"),0))),"Not specified")</f>
        <v>-0.04</v>
      </c>
      <c r="I102" s="226">
        <f t="array" ref="I102">iferror(if(isblank($A102),"",index('Supplemental intervention-level'!$M:$M,match(1,('Supplemental intervention-level'!$C:$C=$A102)*('Supplemental intervention-level'!$A:$A="Deworming"),0))),"Not specified")</f>
        <v>-0.04</v>
      </c>
      <c r="J102" s="226">
        <f t="array" ref="J102">iferror(if(isblank($A102),"",index('Supplemental intervention-level'!$M:$M,match(1,('Supplemental intervention-level'!$C:$C=$A102)*('Supplemental intervention-level'!$A:$A="Deworming"),0))),"Not specified")</f>
        <v>-0.04</v>
      </c>
      <c r="K102" s="226">
        <f t="array" ref="K102">iferror(if(isblank($A102),"",index('Supplemental intervention-level'!$M:$M,match(1,('Supplemental intervention-level'!$C:$C=$A102)*('Supplemental intervention-level'!$A:$A="Deworming"),0))),"Not specified")</f>
        <v>-0.04</v>
      </c>
      <c r="L102" s="226">
        <f t="array" ref="L102">iferror(if(isblank($A102),"",index('Supplemental intervention-level'!$M:$M,match(1,('Supplemental intervention-level'!$C:$C=$A102)*('Supplemental intervention-level'!$A:$A="Deworming"),0))),"Not specified")</f>
        <v>-0.04</v>
      </c>
      <c r="M102" s="226">
        <f t="array" ref="M102">iferror(if(isblank($A102),"",index('Supplemental intervention-level'!$M:$M,match(1,('Supplemental intervention-level'!$C:$C=$A102)*('Supplemental intervention-level'!$A:$A="Deworming"),0))),"Not specified")</f>
        <v>-0.04</v>
      </c>
      <c r="N102" s="226">
        <f t="array" ref="N102">iferror(if(isblank($A102),"",index('Supplemental intervention-level'!$M:$M,match(1,('Supplemental intervention-level'!$C:$C=$A102)*('Supplemental intervention-level'!$A:$A="Deworming"),0))),"Not specified")</f>
        <v>-0.04</v>
      </c>
    </row>
    <row r="103" outlineLevel="1">
      <c r="A103" s="116" t="str">
        <f>IFERROR(__xludf.DUMMYFUNCTION("""COMPUTED_VALUE"""),"Unprogrammed deworming")</f>
        <v>Unprogrammed deworming</v>
      </c>
      <c r="B103" s="226">
        <f t="array" ref="B103">iferror(if(isblank($A103),"",index('Supplemental intervention-level'!$M:$M,match(1,('Supplemental intervention-level'!$C:$C=$A103)*('Supplemental intervention-level'!$A:$A="Deworming"),0))),"Not specified")</f>
        <v>-0.14</v>
      </c>
      <c r="C103" s="226">
        <f t="array" ref="C103">iferror(if(isblank($A103),"",index('Supplemental intervention-level'!$M:$M,match(1,('Supplemental intervention-level'!$C:$C=$A103)*('Supplemental intervention-level'!$A:$A="Deworming"),0))),"Not specified")</f>
        <v>-0.14</v>
      </c>
      <c r="D103" s="226">
        <f t="array" ref="D103">iferror(if(isblank($A103),"",index('Supplemental intervention-level'!$M:$M,match(1,('Supplemental intervention-level'!$C:$C=$A103)*('Supplemental intervention-level'!$A:$A="Deworming"),0))),"Not specified")</f>
        <v>-0.14</v>
      </c>
      <c r="E103" s="226">
        <f t="array" ref="E103">iferror(if(isblank($A103),"",index('Supplemental intervention-level'!$M:$M,match(1,('Supplemental intervention-level'!$C:$C=$A103)*('Supplemental intervention-level'!$A:$A="Deworming"),0))),"Not specified")</f>
        <v>-0.14</v>
      </c>
      <c r="F103" s="226">
        <f t="array" ref="F103">iferror(if(isblank($A103),"",index('Supplemental intervention-level'!$M:$M,match(1,('Supplemental intervention-level'!$C:$C=$A103)*('Supplemental intervention-level'!$A:$A="Deworming"),0))),"Not specified")</f>
        <v>-0.14</v>
      </c>
      <c r="G103" s="226">
        <f t="array" ref="G103">iferror(if(isblank($A103),"",index('Supplemental intervention-level'!$M:$M,match(1,('Supplemental intervention-level'!$C:$C=$A103)*('Supplemental intervention-level'!$A:$A="Deworming"),0))),"Not specified")</f>
        <v>-0.14</v>
      </c>
      <c r="H103" s="226">
        <f t="array" ref="H103">iferror(if(isblank($A103),"",index('Supplemental intervention-level'!$M:$M,match(1,('Supplemental intervention-level'!$C:$C=$A103)*('Supplemental intervention-level'!$A:$A="Deworming"),0))),"Not specified")</f>
        <v>-0.14</v>
      </c>
      <c r="I103" s="226">
        <f t="array" ref="I103">iferror(if(isblank($A103),"",index('Supplemental intervention-level'!$M:$M,match(1,('Supplemental intervention-level'!$C:$C=$A103)*('Supplemental intervention-level'!$A:$A="Deworming"),0))),"Not specified")</f>
        <v>-0.14</v>
      </c>
      <c r="J103" s="226">
        <f t="array" ref="J103">iferror(if(isblank($A103),"",index('Supplemental intervention-level'!$M:$M,match(1,('Supplemental intervention-level'!$C:$C=$A103)*('Supplemental intervention-level'!$A:$A="Deworming"),0))),"Not specified")</f>
        <v>-0.14</v>
      </c>
      <c r="K103" s="226">
        <f t="array" ref="K103">iferror(if(isblank($A103),"",index('Supplemental intervention-level'!$M:$M,match(1,('Supplemental intervention-level'!$C:$C=$A103)*('Supplemental intervention-level'!$A:$A="Deworming"),0))),"Not specified")</f>
        <v>-0.14</v>
      </c>
      <c r="L103" s="226">
        <f t="array" ref="L103">iferror(if(isblank($A103),"",index('Supplemental intervention-level'!$M:$M,match(1,('Supplemental intervention-level'!$C:$C=$A103)*('Supplemental intervention-level'!$A:$A="Deworming"),0))),"Not specified")</f>
        <v>-0.14</v>
      </c>
      <c r="M103" s="226">
        <f t="array" ref="M103">iferror(if(isblank($A103),"",index('Supplemental intervention-level'!$M:$M,match(1,('Supplemental intervention-level'!$C:$C=$A103)*('Supplemental intervention-level'!$A:$A="Deworming"),0))),"Not specified")</f>
        <v>-0.14</v>
      </c>
      <c r="N103" s="226">
        <f t="array" ref="N103">iferror(if(isblank($A103),"",index('Supplemental intervention-level'!$M:$M,match(1,('Supplemental intervention-level'!$C:$C=$A103)*('Supplemental intervention-level'!$A:$A="Deworming"),0))),"Not specified")</f>
        <v>-0.14</v>
      </c>
    </row>
    <row r="104" outlineLevel="1">
      <c r="A104" s="116" t="str">
        <f>IFERROR(__xludf.DUMMYFUNCTION("""COMPUTED_VALUE"""),"Marginal funding goes to lower priority areas")</f>
        <v>Marginal funding goes to lower priority areas</v>
      </c>
      <c r="B104" s="226">
        <f t="array" ref="B104">iferror(if(isblank($A104),"",index('Supplemental intervention-level'!$M:$M,match(1,('Supplemental intervention-level'!$C:$C=$A104)*('Supplemental intervention-level'!$A:$A="Deworming"),0))),"Not specified")</f>
        <v>-0.025</v>
      </c>
      <c r="C104" s="226">
        <f t="array" ref="C104">iferror(if(isblank($A104),"",index('Supplemental intervention-level'!$M:$M,match(1,('Supplemental intervention-level'!$C:$C=$A104)*('Supplemental intervention-level'!$A:$A="Deworming"),0))),"Not specified")</f>
        <v>-0.025</v>
      </c>
      <c r="D104" s="226">
        <f t="array" ref="D104">iferror(if(isblank($A104),"",index('Supplemental intervention-level'!$M:$M,match(1,('Supplemental intervention-level'!$C:$C=$A104)*('Supplemental intervention-level'!$A:$A="Deworming"),0))),"Not specified")</f>
        <v>-0.025</v>
      </c>
      <c r="E104" s="226">
        <f t="array" ref="E104">iferror(if(isblank($A104),"",index('Supplemental intervention-level'!$M:$M,match(1,('Supplemental intervention-level'!$C:$C=$A104)*('Supplemental intervention-level'!$A:$A="Deworming"),0))),"Not specified")</f>
        <v>-0.025</v>
      </c>
      <c r="F104" s="226">
        <f t="array" ref="F104">iferror(if(isblank($A104),"",index('Supplemental intervention-level'!$M:$M,match(1,('Supplemental intervention-level'!$C:$C=$A104)*('Supplemental intervention-level'!$A:$A="Deworming"),0))),"Not specified")</f>
        <v>-0.025</v>
      </c>
      <c r="G104" s="226">
        <f t="array" ref="G104">iferror(if(isblank($A104),"",index('Supplemental intervention-level'!$M:$M,match(1,('Supplemental intervention-level'!$C:$C=$A104)*('Supplemental intervention-level'!$A:$A="Deworming"),0))),"Not specified")</f>
        <v>-0.025</v>
      </c>
      <c r="H104" s="226">
        <f t="array" ref="H104">iferror(if(isblank($A104),"",index('Supplemental intervention-level'!$M:$M,match(1,('Supplemental intervention-level'!$C:$C=$A104)*('Supplemental intervention-level'!$A:$A="Deworming"),0))),"Not specified")</f>
        <v>-0.025</v>
      </c>
      <c r="I104" s="226">
        <f t="array" ref="I104">iferror(if(isblank($A104),"",index('Supplemental intervention-level'!$M:$M,match(1,('Supplemental intervention-level'!$C:$C=$A104)*('Supplemental intervention-level'!$A:$A="Deworming"),0))),"Not specified")</f>
        <v>-0.025</v>
      </c>
      <c r="J104" s="226">
        <f t="array" ref="J104">iferror(if(isblank($A104),"",index('Supplemental intervention-level'!$M:$M,match(1,('Supplemental intervention-level'!$C:$C=$A104)*('Supplemental intervention-level'!$A:$A="Deworming"),0))),"Not specified")</f>
        <v>-0.025</v>
      </c>
      <c r="K104" s="226">
        <f t="array" ref="K104">iferror(if(isblank($A104),"",index('Supplemental intervention-level'!$M:$M,match(1,('Supplemental intervention-level'!$C:$C=$A104)*('Supplemental intervention-level'!$A:$A="Deworming"),0))),"Not specified")</f>
        <v>-0.025</v>
      </c>
      <c r="L104" s="226">
        <f t="array" ref="L104">iferror(if(isblank($A104),"",index('Supplemental intervention-level'!$M:$M,match(1,('Supplemental intervention-level'!$C:$C=$A104)*('Supplemental intervention-level'!$A:$A="Deworming"),0))),"Not specified")</f>
        <v>-0.025</v>
      </c>
      <c r="M104" s="226">
        <f t="array" ref="M104">iferror(if(isblank($A104),"",index('Supplemental intervention-level'!$M:$M,match(1,('Supplemental intervention-level'!$C:$C=$A104)*('Supplemental intervention-level'!$A:$A="Deworming"),0))),"Not specified")</f>
        <v>-0.025</v>
      </c>
      <c r="N104" s="226">
        <f t="array" ref="N104">iferror(if(isblank($A104),"",index('Supplemental intervention-level'!$M:$M,match(1,('Supplemental intervention-level'!$C:$C=$A104)*('Supplemental intervention-level'!$A:$A="Deworming"),0))),"Not specified")</f>
        <v>-0.025</v>
      </c>
    </row>
    <row r="105" outlineLevel="1">
      <c r="A105" s="55" t="str">
        <f>IFERROR(__xludf.DUMMYFUNCTION("""COMPUTED_VALUE"""),"General equilibrium effects")</f>
        <v>General equilibrium effects</v>
      </c>
      <c r="B105" s="226">
        <f t="array" ref="B105">iferror(if(isblank($A105),"",index('Supplemental intervention-level'!$M:$M,match(1,('Supplemental intervention-level'!$C:$C=$A105)*('Supplemental intervention-level'!$A:$A="Deworming"),0))),"Not specified")</f>
        <v>-0.03</v>
      </c>
      <c r="C105" s="226">
        <f t="array" ref="C105">iferror(if(isblank($A105),"",index('Supplemental intervention-level'!$M:$M,match(1,('Supplemental intervention-level'!$C:$C=$A105)*('Supplemental intervention-level'!$A:$A="Deworming"),0))),"Not specified")</f>
        <v>-0.03</v>
      </c>
      <c r="D105" s="226">
        <f t="array" ref="D105">iferror(if(isblank($A105),"",index('Supplemental intervention-level'!$M:$M,match(1,('Supplemental intervention-level'!$C:$C=$A105)*('Supplemental intervention-level'!$A:$A="Deworming"),0))),"Not specified")</f>
        <v>-0.03</v>
      </c>
      <c r="E105" s="226">
        <f t="array" ref="E105">iferror(if(isblank($A105),"",index('Supplemental intervention-level'!$M:$M,match(1,('Supplemental intervention-level'!$C:$C=$A105)*('Supplemental intervention-level'!$A:$A="Deworming"),0))),"Not specified")</f>
        <v>-0.03</v>
      </c>
      <c r="F105" s="226">
        <f t="array" ref="F105">iferror(if(isblank($A105),"",index('Supplemental intervention-level'!$M:$M,match(1,('Supplemental intervention-level'!$C:$C=$A105)*('Supplemental intervention-level'!$A:$A="Deworming"),0))),"Not specified")</f>
        <v>-0.03</v>
      </c>
      <c r="G105" s="226">
        <f t="array" ref="G105">iferror(if(isblank($A105),"",index('Supplemental intervention-level'!$M:$M,match(1,('Supplemental intervention-level'!$C:$C=$A105)*('Supplemental intervention-level'!$A:$A="Deworming"),0))),"Not specified")</f>
        <v>-0.03</v>
      </c>
      <c r="H105" s="226">
        <f t="array" ref="H105">iferror(if(isblank($A105),"",index('Supplemental intervention-level'!$M:$M,match(1,('Supplemental intervention-level'!$C:$C=$A105)*('Supplemental intervention-level'!$A:$A="Deworming"),0))),"Not specified")</f>
        <v>-0.03</v>
      </c>
      <c r="I105" s="226">
        <f t="array" ref="I105">iferror(if(isblank($A105),"",index('Supplemental intervention-level'!$M:$M,match(1,('Supplemental intervention-level'!$C:$C=$A105)*('Supplemental intervention-level'!$A:$A="Deworming"),0))),"Not specified")</f>
        <v>-0.03</v>
      </c>
      <c r="J105" s="226">
        <f t="array" ref="J105">iferror(if(isblank($A105),"",index('Supplemental intervention-level'!$M:$M,match(1,('Supplemental intervention-level'!$C:$C=$A105)*('Supplemental intervention-level'!$A:$A="Deworming"),0))),"Not specified")</f>
        <v>-0.03</v>
      </c>
      <c r="K105" s="226">
        <f t="array" ref="K105">iferror(if(isblank($A105),"",index('Supplemental intervention-level'!$M:$M,match(1,('Supplemental intervention-level'!$C:$C=$A105)*('Supplemental intervention-level'!$A:$A="Deworming"),0))),"Not specified")</f>
        <v>-0.03</v>
      </c>
      <c r="L105" s="226">
        <f t="array" ref="L105">iferror(if(isblank($A105),"",index('Supplemental intervention-level'!$M:$M,match(1,('Supplemental intervention-level'!$C:$C=$A105)*('Supplemental intervention-level'!$A:$A="Deworming"),0))),"Not specified")</f>
        <v>-0.03</v>
      </c>
      <c r="M105" s="226">
        <f t="array" ref="M105">iferror(if(isblank($A105),"",index('Supplemental intervention-level'!$M:$M,match(1,('Supplemental intervention-level'!$C:$C=$A105)*('Supplemental intervention-level'!$A:$A="Deworming"),0))),"Not specified")</f>
        <v>-0.03</v>
      </c>
      <c r="N105" s="226">
        <f t="array" ref="N105">iferror(if(isblank($A105),"",index('Supplemental intervention-level'!$M:$M,match(1,('Supplemental intervention-level'!$C:$C=$A105)*('Supplemental intervention-level'!$A:$A="Deworming"),0))),"Not specified")</f>
        <v>-0.03</v>
      </c>
    </row>
    <row r="106" outlineLevel="1">
      <c r="A106" s="55"/>
      <c r="B106" s="226" t="str">
        <f t="array" ref="B106">iferror(if(isblank($A106),"",index('Supplemental intervention-level'!$M:$M,match(1,('Supplemental intervention-level'!$C:$C=$A106)*('Supplemental intervention-level'!$A:$A="Deworming"),0))),"Not specified")</f>
        <v/>
      </c>
      <c r="C106" s="226" t="str">
        <f t="array" ref="C106">iferror(if(isblank($A106),"",index('Supplemental intervention-level'!$M:$M,match(1,('Supplemental intervention-level'!$C:$C=$A106)*('Supplemental intervention-level'!$A:$A="Deworming"),0))),"Not specified")</f>
        <v/>
      </c>
      <c r="D106" s="226" t="str">
        <f t="array" ref="D106">iferror(if(isblank($A106),"",index('Supplemental intervention-level'!$M:$M,match(1,('Supplemental intervention-level'!$C:$C=$A106)*('Supplemental intervention-level'!$A:$A="Deworming"),0))),"Not specified")</f>
        <v/>
      </c>
      <c r="E106" s="226" t="str">
        <f t="array" ref="E106">iferror(if(isblank($A106),"",index('Supplemental intervention-level'!$M:$M,match(1,('Supplemental intervention-level'!$C:$C=$A106)*('Supplemental intervention-level'!$A:$A="Deworming"),0))),"Not specified")</f>
        <v/>
      </c>
      <c r="F106" s="226" t="str">
        <f t="array" ref="F106">iferror(if(isblank($A106),"",index('Supplemental intervention-level'!$M:$M,match(1,('Supplemental intervention-level'!$C:$C=$A106)*('Supplemental intervention-level'!$A:$A="Deworming"),0))),"Not specified")</f>
        <v/>
      </c>
      <c r="G106" s="226" t="str">
        <f t="array" ref="G106">iferror(if(isblank($A106),"",index('Supplemental intervention-level'!$M:$M,match(1,('Supplemental intervention-level'!$C:$C=$A106)*('Supplemental intervention-level'!$A:$A="Deworming"),0))),"Not specified")</f>
        <v/>
      </c>
      <c r="H106" s="226" t="str">
        <f t="array" ref="H106">iferror(if(isblank($A106),"",index('Supplemental intervention-level'!$M:$M,match(1,('Supplemental intervention-level'!$C:$C=$A106)*('Supplemental intervention-level'!$A:$A="Deworming"),0))),"Not specified")</f>
        <v/>
      </c>
      <c r="I106" s="226" t="str">
        <f t="array" ref="I106">iferror(if(isblank($A106),"",index('Supplemental intervention-level'!$M:$M,match(1,('Supplemental intervention-level'!$C:$C=$A106)*('Supplemental intervention-level'!$A:$A="Deworming"),0))),"Not specified")</f>
        <v/>
      </c>
      <c r="J106" s="226" t="str">
        <f t="array" ref="J106">iferror(if(isblank($A106),"",index('Supplemental intervention-level'!$M:$M,match(1,('Supplemental intervention-level'!$C:$C=$A106)*('Supplemental intervention-level'!$A:$A="Deworming"),0))),"Not specified")</f>
        <v/>
      </c>
      <c r="K106" s="226" t="str">
        <f t="array" ref="K106">iferror(if(isblank($A106),"",index('Supplemental intervention-level'!$M:$M,match(1,('Supplemental intervention-level'!$C:$C=$A106)*('Supplemental intervention-level'!$A:$A="Deworming"),0))),"Not specified")</f>
        <v/>
      </c>
      <c r="L106" s="226" t="str">
        <f t="array" ref="L106">iferror(if(isblank($A106),"",index('Supplemental intervention-level'!$M:$M,match(1,('Supplemental intervention-level'!$C:$C=$A106)*('Supplemental intervention-level'!$A:$A="Deworming"),0))),"Not specified")</f>
        <v/>
      </c>
      <c r="M106" s="226" t="str">
        <f t="array" ref="M106">iferror(if(isblank($A106),"",index('Supplemental intervention-level'!$M:$M,match(1,('Supplemental intervention-level'!$C:$C=$A106)*('Supplemental intervention-level'!$A:$A="Deworming"),0))),"Not specified")</f>
        <v/>
      </c>
      <c r="N106" s="226" t="str">
        <f t="array" ref="N106">iferror(if(isblank($A106),"",index('Supplemental intervention-level'!$M:$M,match(1,('Supplemental intervention-level'!$C:$C=$A106)*('Supplemental intervention-level'!$A:$A="Deworming"),0))),"Not specified")</f>
        <v/>
      </c>
    </row>
    <row r="107" outlineLevel="1">
      <c r="A107" s="55"/>
      <c r="B107" s="226" t="str">
        <f t="array" ref="B107">iferror(if(isblank($A107),"",index('Supplemental intervention-level'!$M:$M,match(1,('Supplemental intervention-level'!$C:$C=$A107)*('Supplemental intervention-level'!$A:$A="Deworming"),0))),"Not specified")</f>
        <v/>
      </c>
      <c r="C107" s="226" t="str">
        <f t="array" ref="C107">iferror(if(isblank($A107),"",index('Supplemental intervention-level'!$M:$M,match(1,('Supplemental intervention-level'!$C:$C=$A107)*('Supplemental intervention-level'!$A:$A="Deworming"),0))),"Not specified")</f>
        <v/>
      </c>
      <c r="D107" s="226" t="str">
        <f t="array" ref="D107">iferror(if(isblank($A107),"",index('Supplemental intervention-level'!$M:$M,match(1,('Supplemental intervention-level'!$C:$C=$A107)*('Supplemental intervention-level'!$A:$A="Deworming"),0))),"Not specified")</f>
        <v/>
      </c>
      <c r="E107" s="226" t="str">
        <f t="array" ref="E107">iferror(if(isblank($A107),"",index('Supplemental intervention-level'!$M:$M,match(1,('Supplemental intervention-level'!$C:$C=$A107)*('Supplemental intervention-level'!$A:$A="Deworming"),0))),"Not specified")</f>
        <v/>
      </c>
      <c r="F107" s="226" t="str">
        <f t="array" ref="F107">iferror(if(isblank($A107),"",index('Supplemental intervention-level'!$M:$M,match(1,('Supplemental intervention-level'!$C:$C=$A107)*('Supplemental intervention-level'!$A:$A="Deworming"),0))),"Not specified")</f>
        <v/>
      </c>
      <c r="G107" s="226" t="str">
        <f t="array" ref="G107">iferror(if(isblank($A107),"",index('Supplemental intervention-level'!$M:$M,match(1,('Supplemental intervention-level'!$C:$C=$A107)*('Supplemental intervention-level'!$A:$A="Deworming"),0))),"Not specified")</f>
        <v/>
      </c>
      <c r="H107" s="226" t="str">
        <f t="array" ref="H107">iferror(if(isblank($A107),"",index('Supplemental intervention-level'!$M:$M,match(1,('Supplemental intervention-level'!$C:$C=$A107)*('Supplemental intervention-level'!$A:$A="Deworming"),0))),"Not specified")</f>
        <v/>
      </c>
      <c r="I107" s="226" t="str">
        <f t="array" ref="I107">iferror(if(isblank($A107),"",index('Supplemental intervention-level'!$M:$M,match(1,('Supplemental intervention-level'!$C:$C=$A107)*('Supplemental intervention-level'!$A:$A="Deworming"),0))),"Not specified")</f>
        <v/>
      </c>
      <c r="J107" s="226" t="str">
        <f t="array" ref="J107">iferror(if(isblank($A107),"",index('Supplemental intervention-level'!$M:$M,match(1,('Supplemental intervention-level'!$C:$C=$A107)*('Supplemental intervention-level'!$A:$A="Deworming"),0))),"Not specified")</f>
        <v/>
      </c>
      <c r="K107" s="226" t="str">
        <f t="array" ref="K107">iferror(if(isblank($A107),"",index('Supplemental intervention-level'!$M:$M,match(1,('Supplemental intervention-level'!$C:$C=$A107)*('Supplemental intervention-level'!$A:$A="Deworming"),0))),"Not specified")</f>
        <v/>
      </c>
      <c r="L107" s="226" t="str">
        <f t="array" ref="L107">iferror(if(isblank($A107),"",index('Supplemental intervention-level'!$M:$M,match(1,('Supplemental intervention-level'!$C:$C=$A107)*('Supplemental intervention-level'!$A:$A="Deworming"),0))),"Not specified")</f>
        <v/>
      </c>
      <c r="M107" s="226" t="str">
        <f t="array" ref="M107">iferror(if(isblank($A107),"",index('Supplemental intervention-level'!$M:$M,match(1,('Supplemental intervention-level'!$C:$C=$A107)*('Supplemental intervention-level'!$A:$A="Deworming"),0))),"Not specified")</f>
        <v/>
      </c>
      <c r="N107" s="226" t="str">
        <f t="array" ref="N107">iferror(if(isblank($A107),"",index('Supplemental intervention-level'!$M:$M,match(1,('Supplemental intervention-level'!$C:$C=$A107)*('Supplemental intervention-level'!$A:$A="Deworming"),0))),"Not specified")</f>
        <v/>
      </c>
    </row>
    <row r="108">
      <c r="A108" s="225" t="s">
        <v>203</v>
      </c>
      <c r="B108" s="218">
        <f t="shared" ref="B108:N108" si="23">1+sum(B94:B107)</f>
        <v>1.073</v>
      </c>
      <c r="C108" s="218">
        <f t="shared" si="23"/>
        <v>1.073</v>
      </c>
      <c r="D108" s="218">
        <f t="shared" si="23"/>
        <v>1.073</v>
      </c>
      <c r="E108" s="218">
        <f t="shared" si="23"/>
        <v>1.073</v>
      </c>
      <c r="F108" s="218">
        <f t="shared" si="23"/>
        <v>1.073</v>
      </c>
      <c r="G108" s="218">
        <f t="shared" si="23"/>
        <v>1.073</v>
      </c>
      <c r="H108" s="218">
        <f t="shared" si="23"/>
        <v>1.073</v>
      </c>
      <c r="I108" s="218">
        <f t="shared" si="23"/>
        <v>1.073</v>
      </c>
      <c r="J108" s="218">
        <f t="shared" si="23"/>
        <v>1.073</v>
      </c>
      <c r="K108" s="218">
        <f t="shared" si="23"/>
        <v>1.073</v>
      </c>
      <c r="L108" s="218">
        <f t="shared" si="23"/>
        <v>1.073</v>
      </c>
      <c r="M108" s="218">
        <f t="shared" si="23"/>
        <v>1.073</v>
      </c>
      <c r="N108" s="218">
        <f t="shared" si="23"/>
        <v>1.073</v>
      </c>
    </row>
    <row r="109">
      <c r="A109" s="151"/>
      <c r="B109" s="151"/>
      <c r="C109" s="151"/>
      <c r="D109" s="151"/>
      <c r="E109" s="151"/>
      <c r="F109" s="151"/>
      <c r="G109" s="151"/>
      <c r="H109" s="151"/>
      <c r="I109" s="151"/>
      <c r="J109" s="151"/>
      <c r="K109" s="151"/>
      <c r="L109" s="151"/>
      <c r="M109" s="151"/>
      <c r="N109" s="151"/>
    </row>
    <row r="110">
      <c r="A110" s="207" t="s">
        <v>212</v>
      </c>
      <c r="B110" s="161"/>
      <c r="C110" s="161"/>
      <c r="D110" s="161"/>
      <c r="E110" s="161"/>
      <c r="F110" s="161"/>
      <c r="G110" s="161"/>
      <c r="H110" s="161"/>
      <c r="I110" s="161"/>
      <c r="J110" s="161"/>
      <c r="K110" s="161"/>
      <c r="L110" s="161"/>
      <c r="M110" s="161"/>
      <c r="N110" s="161"/>
    </row>
    <row r="111">
      <c r="A111" s="151"/>
      <c r="B111" s="151"/>
      <c r="C111" s="151"/>
      <c r="D111" s="151"/>
      <c r="E111" s="151"/>
      <c r="F111" s="151"/>
      <c r="G111" s="151"/>
      <c r="H111" s="151"/>
      <c r="I111" s="151"/>
      <c r="J111" s="151"/>
      <c r="K111" s="151"/>
      <c r="L111" s="151"/>
      <c r="M111" s="151"/>
      <c r="N111" s="151"/>
    </row>
    <row r="112">
      <c r="A112" s="351" t="s">
        <v>213</v>
      </c>
      <c r="B112" s="84">
        <f t="shared" ref="B112:N112" si="24">B86*B108</f>
        <v>15139.50403</v>
      </c>
      <c r="C112" s="84">
        <f t="shared" si="24"/>
        <v>3467.847924</v>
      </c>
      <c r="D112" s="84">
        <f t="shared" si="24"/>
        <v>1254.325484</v>
      </c>
      <c r="E112" s="84">
        <f t="shared" si="24"/>
        <v>12321.92794</v>
      </c>
      <c r="F112" s="84">
        <f t="shared" si="24"/>
        <v>737.8408134</v>
      </c>
      <c r="G112" s="84">
        <f t="shared" si="24"/>
        <v>5181.700885</v>
      </c>
      <c r="H112" s="84">
        <f t="shared" si="24"/>
        <v>737.8408134</v>
      </c>
      <c r="I112" s="84">
        <f t="shared" si="24"/>
        <v>1254.325484</v>
      </c>
      <c r="J112" s="84">
        <f t="shared" si="24"/>
        <v>3826.644896</v>
      </c>
      <c r="K112" s="84">
        <f t="shared" si="24"/>
        <v>6403.894077</v>
      </c>
      <c r="L112" s="84">
        <f t="shared" si="24"/>
        <v>5988.921995</v>
      </c>
      <c r="M112" s="84">
        <f t="shared" si="24"/>
        <v>4970.771991</v>
      </c>
      <c r="N112" s="84">
        <f t="shared" si="24"/>
        <v>5007.927413</v>
      </c>
    </row>
    <row r="113">
      <c r="A113" s="352" t="s">
        <v>314</v>
      </c>
      <c r="B113" s="223">
        <f t="shared" ref="B113:N113" si="25">B112/B40</f>
        <v>0.09209122613</v>
      </c>
      <c r="C113" s="223">
        <f t="shared" si="25"/>
        <v>0.01392264302</v>
      </c>
      <c r="D113" s="223">
        <f t="shared" si="25"/>
        <v>0.005035839611</v>
      </c>
      <c r="E113" s="223">
        <f t="shared" si="25"/>
        <v>0.04946981752</v>
      </c>
      <c r="F113" s="223">
        <f t="shared" si="25"/>
        <v>0.002962267803</v>
      </c>
      <c r="G113" s="223">
        <f t="shared" si="25"/>
        <v>0.0208033839</v>
      </c>
      <c r="H113" s="223">
        <f t="shared" si="25"/>
        <v>0.002962267803</v>
      </c>
      <c r="I113" s="223">
        <f t="shared" si="25"/>
        <v>0.005035839611</v>
      </c>
      <c r="J113" s="223">
        <f t="shared" si="25"/>
        <v>0.02577377357</v>
      </c>
      <c r="K113" s="223">
        <f t="shared" si="25"/>
        <v>0.03896382751</v>
      </c>
      <c r="L113" s="223">
        <f t="shared" si="25"/>
        <v>0.03755265623</v>
      </c>
      <c r="M113" s="223">
        <f t="shared" si="25"/>
        <v>0.03092196469</v>
      </c>
      <c r="N113" s="223">
        <f t="shared" si="25"/>
        <v>0.02951680498</v>
      </c>
    </row>
    <row r="114">
      <c r="A114" s="221" t="s">
        <v>214</v>
      </c>
      <c r="B114" s="354">
        <f t="array" ref="B114">B113/index(GiveDirectly!$B:$B,match("Units of value generated per philanthropic dollar spent, after accounting for all adjustments",GiveDirectly!$A:$A,0))</f>
        <v>27.45276327</v>
      </c>
      <c r="C114" s="354">
        <f t="array" ref="C114">C113/index(GiveDirectly!$B:$B,match("Units of value generated per philanthropic dollar spent, after accounting for all adjustments",GiveDirectly!$A:$A,0))</f>
        <v>4.150395635</v>
      </c>
      <c r="D114" s="354">
        <f t="array" ref="D114">D113/index(GiveDirectly!$B:$B,match("Units of value generated per philanthropic dollar spent, after accounting for all adjustments",GiveDirectly!$A:$A,0))</f>
        <v>1.501203953</v>
      </c>
      <c r="E114" s="354">
        <f t="array" ref="E114">E113/index(GiveDirectly!$B:$B,match("Units of value generated per philanthropic dollar spent, after accounting for all adjustments",GiveDirectly!$A:$A,0))</f>
        <v>14.7471507</v>
      </c>
      <c r="F114" s="354">
        <f t="array" ref="F114">F113/index(GiveDirectly!$B:$B,match("Units of value generated per philanthropic dollar spent, after accounting for all adjustments",GiveDirectly!$A:$A,0))</f>
        <v>0.8830638939</v>
      </c>
      <c r="G114" s="354">
        <f t="array" ref="G114">G113/index(GiveDirectly!$B:$B,match("Units of value generated per philanthropic dollar spent, after accounting for all adjustments",GiveDirectly!$A:$A,0))</f>
        <v>6.201572042</v>
      </c>
      <c r="H114" s="354">
        <f t="array" ref="H114">H113/index(GiveDirectly!$B:$B,match("Units of value generated per philanthropic dollar spent, after accounting for all adjustments",GiveDirectly!$A:$A,0))</f>
        <v>0.8830638939</v>
      </c>
      <c r="I114" s="354">
        <f t="array" ref="I114">I113/index(GiveDirectly!$B:$B,match("Units of value generated per philanthropic dollar spent, after accounting for all adjustments",GiveDirectly!$A:$A,0))</f>
        <v>1.501203953</v>
      </c>
      <c r="J114" s="354">
        <f t="array" ref="J114">J113/index(GiveDirectly!$B:$B,match("Units of value generated per philanthropic dollar spent, after accounting for all adjustments",GiveDirectly!$A:$A,0))</f>
        <v>7.683265106</v>
      </c>
      <c r="K114" s="354">
        <f t="array" ref="K114">K113/index(GiveDirectly!$B:$B,match("Units of value generated per philanthropic dollar spent, after accounting for all adjustments",GiveDirectly!$A:$A,0))</f>
        <v>11.615273</v>
      </c>
      <c r="L114" s="354">
        <f t="array" ref="L114">L113/index(GiveDirectly!$B:$B,match("Units of value generated per philanthropic dollar spent, after accounting for all adjustments",GiveDirectly!$A:$A,0))</f>
        <v>11.19459719</v>
      </c>
      <c r="M114" s="354">
        <f t="array" ref="M114">M113/index(GiveDirectly!$B:$B,match("Units of value generated per philanthropic dollar spent, after accounting for all adjustments",GiveDirectly!$A:$A,0))</f>
        <v>9.217961494</v>
      </c>
      <c r="N114" s="354">
        <f t="array" ref="N114">N113/index(GiveDirectly!$B:$B,match("Units of value generated per philanthropic dollar spent, after accounting for all adjustments",GiveDirectly!$A:$A,0))</f>
        <v>8.799077758</v>
      </c>
    </row>
    <row r="115">
      <c r="A115" s="151"/>
      <c r="B115" s="151"/>
      <c r="C115" s="151"/>
      <c r="D115" s="151"/>
      <c r="E115" s="151"/>
      <c r="F115" s="151"/>
      <c r="G115" s="151"/>
      <c r="H115" s="151"/>
      <c r="I115" s="151"/>
      <c r="J115" s="151"/>
      <c r="K115" s="151"/>
      <c r="L115" s="151"/>
      <c r="M115" s="151"/>
      <c r="N115" s="151"/>
    </row>
    <row r="116">
      <c r="A116" s="207" t="s">
        <v>215</v>
      </c>
      <c r="B116" s="161"/>
      <c r="C116" s="161"/>
      <c r="D116" s="161"/>
      <c r="E116" s="161"/>
      <c r="F116" s="161"/>
      <c r="G116" s="161"/>
      <c r="H116" s="161"/>
      <c r="I116" s="161"/>
      <c r="J116" s="161"/>
      <c r="K116" s="161"/>
      <c r="L116" s="161"/>
      <c r="M116" s="161"/>
      <c r="N116" s="161"/>
    </row>
    <row r="117" outlineLevel="1">
      <c r="A117" s="195"/>
      <c r="B117" s="326"/>
      <c r="C117" s="326"/>
      <c r="D117" s="326"/>
      <c r="E117" s="326"/>
      <c r="F117" s="326"/>
      <c r="G117" s="326"/>
      <c r="H117" s="326"/>
      <c r="I117" s="326"/>
      <c r="J117" s="355"/>
      <c r="K117" s="326"/>
      <c r="L117" s="326"/>
      <c r="M117" s="326"/>
      <c r="N117" s="326"/>
    </row>
    <row r="118" outlineLevel="1">
      <c r="A118" s="233" t="s">
        <v>316</v>
      </c>
      <c r="B118" s="326"/>
      <c r="C118" s="326"/>
      <c r="D118" s="326"/>
      <c r="E118" s="326"/>
      <c r="F118" s="326"/>
      <c r="G118" s="326"/>
      <c r="H118" s="326"/>
      <c r="I118" s="326"/>
      <c r="J118" s="355"/>
      <c r="K118" s="326"/>
      <c r="L118" s="326"/>
      <c r="M118" s="326"/>
      <c r="N118" s="326"/>
    </row>
    <row r="119" outlineLevel="1">
      <c r="A119" s="356" t="s">
        <v>13</v>
      </c>
      <c r="B119" s="357">
        <f t="shared" ref="B119:N119" si="26">B31*B$46</f>
        <v>0.3939066642</v>
      </c>
      <c r="C119" s="357">
        <f t="shared" si="26"/>
        <v>0.2980852964</v>
      </c>
      <c r="D119" s="357">
        <f t="shared" si="26"/>
        <v>0.2980852964</v>
      </c>
      <c r="E119" s="357">
        <f t="shared" si="26"/>
        <v>0.2980852964</v>
      </c>
      <c r="F119" s="357">
        <f t="shared" si="26"/>
        <v>0.2980852964</v>
      </c>
      <c r="G119" s="357">
        <f t="shared" si="26"/>
        <v>0.2980852964</v>
      </c>
      <c r="H119" s="357">
        <f t="shared" si="26"/>
        <v>0.2980852964</v>
      </c>
      <c r="I119" s="357">
        <f t="shared" si="26"/>
        <v>0.2980852964</v>
      </c>
      <c r="J119" s="357">
        <f t="shared" si="26"/>
        <v>0.5085589596</v>
      </c>
      <c r="K119" s="357">
        <f t="shared" si="26"/>
        <v>0.4805151741</v>
      </c>
      <c r="L119" s="357">
        <f t="shared" si="26"/>
        <v>0.9519939317</v>
      </c>
      <c r="M119" s="357">
        <f t="shared" si="26"/>
        <v>0.4653174248</v>
      </c>
      <c r="N119" s="357">
        <f t="shared" si="26"/>
        <v>0.68442942</v>
      </c>
    </row>
    <row r="120" outlineLevel="1">
      <c r="A120" s="356" t="s">
        <v>317</v>
      </c>
      <c r="B120" s="357">
        <f t="shared" ref="B120:N120" si="27">B32*B$46</f>
        <v>0.01516408193</v>
      </c>
      <c r="C120" s="357">
        <f t="shared" si="27"/>
        <v>0.191086831</v>
      </c>
      <c r="D120" s="357">
        <f t="shared" si="27"/>
        <v>0.191086831</v>
      </c>
      <c r="E120" s="357">
        <f t="shared" si="27"/>
        <v>0.191086831</v>
      </c>
      <c r="F120" s="357">
        <f t="shared" si="27"/>
        <v>0.191086831</v>
      </c>
      <c r="G120" s="357">
        <f t="shared" si="27"/>
        <v>0.191086831</v>
      </c>
      <c r="H120" s="357">
        <f t="shared" si="27"/>
        <v>0.191086831</v>
      </c>
      <c r="I120" s="357">
        <f t="shared" si="27"/>
        <v>0.191086831</v>
      </c>
      <c r="J120" s="357">
        <f t="shared" si="27"/>
        <v>0</v>
      </c>
      <c r="K120" s="357">
        <f t="shared" si="27"/>
        <v>0.007109250525</v>
      </c>
      <c r="L120" s="357">
        <f t="shared" si="27"/>
        <v>0</v>
      </c>
      <c r="M120" s="357">
        <f t="shared" si="27"/>
        <v>0.01728919242</v>
      </c>
      <c r="N120" s="357">
        <f t="shared" si="27"/>
        <v>0.04086333073</v>
      </c>
    </row>
    <row r="121" outlineLevel="1">
      <c r="A121" s="142" t="s">
        <v>318</v>
      </c>
      <c r="B121" s="357">
        <f t="shared" ref="B121:N121" si="28">B33*B$46</f>
        <v>0.00644137879</v>
      </c>
      <c r="C121" s="357">
        <f t="shared" si="28"/>
        <v>0</v>
      </c>
      <c r="D121" s="357">
        <f t="shared" si="28"/>
        <v>0</v>
      </c>
      <c r="E121" s="357">
        <f t="shared" si="28"/>
        <v>0</v>
      </c>
      <c r="F121" s="357">
        <f t="shared" si="28"/>
        <v>0</v>
      </c>
      <c r="G121" s="357">
        <f t="shared" si="28"/>
        <v>0</v>
      </c>
      <c r="H121" s="357">
        <f t="shared" si="28"/>
        <v>0</v>
      </c>
      <c r="I121" s="357">
        <f t="shared" si="28"/>
        <v>0</v>
      </c>
      <c r="J121" s="357">
        <f t="shared" si="28"/>
        <v>0</v>
      </c>
      <c r="K121" s="357">
        <f t="shared" si="28"/>
        <v>0</v>
      </c>
      <c r="L121" s="357">
        <f t="shared" si="28"/>
        <v>0</v>
      </c>
      <c r="M121" s="357">
        <f t="shared" si="28"/>
        <v>0</v>
      </c>
      <c r="N121" s="357">
        <f t="shared" si="28"/>
        <v>0.001751091897</v>
      </c>
    </row>
    <row r="122" outlineLevel="1">
      <c r="A122" s="356" t="s">
        <v>319</v>
      </c>
      <c r="B122" s="357">
        <f t="shared" ref="B122:N122" si="29">B34*B$46</f>
        <v>0.194271</v>
      </c>
      <c r="C122" s="357">
        <f t="shared" si="29"/>
        <v>0.222741</v>
      </c>
      <c r="D122" s="357">
        <f t="shared" si="29"/>
        <v>0.222741</v>
      </c>
      <c r="E122" s="357">
        <f t="shared" si="29"/>
        <v>0.222741</v>
      </c>
      <c r="F122" s="357">
        <f t="shared" si="29"/>
        <v>0.222741</v>
      </c>
      <c r="G122" s="357">
        <f t="shared" si="29"/>
        <v>0.222741</v>
      </c>
      <c r="H122" s="357">
        <f t="shared" si="29"/>
        <v>0.222741</v>
      </c>
      <c r="I122" s="357">
        <f t="shared" si="29"/>
        <v>0.222741</v>
      </c>
      <c r="J122" s="357">
        <f t="shared" si="29"/>
        <v>0.2265179245</v>
      </c>
      <c r="K122" s="357">
        <f t="shared" si="29"/>
        <v>0.236925079</v>
      </c>
      <c r="L122" s="357">
        <f t="shared" si="29"/>
        <v>0.4554738309</v>
      </c>
      <c r="M122" s="357">
        <f t="shared" si="29"/>
        <v>0.2244023152</v>
      </c>
      <c r="N122" s="357">
        <f t="shared" si="29"/>
        <v>0.3483682794</v>
      </c>
    </row>
    <row r="123" outlineLevel="1">
      <c r="A123" s="356" t="s">
        <v>320</v>
      </c>
      <c r="B123" s="357">
        <f t="shared" ref="B123:N123" si="30">B35*B$46</f>
        <v>0.03778687513</v>
      </c>
      <c r="C123" s="357">
        <f t="shared" si="30"/>
        <v>0.03055694683</v>
      </c>
      <c r="D123" s="357">
        <f t="shared" si="30"/>
        <v>0.03055694683</v>
      </c>
      <c r="E123" s="357">
        <f t="shared" si="30"/>
        <v>0.03055694683</v>
      </c>
      <c r="F123" s="357">
        <f t="shared" si="30"/>
        <v>0.03055694683</v>
      </c>
      <c r="G123" s="357">
        <f t="shared" si="30"/>
        <v>0.03055694683</v>
      </c>
      <c r="H123" s="357">
        <f t="shared" si="30"/>
        <v>0.03055694683</v>
      </c>
      <c r="I123" s="357">
        <f t="shared" si="30"/>
        <v>0.03055694683</v>
      </c>
      <c r="J123" s="357">
        <f t="shared" si="30"/>
        <v>0.01998304043</v>
      </c>
      <c r="K123" s="357">
        <f t="shared" si="30"/>
        <v>0.0652004964</v>
      </c>
      <c r="L123" s="357">
        <f t="shared" si="30"/>
        <v>0.1107782532</v>
      </c>
      <c r="M123" s="357">
        <f t="shared" si="30"/>
        <v>0.04099878035</v>
      </c>
      <c r="N123" s="357">
        <f t="shared" si="30"/>
        <v>0.08581547597</v>
      </c>
    </row>
    <row r="124" outlineLevel="1">
      <c r="A124" s="358" t="s">
        <v>321</v>
      </c>
      <c r="B124" s="359">
        <f t="shared" ref="B124:N124" si="31">sum(B119:B123)</f>
        <v>0.64757</v>
      </c>
      <c r="C124" s="359">
        <f t="shared" si="31"/>
        <v>0.7424700742</v>
      </c>
      <c r="D124" s="359">
        <f t="shared" si="31"/>
        <v>0.7424700742</v>
      </c>
      <c r="E124" s="359">
        <f t="shared" si="31"/>
        <v>0.7424700742</v>
      </c>
      <c r="F124" s="359">
        <f t="shared" si="31"/>
        <v>0.7424700742</v>
      </c>
      <c r="G124" s="359">
        <f t="shared" si="31"/>
        <v>0.7424700742</v>
      </c>
      <c r="H124" s="359">
        <f t="shared" si="31"/>
        <v>0.7424700742</v>
      </c>
      <c r="I124" s="359">
        <f t="shared" si="31"/>
        <v>0.7424700742</v>
      </c>
      <c r="J124" s="359">
        <f t="shared" si="31"/>
        <v>0.7550599245</v>
      </c>
      <c r="K124" s="359">
        <f t="shared" si="31"/>
        <v>0.78975</v>
      </c>
      <c r="L124" s="359">
        <f t="shared" si="31"/>
        <v>1.518246016</v>
      </c>
      <c r="M124" s="359">
        <f t="shared" si="31"/>
        <v>0.7480077128</v>
      </c>
      <c r="N124" s="359">
        <f t="shared" si="31"/>
        <v>1.161227598</v>
      </c>
    </row>
    <row r="125" outlineLevel="1">
      <c r="A125" s="360" t="s">
        <v>322</v>
      </c>
      <c r="B125" s="361">
        <f t="shared" ref="B125:N125" si="32">(B124-B46)/B124</f>
        <v>0</v>
      </c>
      <c r="C125" s="361">
        <f t="shared" si="32"/>
        <v>0.00000009999998984</v>
      </c>
      <c r="D125" s="361">
        <f t="shared" si="32"/>
        <v>0.00000009999998984</v>
      </c>
      <c r="E125" s="361">
        <f t="shared" si="32"/>
        <v>0.00000009999998984</v>
      </c>
      <c r="F125" s="361">
        <f t="shared" si="32"/>
        <v>0.00000009999998984</v>
      </c>
      <c r="G125" s="361">
        <f t="shared" si="32"/>
        <v>0.00000009999998984</v>
      </c>
      <c r="H125" s="361">
        <f t="shared" si="32"/>
        <v>0.00000009999998984</v>
      </c>
      <c r="I125" s="361">
        <f t="shared" si="32"/>
        <v>0.00000009999998984</v>
      </c>
      <c r="J125" s="361">
        <f t="shared" si="32"/>
        <v>-0.00000010000001</v>
      </c>
      <c r="K125" s="361">
        <f t="shared" si="32"/>
        <v>0</v>
      </c>
      <c r="L125" s="361">
        <f t="shared" si="32"/>
        <v>-0.00000005740709758</v>
      </c>
      <c r="M125" s="361">
        <f t="shared" si="32"/>
        <v>-0.000000006107902757</v>
      </c>
      <c r="N125" s="361">
        <f t="shared" si="32"/>
        <v>0</v>
      </c>
    </row>
    <row r="126" outlineLevel="1">
      <c r="A126" s="195"/>
      <c r="B126" s="151"/>
      <c r="C126" s="151"/>
      <c r="D126" s="151"/>
      <c r="E126" s="151"/>
      <c r="F126" s="151"/>
      <c r="G126" s="151"/>
      <c r="H126" s="151"/>
      <c r="I126" s="151"/>
      <c r="J126" s="151"/>
      <c r="K126" s="151"/>
      <c r="L126" s="151"/>
      <c r="M126" s="151"/>
      <c r="N126" s="151"/>
    </row>
    <row r="127" outlineLevel="1">
      <c r="A127" s="362" t="s">
        <v>323</v>
      </c>
      <c r="B127" s="326"/>
      <c r="C127" s="326"/>
      <c r="D127" s="326"/>
      <c r="E127" s="326"/>
      <c r="F127" s="326"/>
      <c r="G127" s="326"/>
      <c r="H127" s="326"/>
      <c r="I127" s="326"/>
      <c r="J127" s="355"/>
      <c r="K127" s="326"/>
      <c r="L127" s="326"/>
      <c r="M127" s="326"/>
      <c r="N127" s="326"/>
    </row>
    <row r="128" outlineLevel="1">
      <c r="A128" s="183" t="s">
        <v>13</v>
      </c>
      <c r="B128" s="248">
        <f t="shared" ref="B128:N128" si="33">B31*B$40</f>
        <v>100000</v>
      </c>
      <c r="C128" s="248">
        <f t="shared" si="33"/>
        <v>100000</v>
      </c>
      <c r="D128" s="248">
        <f t="shared" si="33"/>
        <v>100000</v>
      </c>
      <c r="E128" s="248">
        <f t="shared" si="33"/>
        <v>100000</v>
      </c>
      <c r="F128" s="248">
        <f t="shared" si="33"/>
        <v>100000</v>
      </c>
      <c r="G128" s="248">
        <f t="shared" si="33"/>
        <v>100000</v>
      </c>
      <c r="H128" s="248">
        <f t="shared" si="33"/>
        <v>100000</v>
      </c>
      <c r="I128" s="248">
        <f t="shared" si="33"/>
        <v>100000</v>
      </c>
      <c r="J128" s="248">
        <f t="shared" si="33"/>
        <v>100000</v>
      </c>
      <c r="K128" s="248">
        <f t="shared" si="33"/>
        <v>100000</v>
      </c>
      <c r="L128" s="248">
        <f t="shared" si="33"/>
        <v>100000</v>
      </c>
      <c r="M128" s="248">
        <f t="shared" si="33"/>
        <v>100000</v>
      </c>
      <c r="N128" s="248">
        <f t="shared" si="33"/>
        <v>100000</v>
      </c>
    </row>
    <row r="129" outlineLevel="1">
      <c r="A129" s="183" t="s">
        <v>317</v>
      </c>
      <c r="B129" s="248">
        <f t="shared" ref="B129:N129" si="34">B32*B$40</f>
        <v>3849.663718</v>
      </c>
      <c r="C129" s="248">
        <f t="shared" si="34"/>
        <v>64104.74898</v>
      </c>
      <c r="D129" s="248">
        <f t="shared" si="34"/>
        <v>64104.74898</v>
      </c>
      <c r="E129" s="248">
        <f t="shared" si="34"/>
        <v>64104.74898</v>
      </c>
      <c r="F129" s="248">
        <f t="shared" si="34"/>
        <v>64104.74898</v>
      </c>
      <c r="G129" s="248">
        <f t="shared" si="34"/>
        <v>64104.74898</v>
      </c>
      <c r="H129" s="248">
        <f t="shared" si="34"/>
        <v>64104.74898</v>
      </c>
      <c r="I129" s="248">
        <f t="shared" si="34"/>
        <v>64104.74898</v>
      </c>
      <c r="J129" s="248">
        <f t="shared" si="34"/>
        <v>0</v>
      </c>
      <c r="K129" s="248">
        <f t="shared" si="34"/>
        <v>1479.505936</v>
      </c>
      <c r="L129" s="248">
        <f t="shared" si="34"/>
        <v>0</v>
      </c>
      <c r="M129" s="248">
        <f t="shared" si="34"/>
        <v>3715.569523</v>
      </c>
      <c r="N129" s="248">
        <f t="shared" si="34"/>
        <v>5970.422886</v>
      </c>
    </row>
    <row r="130" outlineLevel="1">
      <c r="A130" s="356" t="s">
        <v>318</v>
      </c>
      <c r="B130" s="248">
        <f t="shared" ref="B130:N130" si="35">B33*B$40</f>
        <v>1635.255094</v>
      </c>
      <c r="C130" s="248">
        <f t="shared" si="35"/>
        <v>0</v>
      </c>
      <c r="D130" s="248">
        <f t="shared" si="35"/>
        <v>0</v>
      </c>
      <c r="E130" s="248">
        <f t="shared" si="35"/>
        <v>0</v>
      </c>
      <c r="F130" s="248">
        <f t="shared" si="35"/>
        <v>0</v>
      </c>
      <c r="G130" s="248">
        <f t="shared" si="35"/>
        <v>0</v>
      </c>
      <c r="H130" s="248">
        <f t="shared" si="35"/>
        <v>0</v>
      </c>
      <c r="I130" s="248">
        <f t="shared" si="35"/>
        <v>0</v>
      </c>
      <c r="J130" s="248">
        <f t="shared" si="35"/>
        <v>0</v>
      </c>
      <c r="K130" s="248">
        <f t="shared" si="35"/>
        <v>0</v>
      </c>
      <c r="L130" s="248">
        <f t="shared" si="35"/>
        <v>0</v>
      </c>
      <c r="M130" s="248">
        <f t="shared" si="35"/>
        <v>0</v>
      </c>
      <c r="N130" s="248">
        <f t="shared" si="35"/>
        <v>255.8469648</v>
      </c>
    </row>
    <row r="131" outlineLevel="1">
      <c r="A131" s="356" t="s">
        <v>319</v>
      </c>
      <c r="B131" s="248">
        <f t="shared" ref="B131:N131" si="36">B34*B$40</f>
        <v>49319.04374</v>
      </c>
      <c r="C131" s="248">
        <f t="shared" si="36"/>
        <v>74723.91382</v>
      </c>
      <c r="D131" s="248">
        <f t="shared" si="36"/>
        <v>74723.91382</v>
      </c>
      <c r="E131" s="248">
        <f t="shared" si="36"/>
        <v>74723.91382</v>
      </c>
      <c r="F131" s="248">
        <f t="shared" si="36"/>
        <v>74723.91382</v>
      </c>
      <c r="G131" s="248">
        <f t="shared" si="36"/>
        <v>74723.91382</v>
      </c>
      <c r="H131" s="248">
        <f t="shared" si="36"/>
        <v>74723.91382</v>
      </c>
      <c r="I131" s="248">
        <f t="shared" si="36"/>
        <v>74723.91382</v>
      </c>
      <c r="J131" s="248">
        <f t="shared" si="36"/>
        <v>44541.13338</v>
      </c>
      <c r="K131" s="248">
        <f t="shared" si="36"/>
        <v>49306.47183</v>
      </c>
      <c r="L131" s="248">
        <f t="shared" si="36"/>
        <v>47844.19477</v>
      </c>
      <c r="M131" s="248">
        <f t="shared" si="36"/>
        <v>48225.64195</v>
      </c>
      <c r="N131" s="248">
        <f t="shared" si="36"/>
        <v>50899.0802</v>
      </c>
    </row>
    <row r="132" outlineLevel="1">
      <c r="A132" s="183" t="s">
        <v>320</v>
      </c>
      <c r="B132" s="248">
        <f t="shared" ref="B132:N132" si="37">B35*B$40</f>
        <v>9592.849922</v>
      </c>
      <c r="C132" s="248">
        <f t="shared" si="37"/>
        <v>10251.07484</v>
      </c>
      <c r="D132" s="248">
        <f t="shared" si="37"/>
        <v>10251.07484</v>
      </c>
      <c r="E132" s="248">
        <f t="shared" si="37"/>
        <v>10251.07484</v>
      </c>
      <c r="F132" s="248">
        <f t="shared" si="37"/>
        <v>10251.07484</v>
      </c>
      <c r="G132" s="248">
        <f t="shared" si="37"/>
        <v>10251.07484</v>
      </c>
      <c r="H132" s="248">
        <f t="shared" si="37"/>
        <v>10251.07484</v>
      </c>
      <c r="I132" s="248">
        <f t="shared" si="37"/>
        <v>10251.07484</v>
      </c>
      <c r="J132" s="248">
        <f t="shared" si="37"/>
        <v>3929.345861</v>
      </c>
      <c r="K132" s="248">
        <f t="shared" si="37"/>
        <v>13568.87356</v>
      </c>
      <c r="L132" s="248">
        <f t="shared" si="37"/>
        <v>11636.44531</v>
      </c>
      <c r="M132" s="248">
        <f t="shared" si="37"/>
        <v>8810.927371</v>
      </c>
      <c r="N132" s="248">
        <f t="shared" si="37"/>
        <v>12538.25062</v>
      </c>
    </row>
    <row r="133" outlineLevel="1">
      <c r="A133" s="363" t="s">
        <v>324</v>
      </c>
      <c r="B133" s="364">
        <f t="shared" ref="B133:N133" si="38">sum(B128:B132)</f>
        <v>164396.8125</v>
      </c>
      <c r="C133" s="364">
        <f t="shared" si="38"/>
        <v>249079.7376</v>
      </c>
      <c r="D133" s="364">
        <f t="shared" si="38"/>
        <v>249079.7376</v>
      </c>
      <c r="E133" s="364">
        <f t="shared" si="38"/>
        <v>249079.7376</v>
      </c>
      <c r="F133" s="364">
        <f t="shared" si="38"/>
        <v>249079.7376</v>
      </c>
      <c r="G133" s="364">
        <f t="shared" si="38"/>
        <v>249079.7376</v>
      </c>
      <c r="H133" s="364">
        <f t="shared" si="38"/>
        <v>249079.7376</v>
      </c>
      <c r="I133" s="364">
        <f t="shared" si="38"/>
        <v>249079.7376</v>
      </c>
      <c r="J133" s="364">
        <f t="shared" si="38"/>
        <v>148470.4792</v>
      </c>
      <c r="K133" s="364">
        <f t="shared" si="38"/>
        <v>164354.8513</v>
      </c>
      <c r="L133" s="364">
        <f t="shared" si="38"/>
        <v>159480.6401</v>
      </c>
      <c r="M133" s="364">
        <f t="shared" si="38"/>
        <v>160752.1388</v>
      </c>
      <c r="N133" s="364">
        <f t="shared" si="38"/>
        <v>169663.6007</v>
      </c>
    </row>
    <row r="134" outlineLevel="1">
      <c r="A134" s="195"/>
      <c r="B134" s="326"/>
      <c r="C134" s="326"/>
      <c r="D134" s="326"/>
      <c r="E134" s="326"/>
      <c r="F134" s="326"/>
      <c r="G134" s="326"/>
      <c r="H134" s="326"/>
      <c r="I134" s="326"/>
      <c r="J134" s="355"/>
      <c r="K134" s="326"/>
      <c r="L134" s="326"/>
      <c r="M134" s="326"/>
      <c r="N134" s="326"/>
    </row>
    <row r="135" outlineLevel="1">
      <c r="A135" s="362" t="s">
        <v>325</v>
      </c>
      <c r="B135" s="326"/>
      <c r="C135" s="326"/>
      <c r="D135" s="326"/>
      <c r="E135" s="326"/>
      <c r="F135" s="326"/>
      <c r="G135" s="326"/>
      <c r="H135" s="326"/>
      <c r="I135" s="326"/>
      <c r="J135" s="355"/>
      <c r="K135" s="326"/>
      <c r="L135" s="326"/>
      <c r="M135" s="326"/>
      <c r="N135" s="326"/>
    </row>
    <row r="136" outlineLevel="1">
      <c r="A136" s="195" t="s">
        <v>326</v>
      </c>
      <c r="B136" s="101">
        <f t="shared" ref="B136:N136" si="39">sum(B128:B129,B130)</f>
        <v>105484.9188</v>
      </c>
      <c r="C136" s="101">
        <f t="shared" si="39"/>
        <v>164104.749</v>
      </c>
      <c r="D136" s="101">
        <f t="shared" si="39"/>
        <v>164104.749</v>
      </c>
      <c r="E136" s="101">
        <f t="shared" si="39"/>
        <v>164104.749</v>
      </c>
      <c r="F136" s="101">
        <f t="shared" si="39"/>
        <v>164104.749</v>
      </c>
      <c r="G136" s="101">
        <f t="shared" si="39"/>
        <v>164104.749</v>
      </c>
      <c r="H136" s="101">
        <f t="shared" si="39"/>
        <v>164104.749</v>
      </c>
      <c r="I136" s="101">
        <f t="shared" si="39"/>
        <v>164104.749</v>
      </c>
      <c r="J136" s="101">
        <f t="shared" si="39"/>
        <v>100000</v>
      </c>
      <c r="K136" s="101">
        <f t="shared" si="39"/>
        <v>101479.5059</v>
      </c>
      <c r="L136" s="101">
        <f t="shared" si="39"/>
        <v>100000</v>
      </c>
      <c r="M136" s="101">
        <f t="shared" si="39"/>
        <v>103715.5695</v>
      </c>
      <c r="N136" s="101">
        <f t="shared" si="39"/>
        <v>106226.2699</v>
      </c>
    </row>
    <row r="137" outlineLevel="1">
      <c r="A137" s="195" t="s">
        <v>327</v>
      </c>
      <c r="B137" s="101">
        <f t="shared" ref="B137:N137" si="40">sum(B132,B131)</f>
        <v>58911.89367</v>
      </c>
      <c r="C137" s="101">
        <f t="shared" si="40"/>
        <v>84974.98866</v>
      </c>
      <c r="D137" s="101">
        <f t="shared" si="40"/>
        <v>84974.98866</v>
      </c>
      <c r="E137" s="101">
        <f t="shared" si="40"/>
        <v>84974.98866</v>
      </c>
      <c r="F137" s="101">
        <f t="shared" si="40"/>
        <v>84974.98866</v>
      </c>
      <c r="G137" s="101">
        <f t="shared" si="40"/>
        <v>84974.98866</v>
      </c>
      <c r="H137" s="101">
        <f t="shared" si="40"/>
        <v>84974.98866</v>
      </c>
      <c r="I137" s="101">
        <f t="shared" si="40"/>
        <v>84974.98866</v>
      </c>
      <c r="J137" s="101">
        <f t="shared" si="40"/>
        <v>48470.47924</v>
      </c>
      <c r="K137" s="101">
        <f t="shared" si="40"/>
        <v>62875.34539</v>
      </c>
      <c r="L137" s="101">
        <f t="shared" si="40"/>
        <v>59480.64008</v>
      </c>
      <c r="M137" s="101">
        <f t="shared" si="40"/>
        <v>57036.56932</v>
      </c>
      <c r="N137" s="101">
        <f t="shared" si="40"/>
        <v>63437.33081</v>
      </c>
    </row>
    <row r="138" outlineLevel="1">
      <c r="A138" s="195"/>
      <c r="B138" s="151"/>
      <c r="C138" s="151"/>
      <c r="D138" s="151"/>
      <c r="E138" s="151"/>
      <c r="F138" s="151"/>
      <c r="G138" s="151"/>
      <c r="H138" s="151"/>
      <c r="I138" s="151"/>
      <c r="J138" s="151"/>
      <c r="K138" s="151"/>
      <c r="L138" s="151"/>
      <c r="M138" s="151"/>
      <c r="N138" s="151"/>
    </row>
    <row r="139" outlineLevel="1">
      <c r="A139" s="365" t="s">
        <v>328</v>
      </c>
      <c r="B139" s="142"/>
      <c r="C139" s="142"/>
      <c r="D139" s="142"/>
      <c r="E139" s="142"/>
      <c r="F139" s="142"/>
      <c r="G139" s="142"/>
      <c r="H139" s="142"/>
      <c r="I139" s="142"/>
      <c r="J139" s="142"/>
      <c r="K139" s="142"/>
      <c r="L139" s="142"/>
      <c r="M139" s="142"/>
      <c r="N139" s="142"/>
    </row>
    <row r="140" outlineLevel="1">
      <c r="A140" s="356" t="s">
        <v>329</v>
      </c>
      <c r="B140" s="366">
        <f>'Value of counterfactual spendin'!$B$41</f>
        <v>0.003578712176</v>
      </c>
      <c r="C140" s="366">
        <f>'Value of counterfactual spendin'!$B$41</f>
        <v>0.003578712176</v>
      </c>
      <c r="D140" s="366">
        <f>'Value of counterfactual spendin'!$B$41</f>
        <v>0.003578712176</v>
      </c>
      <c r="E140" s="366">
        <f>'Value of counterfactual spendin'!$B$41</f>
        <v>0.003578712176</v>
      </c>
      <c r="F140" s="366">
        <f>'Value of counterfactual spendin'!$B$41</f>
        <v>0.003578712176</v>
      </c>
      <c r="G140" s="366">
        <f>'Value of counterfactual spendin'!$B$41</f>
        <v>0.003578712176</v>
      </c>
      <c r="H140" s="366">
        <f>'Value of counterfactual spendin'!$B$41</f>
        <v>0.003578712176</v>
      </c>
      <c r="I140" s="366">
        <f>'Value of counterfactual spendin'!$B$41</f>
        <v>0.003578712176</v>
      </c>
      <c r="J140" s="366">
        <f>'Value of counterfactual spendin'!$B$41</f>
        <v>0.003578712176</v>
      </c>
      <c r="K140" s="366">
        <f>'Value of counterfactual spendin'!$B$41</f>
        <v>0.003578712176</v>
      </c>
      <c r="L140" s="366">
        <f>'Value of counterfactual spendin'!$B$41</f>
        <v>0.003578712176</v>
      </c>
      <c r="M140" s="366">
        <f>'Value of counterfactual spendin'!$B$41</f>
        <v>0.003578712176</v>
      </c>
      <c r="N140" s="366">
        <f>'Value of counterfactual spendin'!$B$41</f>
        <v>0.003578712176</v>
      </c>
    </row>
    <row r="141" outlineLevel="1">
      <c r="A141" s="356" t="s">
        <v>330</v>
      </c>
      <c r="B141" s="366">
        <f>'Value of counterfactual spendin'!$B$41</f>
        <v>0.003578712176</v>
      </c>
      <c r="C141" s="366">
        <f>'Value of counterfactual spendin'!$B$41</f>
        <v>0.003578712176</v>
      </c>
      <c r="D141" s="366">
        <f>'Value of counterfactual spendin'!$B$41</f>
        <v>0.003578712176</v>
      </c>
      <c r="E141" s="366">
        <f>'Value of counterfactual spendin'!$B$41</f>
        <v>0.003578712176</v>
      </c>
      <c r="F141" s="366">
        <f>'Value of counterfactual spendin'!$B$41</f>
        <v>0.003578712176</v>
      </c>
      <c r="G141" s="366">
        <f>'Value of counterfactual spendin'!$B$41</f>
        <v>0.003578712176</v>
      </c>
      <c r="H141" s="366">
        <f>'Value of counterfactual spendin'!$B$41</f>
        <v>0.003578712176</v>
      </c>
      <c r="I141" s="366">
        <f>'Value of counterfactual spendin'!$B$41</f>
        <v>0.003578712176</v>
      </c>
      <c r="J141" s="366">
        <f>'Value of counterfactual spendin'!$B$41</f>
        <v>0.003578712176</v>
      </c>
      <c r="K141" s="366">
        <f>'Value of counterfactual spendin'!$B$41</f>
        <v>0.003578712176</v>
      </c>
      <c r="L141" s="366">
        <f>'Value of counterfactual spendin'!$B$41</f>
        <v>0.003578712176</v>
      </c>
      <c r="M141" s="366">
        <f>'Value of counterfactual spendin'!$B$41</f>
        <v>0.003578712176</v>
      </c>
      <c r="N141" s="366">
        <f>'Value of counterfactual spendin'!$B$41</f>
        <v>0.003578712176</v>
      </c>
    </row>
    <row r="142" outlineLevel="1">
      <c r="A142" s="142" t="s">
        <v>331</v>
      </c>
      <c r="B142" s="322">
        <f>'Value of counterfactual spendin'!$B$43</f>
        <v>0.003931830274</v>
      </c>
      <c r="C142" s="322">
        <f>'Value of counterfactual spendin'!$B$43</f>
        <v>0.003931830274</v>
      </c>
      <c r="D142" s="322">
        <f>'Value of counterfactual spendin'!$B$43</f>
        <v>0.003931830274</v>
      </c>
      <c r="E142" s="322">
        <f>'Value of counterfactual spendin'!$B$43</f>
        <v>0.003931830274</v>
      </c>
      <c r="F142" s="322">
        <f>'Value of counterfactual spendin'!$B$43</f>
        <v>0.003931830274</v>
      </c>
      <c r="G142" s="322">
        <f>'Value of counterfactual spendin'!$B$43</f>
        <v>0.003931830274</v>
      </c>
      <c r="H142" s="322">
        <f>'Value of counterfactual spendin'!$B$43</f>
        <v>0.003931830274</v>
      </c>
      <c r="I142" s="322">
        <f>'Value of counterfactual spendin'!$B$43</f>
        <v>0.003931830274</v>
      </c>
      <c r="J142" s="322">
        <f>'Value of counterfactual spendin'!$B$43</f>
        <v>0.003931830274</v>
      </c>
      <c r="K142" s="322">
        <f>'Value of counterfactual spendin'!$B$43</f>
        <v>0.003931830274</v>
      </c>
      <c r="L142" s="322">
        <f>'Value of counterfactual spendin'!$B$43</f>
        <v>0.003931830274</v>
      </c>
      <c r="M142" s="322">
        <f>'Value of counterfactual spendin'!$B$43</f>
        <v>0.003931830274</v>
      </c>
      <c r="N142" s="322">
        <f>'Value of counterfactual spendin'!$B$43</f>
        <v>0.003931830274</v>
      </c>
    </row>
    <row r="143" outlineLevel="1">
      <c r="A143" s="142"/>
      <c r="B143" s="242"/>
      <c r="C143" s="242"/>
      <c r="D143" s="242"/>
      <c r="E143" s="242"/>
      <c r="F143" s="242"/>
      <c r="G143" s="242"/>
      <c r="H143" s="242"/>
      <c r="I143" s="242"/>
      <c r="J143" s="242"/>
      <c r="K143" s="242"/>
      <c r="L143" s="242"/>
      <c r="M143" s="242"/>
      <c r="N143" s="242"/>
    </row>
    <row r="144" outlineLevel="1">
      <c r="A144" s="365" t="s">
        <v>332</v>
      </c>
      <c r="B144" s="242"/>
      <c r="C144" s="242"/>
      <c r="D144" s="242"/>
      <c r="E144" s="242"/>
      <c r="F144" s="242"/>
      <c r="G144" s="242"/>
      <c r="H144" s="242"/>
      <c r="I144" s="242"/>
      <c r="J144" s="242"/>
      <c r="K144" s="242"/>
      <c r="L144" s="242"/>
      <c r="M144" s="242"/>
      <c r="N144" s="242"/>
    </row>
    <row r="145" outlineLevel="1">
      <c r="A145" s="367" t="s">
        <v>217</v>
      </c>
      <c r="B145" s="127">
        <v>0.2</v>
      </c>
      <c r="C145" s="127">
        <v>0.2</v>
      </c>
      <c r="D145" s="127">
        <v>0.2</v>
      </c>
      <c r="E145" s="127">
        <v>0.2</v>
      </c>
      <c r="F145" s="127">
        <v>0.2</v>
      </c>
      <c r="G145" s="127">
        <v>0.2</v>
      </c>
      <c r="H145" s="127">
        <v>0.2</v>
      </c>
      <c r="I145" s="127">
        <v>0.2</v>
      </c>
      <c r="J145" s="127">
        <v>0.2</v>
      </c>
      <c r="K145" s="127">
        <v>0.2</v>
      </c>
      <c r="L145" s="127">
        <v>0.2</v>
      </c>
      <c r="M145" s="127">
        <v>0.2</v>
      </c>
      <c r="N145" s="127">
        <v>0.2</v>
      </c>
    </row>
    <row r="146" outlineLevel="1">
      <c r="A146" s="367" t="s">
        <v>333</v>
      </c>
      <c r="B146" s="127">
        <v>0.0</v>
      </c>
      <c r="C146" s="127">
        <v>0.0</v>
      </c>
      <c r="D146" s="127">
        <v>0.0</v>
      </c>
      <c r="E146" s="127">
        <v>0.0</v>
      </c>
      <c r="F146" s="127">
        <v>0.0</v>
      </c>
      <c r="G146" s="127">
        <v>0.0</v>
      </c>
      <c r="H146" s="127">
        <v>0.0</v>
      </c>
      <c r="I146" s="127">
        <v>0.0</v>
      </c>
      <c r="J146" s="127">
        <v>0.0</v>
      </c>
      <c r="K146" s="127">
        <v>0.0</v>
      </c>
      <c r="L146" s="127">
        <v>0.0</v>
      </c>
      <c r="M146" s="127">
        <v>0.0</v>
      </c>
      <c r="N146" s="127">
        <v>0.0</v>
      </c>
    </row>
    <row r="147" outlineLevel="1">
      <c r="A147" s="367" t="s">
        <v>220</v>
      </c>
      <c r="B147" s="127">
        <v>0.8</v>
      </c>
      <c r="C147" s="127">
        <v>0.8</v>
      </c>
      <c r="D147" s="127">
        <v>0.8</v>
      </c>
      <c r="E147" s="127">
        <v>0.8</v>
      </c>
      <c r="F147" s="127">
        <v>0.8</v>
      </c>
      <c r="G147" s="127">
        <v>0.8</v>
      </c>
      <c r="H147" s="127">
        <v>0.8</v>
      </c>
      <c r="I147" s="127">
        <v>0.8</v>
      </c>
      <c r="J147" s="127">
        <v>0.8</v>
      </c>
      <c r="K147" s="127">
        <v>0.8</v>
      </c>
      <c r="L147" s="127">
        <v>0.8</v>
      </c>
      <c r="M147" s="127">
        <v>0.8</v>
      </c>
      <c r="N147" s="127">
        <v>0.8</v>
      </c>
    </row>
    <row r="148" outlineLevel="1">
      <c r="A148" s="142"/>
      <c r="B148" s="242"/>
      <c r="C148" s="242"/>
      <c r="D148" s="242"/>
      <c r="E148" s="242"/>
      <c r="F148" s="242"/>
      <c r="G148" s="242"/>
      <c r="H148" s="242"/>
      <c r="I148" s="242"/>
      <c r="J148" s="242"/>
      <c r="K148" s="242"/>
      <c r="L148" s="242"/>
      <c r="M148" s="242"/>
      <c r="N148" s="242"/>
    </row>
    <row r="149" outlineLevel="1">
      <c r="A149" s="233" t="s">
        <v>334</v>
      </c>
      <c r="B149" s="242"/>
      <c r="C149" s="242"/>
      <c r="D149" s="242"/>
      <c r="E149" s="242"/>
      <c r="F149" s="242"/>
      <c r="G149" s="242"/>
      <c r="H149" s="242"/>
      <c r="I149" s="242"/>
      <c r="J149" s="242"/>
      <c r="K149" s="242"/>
      <c r="L149" s="242"/>
      <c r="M149" s="242"/>
      <c r="N149" s="242"/>
    </row>
    <row r="150" outlineLevel="1">
      <c r="A150" s="367" t="s">
        <v>217</v>
      </c>
      <c r="B150" s="124">
        <f t="shared" ref="B150:N150" si="41">1</f>
        <v>1</v>
      </c>
      <c r="C150" s="124">
        <f t="shared" si="41"/>
        <v>1</v>
      </c>
      <c r="D150" s="124">
        <f t="shared" si="41"/>
        <v>1</v>
      </c>
      <c r="E150" s="124">
        <f t="shared" si="41"/>
        <v>1</v>
      </c>
      <c r="F150" s="124">
        <f t="shared" si="41"/>
        <v>1</v>
      </c>
      <c r="G150" s="124">
        <f t="shared" si="41"/>
        <v>1</v>
      </c>
      <c r="H150" s="124">
        <f t="shared" si="41"/>
        <v>1</v>
      </c>
      <c r="I150" s="124">
        <f t="shared" si="41"/>
        <v>1</v>
      </c>
      <c r="J150" s="124">
        <f t="shared" si="41"/>
        <v>1</v>
      </c>
      <c r="K150" s="124">
        <f t="shared" si="41"/>
        <v>1</v>
      </c>
      <c r="L150" s="124">
        <f t="shared" si="41"/>
        <v>1</v>
      </c>
      <c r="M150" s="124">
        <f t="shared" si="41"/>
        <v>1</v>
      </c>
      <c r="N150" s="124">
        <f t="shared" si="41"/>
        <v>1</v>
      </c>
    </row>
    <row r="151" outlineLevel="1">
      <c r="A151" s="367" t="s">
        <v>333</v>
      </c>
      <c r="B151" s="368">
        <f t="shared" ref="B151:N151" si="42">B130/B136</f>
        <v>0.01550226432</v>
      </c>
      <c r="C151" s="368">
        <f t="shared" si="42"/>
        <v>0</v>
      </c>
      <c r="D151" s="368">
        <f t="shared" si="42"/>
        <v>0</v>
      </c>
      <c r="E151" s="368">
        <f t="shared" si="42"/>
        <v>0</v>
      </c>
      <c r="F151" s="368">
        <f t="shared" si="42"/>
        <v>0</v>
      </c>
      <c r="G151" s="368">
        <f t="shared" si="42"/>
        <v>0</v>
      </c>
      <c r="H151" s="368">
        <f t="shared" si="42"/>
        <v>0</v>
      </c>
      <c r="I151" s="368">
        <f t="shared" si="42"/>
        <v>0</v>
      </c>
      <c r="J151" s="368">
        <f t="shared" si="42"/>
        <v>0</v>
      </c>
      <c r="K151" s="368">
        <f t="shared" si="42"/>
        <v>0</v>
      </c>
      <c r="L151" s="368">
        <f t="shared" si="42"/>
        <v>0</v>
      </c>
      <c r="M151" s="368">
        <f t="shared" si="42"/>
        <v>0</v>
      </c>
      <c r="N151" s="368">
        <f t="shared" si="42"/>
        <v>0.002408509356</v>
      </c>
    </row>
    <row r="152" outlineLevel="1">
      <c r="A152" s="367" t="s">
        <v>220</v>
      </c>
      <c r="B152" s="124">
        <v>0.0</v>
      </c>
      <c r="C152" s="124">
        <v>0.0</v>
      </c>
      <c r="D152" s="124">
        <v>0.0</v>
      </c>
      <c r="E152" s="124">
        <v>0.0</v>
      </c>
      <c r="F152" s="124">
        <v>0.0</v>
      </c>
      <c r="G152" s="124">
        <v>0.0</v>
      </c>
      <c r="H152" s="124">
        <v>0.0</v>
      </c>
      <c r="I152" s="124">
        <v>0.0</v>
      </c>
      <c r="J152" s="124">
        <v>0.0</v>
      </c>
      <c r="K152" s="124">
        <v>0.0</v>
      </c>
      <c r="L152" s="124">
        <v>0.0</v>
      </c>
      <c r="M152" s="124">
        <v>0.0</v>
      </c>
      <c r="N152" s="124">
        <v>0.0</v>
      </c>
    </row>
    <row r="153" outlineLevel="1">
      <c r="A153" s="151"/>
      <c r="B153" s="242"/>
      <c r="C153" s="242"/>
      <c r="D153" s="242"/>
      <c r="E153" s="242"/>
      <c r="F153" s="242"/>
      <c r="G153" s="242"/>
      <c r="H153" s="242"/>
      <c r="I153" s="242"/>
      <c r="J153" s="242"/>
      <c r="K153" s="242"/>
      <c r="L153" s="242"/>
      <c r="M153" s="242"/>
      <c r="N153" s="242"/>
    </row>
    <row r="154" outlineLevel="1">
      <c r="A154" s="369" t="s">
        <v>335</v>
      </c>
      <c r="B154" s="242"/>
      <c r="C154" s="242"/>
      <c r="D154" s="242"/>
      <c r="E154" s="242"/>
      <c r="F154" s="242"/>
      <c r="G154" s="242"/>
      <c r="H154" s="242"/>
      <c r="I154" s="242"/>
      <c r="J154" s="242"/>
      <c r="K154" s="242"/>
      <c r="L154" s="242"/>
      <c r="M154" s="242"/>
      <c r="N154" s="242"/>
    </row>
    <row r="155" outlineLevel="1">
      <c r="A155" s="356" t="s">
        <v>217</v>
      </c>
      <c r="B155" s="151"/>
      <c r="C155" s="151"/>
      <c r="D155" s="151"/>
      <c r="E155" s="151"/>
      <c r="F155" s="151"/>
      <c r="G155" s="151"/>
      <c r="H155" s="151"/>
      <c r="I155" s="151"/>
      <c r="J155" s="151"/>
      <c r="K155" s="151"/>
      <c r="L155" s="151"/>
      <c r="M155" s="151"/>
      <c r="N155" s="151"/>
    </row>
    <row r="156" outlineLevel="1">
      <c r="A156" s="142" t="s">
        <v>336</v>
      </c>
      <c r="B156" s="95">
        <f t="shared" ref="B156:N156" si="43">sum(B128:B129)</f>
        <v>103849.6637</v>
      </c>
      <c r="C156" s="95">
        <f t="shared" si="43"/>
        <v>164104.749</v>
      </c>
      <c r="D156" s="95">
        <f t="shared" si="43"/>
        <v>164104.749</v>
      </c>
      <c r="E156" s="95">
        <f t="shared" si="43"/>
        <v>164104.749</v>
      </c>
      <c r="F156" s="95">
        <f t="shared" si="43"/>
        <v>164104.749</v>
      </c>
      <c r="G156" s="95">
        <f t="shared" si="43"/>
        <v>164104.749</v>
      </c>
      <c r="H156" s="95">
        <f t="shared" si="43"/>
        <v>164104.749</v>
      </c>
      <c r="I156" s="95">
        <f t="shared" si="43"/>
        <v>164104.749</v>
      </c>
      <c r="J156" s="95">
        <f t="shared" si="43"/>
        <v>100000</v>
      </c>
      <c r="K156" s="95">
        <f t="shared" si="43"/>
        <v>101479.5059</v>
      </c>
      <c r="L156" s="95">
        <f t="shared" si="43"/>
        <v>100000</v>
      </c>
      <c r="M156" s="95">
        <f t="shared" si="43"/>
        <v>103715.5695</v>
      </c>
      <c r="N156" s="95">
        <f t="shared" si="43"/>
        <v>105970.4229</v>
      </c>
    </row>
    <row r="157" outlineLevel="1">
      <c r="A157" s="356" t="s">
        <v>337</v>
      </c>
      <c r="B157" s="370">
        <v>0.0</v>
      </c>
      <c r="C157" s="370">
        <v>0.0</v>
      </c>
      <c r="D157" s="370">
        <v>0.0</v>
      </c>
      <c r="E157" s="370">
        <v>0.0</v>
      </c>
      <c r="F157" s="370">
        <v>0.0</v>
      </c>
      <c r="G157" s="370">
        <v>0.0</v>
      </c>
      <c r="H157" s="370">
        <v>0.0</v>
      </c>
      <c r="I157" s="370">
        <v>0.0</v>
      </c>
      <c r="J157" s="370">
        <v>0.0</v>
      </c>
      <c r="K157" s="370">
        <v>0.0</v>
      </c>
      <c r="L157" s="370">
        <v>0.0</v>
      </c>
      <c r="M157" s="370">
        <v>0.0</v>
      </c>
      <c r="N157" s="370">
        <v>0.0</v>
      </c>
    </row>
    <row r="158" outlineLevel="1">
      <c r="A158" s="142" t="s">
        <v>338</v>
      </c>
      <c r="B158" s="370">
        <v>0.0</v>
      </c>
      <c r="C158" s="370">
        <v>0.0</v>
      </c>
      <c r="D158" s="370">
        <v>0.0</v>
      </c>
      <c r="E158" s="370">
        <v>0.0</v>
      </c>
      <c r="F158" s="370">
        <v>0.0</v>
      </c>
      <c r="G158" s="370">
        <v>0.0</v>
      </c>
      <c r="H158" s="370">
        <v>0.0</v>
      </c>
      <c r="I158" s="370">
        <v>0.0</v>
      </c>
      <c r="J158" s="370">
        <v>0.0</v>
      </c>
      <c r="K158" s="370">
        <v>0.0</v>
      </c>
      <c r="L158" s="370">
        <v>0.0</v>
      </c>
      <c r="M158" s="370">
        <v>0.0</v>
      </c>
      <c r="N158" s="370">
        <v>0.0</v>
      </c>
    </row>
    <row r="159" outlineLevel="1">
      <c r="A159" s="142"/>
      <c r="B159" s="84"/>
      <c r="C159" s="84"/>
      <c r="D159" s="84"/>
      <c r="E159" s="84"/>
      <c r="F159" s="84"/>
      <c r="G159" s="84"/>
      <c r="H159" s="84"/>
      <c r="I159" s="84"/>
      <c r="J159" s="84"/>
      <c r="K159" s="84"/>
      <c r="L159" s="84"/>
      <c r="M159" s="84"/>
      <c r="N159" s="84"/>
    </row>
    <row r="160" outlineLevel="1">
      <c r="A160" s="356" t="s">
        <v>333</v>
      </c>
      <c r="B160" s="242"/>
      <c r="C160" s="242"/>
      <c r="D160" s="242"/>
      <c r="E160" s="242"/>
      <c r="F160" s="242"/>
      <c r="G160" s="242"/>
      <c r="H160" s="242"/>
      <c r="I160" s="242"/>
      <c r="J160" s="242"/>
      <c r="K160" s="242"/>
      <c r="L160" s="242"/>
      <c r="M160" s="242"/>
      <c r="N160" s="242"/>
    </row>
    <row r="161" outlineLevel="1">
      <c r="A161" s="142" t="s">
        <v>336</v>
      </c>
      <c r="B161" s="370">
        <v>0.0</v>
      </c>
      <c r="C161" s="370">
        <v>0.0</v>
      </c>
      <c r="D161" s="370">
        <v>0.0</v>
      </c>
      <c r="E161" s="370">
        <v>0.0</v>
      </c>
      <c r="F161" s="370">
        <v>0.0</v>
      </c>
      <c r="G161" s="370">
        <v>0.0</v>
      </c>
      <c r="H161" s="370">
        <v>0.0</v>
      </c>
      <c r="I161" s="370">
        <v>0.0</v>
      </c>
      <c r="J161" s="370">
        <v>0.0</v>
      </c>
      <c r="K161" s="370">
        <v>0.0</v>
      </c>
      <c r="L161" s="370">
        <v>0.0</v>
      </c>
      <c r="M161" s="370">
        <v>0.0</v>
      </c>
      <c r="N161" s="370">
        <v>0.0</v>
      </c>
    </row>
    <row r="162" outlineLevel="1">
      <c r="A162" s="356" t="s">
        <v>337</v>
      </c>
      <c r="B162" s="248">
        <f t="shared" ref="B162:N162" si="44">(B131-B151*B131)*-1</f>
        <v>-48554.48689</v>
      </c>
      <c r="C162" s="248">
        <f t="shared" si="44"/>
        <v>-74723.91382</v>
      </c>
      <c r="D162" s="248">
        <f t="shared" si="44"/>
        <v>-74723.91382</v>
      </c>
      <c r="E162" s="248">
        <f t="shared" si="44"/>
        <v>-74723.91382</v>
      </c>
      <c r="F162" s="248">
        <f t="shared" si="44"/>
        <v>-74723.91382</v>
      </c>
      <c r="G162" s="248">
        <f t="shared" si="44"/>
        <v>-74723.91382</v>
      </c>
      <c r="H162" s="248">
        <f t="shared" si="44"/>
        <v>-74723.91382</v>
      </c>
      <c r="I162" s="248">
        <f t="shared" si="44"/>
        <v>-74723.91382</v>
      </c>
      <c r="J162" s="248">
        <f t="shared" si="44"/>
        <v>-44541.13338</v>
      </c>
      <c r="K162" s="248">
        <f t="shared" si="44"/>
        <v>-49306.47183</v>
      </c>
      <c r="L162" s="248">
        <f t="shared" si="44"/>
        <v>-47844.19477</v>
      </c>
      <c r="M162" s="248">
        <f t="shared" si="44"/>
        <v>-48225.64195</v>
      </c>
      <c r="N162" s="248">
        <f t="shared" si="44"/>
        <v>-50776.48929</v>
      </c>
    </row>
    <row r="163" outlineLevel="1">
      <c r="A163" s="142" t="s">
        <v>338</v>
      </c>
      <c r="B163" s="95">
        <f t="shared" ref="B163:N163" si="45">(B132-B151*B132)*-1</f>
        <v>-9444.139027</v>
      </c>
      <c r="C163" s="95">
        <f t="shared" si="45"/>
        <v>-10251.07484</v>
      </c>
      <c r="D163" s="95">
        <f t="shared" si="45"/>
        <v>-10251.07484</v>
      </c>
      <c r="E163" s="95">
        <f t="shared" si="45"/>
        <v>-10251.07484</v>
      </c>
      <c r="F163" s="95">
        <f t="shared" si="45"/>
        <v>-10251.07484</v>
      </c>
      <c r="G163" s="95">
        <f t="shared" si="45"/>
        <v>-10251.07484</v>
      </c>
      <c r="H163" s="95">
        <f t="shared" si="45"/>
        <v>-10251.07484</v>
      </c>
      <c r="I163" s="95">
        <f t="shared" si="45"/>
        <v>-10251.07484</v>
      </c>
      <c r="J163" s="95">
        <f t="shared" si="45"/>
        <v>-3929.345861</v>
      </c>
      <c r="K163" s="95">
        <f t="shared" si="45"/>
        <v>-13568.87356</v>
      </c>
      <c r="L163" s="95">
        <f t="shared" si="45"/>
        <v>-11636.44531</v>
      </c>
      <c r="M163" s="95">
        <f t="shared" si="45"/>
        <v>-8810.927371</v>
      </c>
      <c r="N163" s="95">
        <f t="shared" si="45"/>
        <v>-12508.05212</v>
      </c>
    </row>
    <row r="164" outlineLevel="1">
      <c r="A164" s="142"/>
      <c r="B164" s="84"/>
      <c r="C164" s="84"/>
      <c r="D164" s="84"/>
      <c r="E164" s="84"/>
      <c r="F164" s="84"/>
      <c r="G164" s="84"/>
      <c r="H164" s="84"/>
      <c r="I164" s="84"/>
      <c r="J164" s="84"/>
      <c r="K164" s="84"/>
      <c r="L164" s="84"/>
      <c r="M164" s="84"/>
      <c r="N164" s="84"/>
    </row>
    <row r="165" outlineLevel="1">
      <c r="A165" s="356" t="s">
        <v>220</v>
      </c>
      <c r="B165" s="84"/>
      <c r="C165" s="84"/>
      <c r="D165" s="84"/>
      <c r="E165" s="84"/>
      <c r="F165" s="84"/>
      <c r="G165" s="84"/>
      <c r="H165" s="84"/>
      <c r="I165" s="84"/>
      <c r="J165" s="84"/>
      <c r="K165" s="84"/>
      <c r="L165" s="84"/>
      <c r="M165" s="84"/>
      <c r="N165" s="84"/>
    </row>
    <row r="166" outlineLevel="1">
      <c r="A166" s="142" t="s">
        <v>336</v>
      </c>
      <c r="B166" s="101">
        <f t="shared" ref="B166:N166" si="46">-B130</f>
        <v>-1635.255094</v>
      </c>
      <c r="C166" s="101">
        <f t="shared" si="46"/>
        <v>0</v>
      </c>
      <c r="D166" s="101">
        <f t="shared" si="46"/>
        <v>0</v>
      </c>
      <c r="E166" s="101">
        <f t="shared" si="46"/>
        <v>0</v>
      </c>
      <c r="F166" s="101">
        <f t="shared" si="46"/>
        <v>0</v>
      </c>
      <c r="G166" s="101">
        <f t="shared" si="46"/>
        <v>0</v>
      </c>
      <c r="H166" s="101">
        <f t="shared" si="46"/>
        <v>0</v>
      </c>
      <c r="I166" s="101">
        <f t="shared" si="46"/>
        <v>0</v>
      </c>
      <c r="J166" s="101">
        <f t="shared" si="46"/>
        <v>0</v>
      </c>
      <c r="K166" s="101">
        <f t="shared" si="46"/>
        <v>0</v>
      </c>
      <c r="L166" s="101">
        <f t="shared" si="46"/>
        <v>0</v>
      </c>
      <c r="M166" s="101">
        <f t="shared" si="46"/>
        <v>0</v>
      </c>
      <c r="N166" s="101">
        <f t="shared" si="46"/>
        <v>-255.8469648</v>
      </c>
    </row>
    <row r="167" outlineLevel="1">
      <c r="A167" s="356" t="s">
        <v>337</v>
      </c>
      <c r="B167" s="101">
        <f t="shared" ref="B167:N167" si="47">-B131</f>
        <v>-49319.04374</v>
      </c>
      <c r="C167" s="101">
        <f t="shared" si="47"/>
        <v>-74723.91382</v>
      </c>
      <c r="D167" s="101">
        <f t="shared" si="47"/>
        <v>-74723.91382</v>
      </c>
      <c r="E167" s="101">
        <f t="shared" si="47"/>
        <v>-74723.91382</v>
      </c>
      <c r="F167" s="101">
        <f t="shared" si="47"/>
        <v>-74723.91382</v>
      </c>
      <c r="G167" s="101">
        <f t="shared" si="47"/>
        <v>-74723.91382</v>
      </c>
      <c r="H167" s="101">
        <f t="shared" si="47"/>
        <v>-74723.91382</v>
      </c>
      <c r="I167" s="101">
        <f t="shared" si="47"/>
        <v>-74723.91382</v>
      </c>
      <c r="J167" s="101">
        <f t="shared" si="47"/>
        <v>-44541.13338</v>
      </c>
      <c r="K167" s="101">
        <f t="shared" si="47"/>
        <v>-49306.47183</v>
      </c>
      <c r="L167" s="101">
        <f t="shared" si="47"/>
        <v>-47844.19477</v>
      </c>
      <c r="M167" s="101">
        <f t="shared" si="47"/>
        <v>-48225.64195</v>
      </c>
      <c r="N167" s="101">
        <f t="shared" si="47"/>
        <v>-50899.0802</v>
      </c>
    </row>
    <row r="168" outlineLevel="1">
      <c r="A168" s="142" t="s">
        <v>338</v>
      </c>
      <c r="B168" s="101">
        <f t="shared" ref="B168:N168" si="48">-B132</f>
        <v>-9592.849922</v>
      </c>
      <c r="C168" s="101">
        <f t="shared" si="48"/>
        <v>-10251.07484</v>
      </c>
      <c r="D168" s="101">
        <f t="shared" si="48"/>
        <v>-10251.07484</v>
      </c>
      <c r="E168" s="101">
        <f t="shared" si="48"/>
        <v>-10251.07484</v>
      </c>
      <c r="F168" s="101">
        <f t="shared" si="48"/>
        <v>-10251.07484</v>
      </c>
      <c r="G168" s="101">
        <f t="shared" si="48"/>
        <v>-10251.07484</v>
      </c>
      <c r="H168" s="101">
        <f t="shared" si="48"/>
        <v>-10251.07484</v>
      </c>
      <c r="I168" s="101">
        <f t="shared" si="48"/>
        <v>-10251.07484</v>
      </c>
      <c r="J168" s="101">
        <f t="shared" si="48"/>
        <v>-3929.345861</v>
      </c>
      <c r="K168" s="101">
        <f t="shared" si="48"/>
        <v>-13568.87356</v>
      </c>
      <c r="L168" s="101">
        <f t="shared" si="48"/>
        <v>-11636.44531</v>
      </c>
      <c r="M168" s="101">
        <f t="shared" si="48"/>
        <v>-8810.927371</v>
      </c>
      <c r="N168" s="101">
        <f t="shared" si="48"/>
        <v>-12538.25062</v>
      </c>
    </row>
    <row r="169" outlineLevel="1">
      <c r="A169" s="142"/>
      <c r="B169" s="242"/>
      <c r="C169" s="242"/>
      <c r="D169" s="242"/>
      <c r="E169" s="242"/>
      <c r="F169" s="242"/>
      <c r="G169" s="242"/>
      <c r="H169" s="242"/>
      <c r="I169" s="242"/>
      <c r="J169" s="242"/>
      <c r="K169" s="242"/>
      <c r="L169" s="242"/>
      <c r="M169" s="242"/>
      <c r="N169" s="242"/>
    </row>
    <row r="170" outlineLevel="1">
      <c r="A170" s="371" t="s">
        <v>339</v>
      </c>
      <c r="B170" s="242"/>
      <c r="C170" s="242"/>
      <c r="D170" s="242"/>
      <c r="E170" s="242"/>
      <c r="F170" s="242"/>
      <c r="G170" s="242"/>
      <c r="H170" s="242"/>
      <c r="I170" s="242"/>
      <c r="J170" s="242"/>
      <c r="K170" s="242"/>
      <c r="L170" s="242"/>
      <c r="M170" s="242"/>
      <c r="N170" s="242"/>
    </row>
    <row r="171" outlineLevel="1">
      <c r="A171" s="356" t="s">
        <v>217</v>
      </c>
      <c r="B171" s="84"/>
      <c r="C171" s="84"/>
      <c r="D171" s="84"/>
      <c r="E171" s="84"/>
      <c r="F171" s="84"/>
      <c r="G171" s="84"/>
      <c r="H171" s="84"/>
      <c r="I171" s="84"/>
      <c r="J171" s="84"/>
      <c r="K171" s="84"/>
      <c r="L171" s="84"/>
      <c r="M171" s="84"/>
      <c r="N171" s="84"/>
    </row>
    <row r="172" outlineLevel="1">
      <c r="A172" s="142" t="s">
        <v>336</v>
      </c>
      <c r="B172" s="84">
        <f t="shared" ref="B172:N172" si="49">B156*B$113</f>
        <v>9563.642865</v>
      </c>
      <c r="C172" s="84">
        <f t="shared" si="49"/>
        <v>2284.771838</v>
      </c>
      <c r="D172" s="84">
        <f t="shared" si="49"/>
        <v>826.4051953</v>
      </c>
      <c r="E172" s="84">
        <f t="shared" si="49"/>
        <v>8118.231987</v>
      </c>
      <c r="F172" s="84">
        <f t="shared" si="49"/>
        <v>486.1222142</v>
      </c>
      <c r="G172" s="84">
        <f t="shared" si="49"/>
        <v>3413.934092</v>
      </c>
      <c r="H172" s="84">
        <f t="shared" si="49"/>
        <v>486.1222142</v>
      </c>
      <c r="I172" s="84">
        <f t="shared" si="49"/>
        <v>826.4051953</v>
      </c>
      <c r="J172" s="84">
        <f t="shared" si="49"/>
        <v>2577.377357</v>
      </c>
      <c r="K172" s="84">
        <f t="shared" si="49"/>
        <v>3954.029965</v>
      </c>
      <c r="L172" s="84">
        <f t="shared" si="49"/>
        <v>3755.265623</v>
      </c>
      <c r="M172" s="84">
        <f t="shared" si="49"/>
        <v>3207.089178</v>
      </c>
      <c r="N172" s="84">
        <f t="shared" si="49"/>
        <v>3127.908306</v>
      </c>
    </row>
    <row r="173" outlineLevel="1">
      <c r="A173" s="356" t="s">
        <v>337</v>
      </c>
      <c r="B173" s="84">
        <f t="shared" ref="B173:N173" si="50">B157*B$113</f>
        <v>0</v>
      </c>
      <c r="C173" s="84">
        <f t="shared" si="50"/>
        <v>0</v>
      </c>
      <c r="D173" s="84">
        <f t="shared" si="50"/>
        <v>0</v>
      </c>
      <c r="E173" s="84">
        <f t="shared" si="50"/>
        <v>0</v>
      </c>
      <c r="F173" s="84">
        <f t="shared" si="50"/>
        <v>0</v>
      </c>
      <c r="G173" s="84">
        <f t="shared" si="50"/>
        <v>0</v>
      </c>
      <c r="H173" s="84">
        <f t="shared" si="50"/>
        <v>0</v>
      </c>
      <c r="I173" s="84">
        <f t="shared" si="50"/>
        <v>0</v>
      </c>
      <c r="J173" s="84">
        <f t="shared" si="50"/>
        <v>0</v>
      </c>
      <c r="K173" s="84">
        <f t="shared" si="50"/>
        <v>0</v>
      </c>
      <c r="L173" s="84">
        <f t="shared" si="50"/>
        <v>0</v>
      </c>
      <c r="M173" s="84">
        <f t="shared" si="50"/>
        <v>0</v>
      </c>
      <c r="N173" s="84">
        <f t="shared" si="50"/>
        <v>0</v>
      </c>
    </row>
    <row r="174" outlineLevel="1">
      <c r="A174" s="142" t="s">
        <v>338</v>
      </c>
      <c r="B174" s="84">
        <f t="shared" ref="B174:N174" si="51">B158*B$113</f>
        <v>0</v>
      </c>
      <c r="C174" s="84">
        <f t="shared" si="51"/>
        <v>0</v>
      </c>
      <c r="D174" s="84">
        <f t="shared" si="51"/>
        <v>0</v>
      </c>
      <c r="E174" s="84">
        <f t="shared" si="51"/>
        <v>0</v>
      </c>
      <c r="F174" s="84">
        <f t="shared" si="51"/>
        <v>0</v>
      </c>
      <c r="G174" s="84">
        <f t="shared" si="51"/>
        <v>0</v>
      </c>
      <c r="H174" s="84">
        <f t="shared" si="51"/>
        <v>0</v>
      </c>
      <c r="I174" s="84">
        <f t="shared" si="51"/>
        <v>0</v>
      </c>
      <c r="J174" s="84">
        <f t="shared" si="51"/>
        <v>0</v>
      </c>
      <c r="K174" s="84">
        <f t="shared" si="51"/>
        <v>0</v>
      </c>
      <c r="L174" s="84">
        <f t="shared" si="51"/>
        <v>0</v>
      </c>
      <c r="M174" s="84">
        <f t="shared" si="51"/>
        <v>0</v>
      </c>
      <c r="N174" s="84">
        <f t="shared" si="51"/>
        <v>0</v>
      </c>
    </row>
    <row r="175" outlineLevel="1">
      <c r="A175" s="142"/>
      <c r="B175" s="84"/>
      <c r="C175" s="84"/>
      <c r="D175" s="84"/>
      <c r="E175" s="84"/>
      <c r="F175" s="84"/>
      <c r="G175" s="84"/>
      <c r="H175" s="84"/>
      <c r="I175" s="84"/>
      <c r="J175" s="84"/>
      <c r="K175" s="84"/>
      <c r="L175" s="84"/>
      <c r="M175" s="84"/>
      <c r="N175" s="84"/>
    </row>
    <row r="176" outlineLevel="1">
      <c r="A176" s="356" t="s">
        <v>333</v>
      </c>
      <c r="B176" s="84"/>
      <c r="C176" s="84"/>
      <c r="D176" s="84"/>
      <c r="E176" s="84"/>
      <c r="F176" s="84"/>
      <c r="G176" s="84"/>
      <c r="H176" s="84"/>
      <c r="I176" s="84"/>
      <c r="J176" s="84"/>
      <c r="K176" s="84"/>
      <c r="L176" s="84"/>
      <c r="M176" s="84"/>
      <c r="N176" s="84"/>
    </row>
    <row r="177" outlineLevel="1">
      <c r="A177" s="142" t="s">
        <v>336</v>
      </c>
      <c r="B177" s="84">
        <f t="shared" ref="B177:N177" si="52">B161*B$113</f>
        <v>0</v>
      </c>
      <c r="C177" s="84">
        <f t="shared" si="52"/>
        <v>0</v>
      </c>
      <c r="D177" s="84">
        <f t="shared" si="52"/>
        <v>0</v>
      </c>
      <c r="E177" s="84">
        <f t="shared" si="52"/>
        <v>0</v>
      </c>
      <c r="F177" s="84">
        <f t="shared" si="52"/>
        <v>0</v>
      </c>
      <c r="G177" s="84">
        <f t="shared" si="52"/>
        <v>0</v>
      </c>
      <c r="H177" s="84">
        <f t="shared" si="52"/>
        <v>0</v>
      </c>
      <c r="I177" s="84">
        <f t="shared" si="52"/>
        <v>0</v>
      </c>
      <c r="J177" s="84">
        <f t="shared" si="52"/>
        <v>0</v>
      </c>
      <c r="K177" s="84">
        <f t="shared" si="52"/>
        <v>0</v>
      </c>
      <c r="L177" s="84">
        <f t="shared" si="52"/>
        <v>0</v>
      </c>
      <c r="M177" s="84">
        <f t="shared" si="52"/>
        <v>0</v>
      </c>
      <c r="N177" s="84">
        <f t="shared" si="52"/>
        <v>0</v>
      </c>
    </row>
    <row r="178" outlineLevel="1">
      <c r="A178" s="356" t="s">
        <v>337</v>
      </c>
      <c r="B178" s="84">
        <f t="shared" ref="B178:N178" si="53">B162*B$113</f>
        <v>-4471.442232</v>
      </c>
      <c r="C178" s="84">
        <f t="shared" si="53"/>
        <v>-1040.354377</v>
      </c>
      <c r="D178" s="84">
        <f t="shared" si="53"/>
        <v>-376.2976451</v>
      </c>
      <c r="E178" s="84">
        <f t="shared" si="53"/>
        <v>-3696.578381</v>
      </c>
      <c r="F178" s="84">
        <f t="shared" si="53"/>
        <v>-221.352244</v>
      </c>
      <c r="G178" s="84">
        <f t="shared" si="53"/>
        <v>-1554.510265</v>
      </c>
      <c r="H178" s="84">
        <f t="shared" si="53"/>
        <v>-221.352244</v>
      </c>
      <c r="I178" s="84">
        <f t="shared" si="53"/>
        <v>-376.2976451</v>
      </c>
      <c r="J178" s="84">
        <f t="shared" si="53"/>
        <v>-1147.993086</v>
      </c>
      <c r="K178" s="84">
        <f t="shared" si="53"/>
        <v>-1921.168864</v>
      </c>
      <c r="L178" s="84">
        <f t="shared" si="53"/>
        <v>-1796.676599</v>
      </c>
      <c r="M178" s="84">
        <f t="shared" si="53"/>
        <v>-1491.231597</v>
      </c>
      <c r="N178" s="84">
        <f t="shared" si="53"/>
        <v>-1498.759732</v>
      </c>
    </row>
    <row r="179" outlineLevel="1">
      <c r="A179" s="142" t="s">
        <v>338</v>
      </c>
      <c r="B179" s="84">
        <f t="shared" ref="B179:N179" si="54">B163*B$113</f>
        <v>-869.7223427</v>
      </c>
      <c r="C179" s="84">
        <f t="shared" si="54"/>
        <v>-142.7220556</v>
      </c>
      <c r="D179" s="84">
        <f t="shared" si="54"/>
        <v>-51.62276874</v>
      </c>
      <c r="E179" s="84">
        <f t="shared" si="54"/>
        <v>-507.1188018</v>
      </c>
      <c r="F179" s="84">
        <f t="shared" si="54"/>
        <v>-30.36642895</v>
      </c>
      <c r="G179" s="84">
        <f t="shared" si="54"/>
        <v>-213.2570453</v>
      </c>
      <c r="H179" s="84">
        <f t="shared" si="54"/>
        <v>-30.36642895</v>
      </c>
      <c r="I179" s="84">
        <f t="shared" si="54"/>
        <v>-51.62276874</v>
      </c>
      <c r="J179" s="84">
        <f t="shared" si="54"/>
        <v>-101.2740705</v>
      </c>
      <c r="K179" s="84">
        <f t="shared" si="54"/>
        <v>-528.6952488</v>
      </c>
      <c r="L179" s="84">
        <f t="shared" si="54"/>
        <v>-436.9794304</v>
      </c>
      <c r="M179" s="84">
        <f t="shared" si="54"/>
        <v>-272.451185</v>
      </c>
      <c r="N179" s="84">
        <f t="shared" si="54"/>
        <v>-369.1977351</v>
      </c>
    </row>
    <row r="180" outlineLevel="1">
      <c r="A180" s="142"/>
      <c r="B180" s="84"/>
      <c r="C180" s="84"/>
      <c r="D180" s="84"/>
      <c r="E180" s="84"/>
      <c r="F180" s="84"/>
      <c r="G180" s="84"/>
      <c r="H180" s="84"/>
      <c r="I180" s="84"/>
      <c r="J180" s="84"/>
      <c r="K180" s="84"/>
      <c r="L180" s="84"/>
      <c r="M180" s="84"/>
      <c r="N180" s="84"/>
    </row>
    <row r="181" outlineLevel="1">
      <c r="A181" s="356" t="s">
        <v>220</v>
      </c>
      <c r="B181" s="84"/>
      <c r="C181" s="84"/>
      <c r="D181" s="84"/>
      <c r="E181" s="84"/>
      <c r="F181" s="84"/>
      <c r="G181" s="84"/>
      <c r="H181" s="84"/>
      <c r="I181" s="84"/>
      <c r="J181" s="84"/>
      <c r="K181" s="84"/>
      <c r="L181" s="84"/>
      <c r="M181" s="84"/>
      <c r="N181" s="84"/>
    </row>
    <row r="182" outlineLevel="1">
      <c r="A182" s="142" t="s">
        <v>336</v>
      </c>
      <c r="B182" s="84">
        <f t="shared" ref="B182:N182" si="55">B166*B$113</f>
        <v>-150.5926466</v>
      </c>
      <c r="C182" s="84">
        <f t="shared" si="55"/>
        <v>0</v>
      </c>
      <c r="D182" s="84">
        <f t="shared" si="55"/>
        <v>0</v>
      </c>
      <c r="E182" s="84">
        <f t="shared" si="55"/>
        <v>0</v>
      </c>
      <c r="F182" s="84">
        <f t="shared" si="55"/>
        <v>0</v>
      </c>
      <c r="G182" s="84">
        <f t="shared" si="55"/>
        <v>0</v>
      </c>
      <c r="H182" s="84">
        <f t="shared" si="55"/>
        <v>0</v>
      </c>
      <c r="I182" s="84">
        <f t="shared" si="55"/>
        <v>0</v>
      </c>
      <c r="J182" s="84">
        <f t="shared" si="55"/>
        <v>0</v>
      </c>
      <c r="K182" s="84">
        <f t="shared" si="55"/>
        <v>0</v>
      </c>
      <c r="L182" s="84">
        <f t="shared" si="55"/>
        <v>0</v>
      </c>
      <c r="M182" s="84">
        <f t="shared" si="55"/>
        <v>0</v>
      </c>
      <c r="N182" s="84">
        <f t="shared" si="55"/>
        <v>-7.551784964</v>
      </c>
    </row>
    <row r="183" outlineLevel="1">
      <c r="A183" s="356" t="s">
        <v>337</v>
      </c>
      <c r="B183" s="84">
        <f t="shared" ref="B183:N183" si="56">B167*B$113</f>
        <v>-4541.85121</v>
      </c>
      <c r="C183" s="84">
        <f t="shared" si="56"/>
        <v>-1040.354377</v>
      </c>
      <c r="D183" s="84">
        <f t="shared" si="56"/>
        <v>-376.2976451</v>
      </c>
      <c r="E183" s="84">
        <f t="shared" si="56"/>
        <v>-3696.578381</v>
      </c>
      <c r="F183" s="84">
        <f t="shared" si="56"/>
        <v>-221.352244</v>
      </c>
      <c r="G183" s="84">
        <f t="shared" si="56"/>
        <v>-1554.510265</v>
      </c>
      <c r="H183" s="84">
        <f t="shared" si="56"/>
        <v>-221.352244</v>
      </c>
      <c r="I183" s="84">
        <f t="shared" si="56"/>
        <v>-376.2976451</v>
      </c>
      <c r="J183" s="84">
        <f t="shared" si="56"/>
        <v>-1147.993086</v>
      </c>
      <c r="K183" s="84">
        <f t="shared" si="56"/>
        <v>-1921.168864</v>
      </c>
      <c r="L183" s="84">
        <f t="shared" si="56"/>
        <v>-1796.676599</v>
      </c>
      <c r="M183" s="84">
        <f t="shared" si="56"/>
        <v>-1491.231597</v>
      </c>
      <c r="N183" s="84">
        <f t="shared" si="56"/>
        <v>-1502.378224</v>
      </c>
    </row>
    <row r="184" outlineLevel="1">
      <c r="A184" s="142" t="s">
        <v>338</v>
      </c>
      <c r="B184" s="84">
        <f t="shared" ref="B184:N184" si="57">B168*B$113</f>
        <v>-883.4173114</v>
      </c>
      <c r="C184" s="84">
        <f t="shared" si="57"/>
        <v>-142.7220556</v>
      </c>
      <c r="D184" s="84">
        <f t="shared" si="57"/>
        <v>-51.62276874</v>
      </c>
      <c r="E184" s="84">
        <f t="shared" si="57"/>
        <v>-507.1188018</v>
      </c>
      <c r="F184" s="84">
        <f t="shared" si="57"/>
        <v>-30.36642895</v>
      </c>
      <c r="G184" s="84">
        <f t="shared" si="57"/>
        <v>-213.2570453</v>
      </c>
      <c r="H184" s="84">
        <f t="shared" si="57"/>
        <v>-30.36642895</v>
      </c>
      <c r="I184" s="84">
        <f t="shared" si="57"/>
        <v>-51.62276874</v>
      </c>
      <c r="J184" s="84">
        <f t="shared" si="57"/>
        <v>-101.2740705</v>
      </c>
      <c r="K184" s="84">
        <f t="shared" si="57"/>
        <v>-528.6952488</v>
      </c>
      <c r="L184" s="84">
        <f t="shared" si="57"/>
        <v>-436.9794304</v>
      </c>
      <c r="M184" s="84">
        <f t="shared" si="57"/>
        <v>-272.451185</v>
      </c>
      <c r="N184" s="84">
        <f t="shared" si="57"/>
        <v>-370.0890982</v>
      </c>
    </row>
    <row r="185" outlineLevel="1">
      <c r="A185" s="142"/>
      <c r="B185" s="242"/>
      <c r="C185" s="242"/>
      <c r="D185" s="242"/>
      <c r="E185" s="242"/>
      <c r="F185" s="242"/>
      <c r="G185" s="242"/>
      <c r="H185" s="242"/>
      <c r="I185" s="242"/>
      <c r="J185" s="242"/>
      <c r="K185" s="242"/>
      <c r="L185" s="242"/>
      <c r="M185" s="242"/>
      <c r="N185" s="242"/>
    </row>
    <row r="186" outlineLevel="1">
      <c r="A186" s="142"/>
      <c r="B186" s="242"/>
      <c r="C186" s="242"/>
      <c r="D186" s="242"/>
      <c r="E186" s="242"/>
      <c r="F186" s="242"/>
      <c r="G186" s="242"/>
      <c r="H186" s="242"/>
      <c r="I186" s="242"/>
      <c r="J186" s="242"/>
      <c r="K186" s="242"/>
      <c r="L186" s="242"/>
      <c r="M186" s="242"/>
      <c r="N186" s="242"/>
    </row>
    <row r="187" outlineLevel="1">
      <c r="A187" s="372" t="s">
        <v>340</v>
      </c>
      <c r="B187" s="242"/>
      <c r="C187" s="242"/>
      <c r="D187" s="242"/>
      <c r="E187" s="242"/>
      <c r="F187" s="242"/>
      <c r="G187" s="242"/>
      <c r="H187" s="242"/>
      <c r="I187" s="242"/>
      <c r="J187" s="242"/>
      <c r="K187" s="242"/>
      <c r="L187" s="242"/>
      <c r="M187" s="242"/>
      <c r="N187" s="242"/>
    </row>
    <row r="188" outlineLevel="1">
      <c r="A188" s="356" t="s">
        <v>217</v>
      </c>
      <c r="B188" s="84"/>
      <c r="C188" s="84"/>
      <c r="D188" s="84"/>
      <c r="E188" s="84"/>
      <c r="F188" s="84"/>
      <c r="G188" s="84"/>
      <c r="H188" s="84"/>
      <c r="I188" s="84"/>
      <c r="J188" s="84"/>
      <c r="K188" s="84"/>
      <c r="L188" s="84"/>
      <c r="M188" s="84"/>
      <c r="N188" s="84"/>
    </row>
    <row r="189" outlineLevel="1">
      <c r="A189" s="142" t="s">
        <v>336</v>
      </c>
      <c r="B189" s="84">
        <f t="shared" ref="B189:N189" si="58">-B156*B140</f>
        <v>-371.648056</v>
      </c>
      <c r="C189" s="84">
        <f t="shared" si="58"/>
        <v>-587.2836633</v>
      </c>
      <c r="D189" s="84">
        <f t="shared" si="58"/>
        <v>-587.2836633</v>
      </c>
      <c r="E189" s="84">
        <f t="shared" si="58"/>
        <v>-587.2836633</v>
      </c>
      <c r="F189" s="84">
        <f t="shared" si="58"/>
        <v>-587.2836633</v>
      </c>
      <c r="G189" s="84">
        <f t="shared" si="58"/>
        <v>-587.2836633</v>
      </c>
      <c r="H189" s="84">
        <f t="shared" si="58"/>
        <v>-587.2836633</v>
      </c>
      <c r="I189" s="84">
        <f t="shared" si="58"/>
        <v>-587.2836633</v>
      </c>
      <c r="J189" s="84">
        <f t="shared" si="58"/>
        <v>-357.8712176</v>
      </c>
      <c r="K189" s="84">
        <f t="shared" si="58"/>
        <v>-363.1659435</v>
      </c>
      <c r="L189" s="84">
        <f t="shared" si="58"/>
        <v>-357.8712176</v>
      </c>
      <c r="M189" s="84">
        <f t="shared" si="58"/>
        <v>-371.1681715</v>
      </c>
      <c r="N189" s="84">
        <f t="shared" si="58"/>
        <v>-379.2376426</v>
      </c>
    </row>
    <row r="190" outlineLevel="1">
      <c r="A190" s="356" t="s">
        <v>337</v>
      </c>
      <c r="B190" s="84">
        <f t="shared" ref="B190:N190" si="59">-B157*B141</f>
        <v>0</v>
      </c>
      <c r="C190" s="84">
        <f t="shared" si="59"/>
        <v>0</v>
      </c>
      <c r="D190" s="84">
        <f t="shared" si="59"/>
        <v>0</v>
      </c>
      <c r="E190" s="84">
        <f t="shared" si="59"/>
        <v>0</v>
      </c>
      <c r="F190" s="84">
        <f t="shared" si="59"/>
        <v>0</v>
      </c>
      <c r="G190" s="84">
        <f t="shared" si="59"/>
        <v>0</v>
      </c>
      <c r="H190" s="84">
        <f t="shared" si="59"/>
        <v>0</v>
      </c>
      <c r="I190" s="84">
        <f t="shared" si="59"/>
        <v>0</v>
      </c>
      <c r="J190" s="84">
        <f t="shared" si="59"/>
        <v>0</v>
      </c>
      <c r="K190" s="84">
        <f t="shared" si="59"/>
        <v>0</v>
      </c>
      <c r="L190" s="84">
        <f t="shared" si="59"/>
        <v>0</v>
      </c>
      <c r="M190" s="84">
        <f t="shared" si="59"/>
        <v>0</v>
      </c>
      <c r="N190" s="84">
        <f t="shared" si="59"/>
        <v>0</v>
      </c>
    </row>
    <row r="191" outlineLevel="1">
      <c r="A191" s="142" t="s">
        <v>338</v>
      </c>
      <c r="B191" s="84">
        <f t="shared" ref="B191:N191" si="60">-B158*B142</f>
        <v>0</v>
      </c>
      <c r="C191" s="84">
        <f t="shared" si="60"/>
        <v>0</v>
      </c>
      <c r="D191" s="84">
        <f t="shared" si="60"/>
        <v>0</v>
      </c>
      <c r="E191" s="84">
        <f t="shared" si="60"/>
        <v>0</v>
      </c>
      <c r="F191" s="84">
        <f t="shared" si="60"/>
        <v>0</v>
      </c>
      <c r="G191" s="84">
        <f t="shared" si="60"/>
        <v>0</v>
      </c>
      <c r="H191" s="84">
        <f t="shared" si="60"/>
        <v>0</v>
      </c>
      <c r="I191" s="84">
        <f t="shared" si="60"/>
        <v>0</v>
      </c>
      <c r="J191" s="84">
        <f t="shared" si="60"/>
        <v>0</v>
      </c>
      <c r="K191" s="84">
        <f t="shared" si="60"/>
        <v>0</v>
      </c>
      <c r="L191" s="84">
        <f t="shared" si="60"/>
        <v>0</v>
      </c>
      <c r="M191" s="84">
        <f t="shared" si="60"/>
        <v>0</v>
      </c>
      <c r="N191" s="84">
        <f t="shared" si="60"/>
        <v>0</v>
      </c>
    </row>
    <row r="192" outlineLevel="1">
      <c r="A192" s="142"/>
      <c r="B192" s="84"/>
      <c r="C192" s="84"/>
      <c r="D192" s="84"/>
      <c r="E192" s="84"/>
      <c r="F192" s="84"/>
      <c r="G192" s="84"/>
      <c r="H192" s="84"/>
      <c r="I192" s="84"/>
      <c r="J192" s="84"/>
      <c r="K192" s="84"/>
      <c r="L192" s="84"/>
      <c r="M192" s="84"/>
      <c r="N192" s="84"/>
    </row>
    <row r="193" outlineLevel="1">
      <c r="A193" s="356" t="s">
        <v>333</v>
      </c>
      <c r="B193" s="84"/>
      <c r="C193" s="84"/>
      <c r="D193" s="84"/>
      <c r="E193" s="84"/>
      <c r="F193" s="84"/>
      <c r="G193" s="84"/>
      <c r="H193" s="84"/>
      <c r="I193" s="84"/>
      <c r="J193" s="84"/>
      <c r="K193" s="84"/>
      <c r="L193" s="84"/>
      <c r="M193" s="84"/>
      <c r="N193" s="84"/>
    </row>
    <row r="194" outlineLevel="1">
      <c r="A194" s="142" t="s">
        <v>336</v>
      </c>
      <c r="B194" s="84">
        <f t="shared" ref="B194:N194" si="61">-B161*B140</f>
        <v>0</v>
      </c>
      <c r="C194" s="84">
        <f t="shared" si="61"/>
        <v>0</v>
      </c>
      <c r="D194" s="84">
        <f t="shared" si="61"/>
        <v>0</v>
      </c>
      <c r="E194" s="84">
        <f t="shared" si="61"/>
        <v>0</v>
      </c>
      <c r="F194" s="84">
        <f t="shared" si="61"/>
        <v>0</v>
      </c>
      <c r="G194" s="84">
        <f t="shared" si="61"/>
        <v>0</v>
      </c>
      <c r="H194" s="84">
        <f t="shared" si="61"/>
        <v>0</v>
      </c>
      <c r="I194" s="84">
        <f t="shared" si="61"/>
        <v>0</v>
      </c>
      <c r="J194" s="84">
        <f t="shared" si="61"/>
        <v>0</v>
      </c>
      <c r="K194" s="84">
        <f t="shared" si="61"/>
        <v>0</v>
      </c>
      <c r="L194" s="84">
        <f t="shared" si="61"/>
        <v>0</v>
      </c>
      <c r="M194" s="84">
        <f t="shared" si="61"/>
        <v>0</v>
      </c>
      <c r="N194" s="84">
        <f t="shared" si="61"/>
        <v>0</v>
      </c>
    </row>
    <row r="195" outlineLevel="1">
      <c r="A195" s="356" t="s">
        <v>337</v>
      </c>
      <c r="B195" s="84">
        <f t="shared" ref="B195:N195" si="62">-B162*B141</f>
        <v>173.7625334</v>
      </c>
      <c r="C195" s="84">
        <f t="shared" si="62"/>
        <v>267.4153802</v>
      </c>
      <c r="D195" s="84">
        <f t="shared" si="62"/>
        <v>267.4153802</v>
      </c>
      <c r="E195" s="84">
        <f t="shared" si="62"/>
        <v>267.4153802</v>
      </c>
      <c r="F195" s="84">
        <f t="shared" si="62"/>
        <v>267.4153802</v>
      </c>
      <c r="G195" s="84">
        <f t="shared" si="62"/>
        <v>267.4153802</v>
      </c>
      <c r="H195" s="84">
        <f t="shared" si="62"/>
        <v>267.4153802</v>
      </c>
      <c r="I195" s="84">
        <f t="shared" si="62"/>
        <v>267.4153802</v>
      </c>
      <c r="J195" s="84">
        <f t="shared" si="62"/>
        <v>159.3998963</v>
      </c>
      <c r="K195" s="84">
        <f t="shared" si="62"/>
        <v>176.4536711</v>
      </c>
      <c r="L195" s="84">
        <f t="shared" si="62"/>
        <v>171.2206024</v>
      </c>
      <c r="M195" s="84">
        <f t="shared" si="62"/>
        <v>172.585692</v>
      </c>
      <c r="N195" s="84">
        <f t="shared" si="62"/>
        <v>181.7144405</v>
      </c>
    </row>
    <row r="196" outlineLevel="1">
      <c r="A196" s="142" t="s">
        <v>338</v>
      </c>
      <c r="B196" s="84">
        <f t="shared" ref="B196:N196" si="63">-B163*B142</f>
        <v>37.13275174</v>
      </c>
      <c r="C196" s="84">
        <f t="shared" si="63"/>
        <v>40.3054864</v>
      </c>
      <c r="D196" s="84">
        <f t="shared" si="63"/>
        <v>40.3054864</v>
      </c>
      <c r="E196" s="84">
        <f t="shared" si="63"/>
        <v>40.3054864</v>
      </c>
      <c r="F196" s="84">
        <f t="shared" si="63"/>
        <v>40.3054864</v>
      </c>
      <c r="G196" s="84">
        <f t="shared" si="63"/>
        <v>40.3054864</v>
      </c>
      <c r="H196" s="84">
        <f t="shared" si="63"/>
        <v>40.3054864</v>
      </c>
      <c r="I196" s="84">
        <f t="shared" si="63"/>
        <v>40.3054864</v>
      </c>
      <c r="J196" s="84">
        <f t="shared" si="63"/>
        <v>15.44952101</v>
      </c>
      <c r="K196" s="84">
        <f t="shared" si="63"/>
        <v>53.35050784</v>
      </c>
      <c r="L196" s="84">
        <f t="shared" si="63"/>
        <v>45.75252795</v>
      </c>
      <c r="M196" s="84">
        <f t="shared" si="63"/>
        <v>34.64307098</v>
      </c>
      <c r="N196" s="84">
        <f t="shared" si="63"/>
        <v>49.179538</v>
      </c>
    </row>
    <row r="197" outlineLevel="1">
      <c r="A197" s="142"/>
      <c r="B197" s="84"/>
      <c r="C197" s="84"/>
      <c r="D197" s="84"/>
      <c r="E197" s="84"/>
      <c r="F197" s="84"/>
      <c r="G197" s="84"/>
      <c r="H197" s="84"/>
      <c r="I197" s="84"/>
      <c r="J197" s="84"/>
      <c r="K197" s="84"/>
      <c r="L197" s="84"/>
      <c r="M197" s="84"/>
      <c r="N197" s="84"/>
    </row>
    <row r="198" outlineLevel="1">
      <c r="A198" s="356" t="s">
        <v>220</v>
      </c>
      <c r="B198" s="84"/>
      <c r="C198" s="84"/>
      <c r="D198" s="84"/>
      <c r="E198" s="84"/>
      <c r="F198" s="84"/>
      <c r="G198" s="84"/>
      <c r="H198" s="84"/>
      <c r="I198" s="84"/>
      <c r="J198" s="84"/>
      <c r="K198" s="84"/>
      <c r="L198" s="84"/>
      <c r="M198" s="84"/>
      <c r="N198" s="84"/>
    </row>
    <row r="199" outlineLevel="1">
      <c r="A199" s="142" t="s">
        <v>336</v>
      </c>
      <c r="B199" s="84">
        <f t="shared" ref="B199:N199" si="64">-B166*B140</f>
        <v>5.852107314</v>
      </c>
      <c r="C199" s="84">
        <f t="shared" si="64"/>
        <v>0</v>
      </c>
      <c r="D199" s="84">
        <f t="shared" si="64"/>
        <v>0</v>
      </c>
      <c r="E199" s="84">
        <f t="shared" si="64"/>
        <v>0</v>
      </c>
      <c r="F199" s="84">
        <f t="shared" si="64"/>
        <v>0</v>
      </c>
      <c r="G199" s="84">
        <f t="shared" si="64"/>
        <v>0</v>
      </c>
      <c r="H199" s="84">
        <f t="shared" si="64"/>
        <v>0</v>
      </c>
      <c r="I199" s="84">
        <f t="shared" si="64"/>
        <v>0</v>
      </c>
      <c r="J199" s="84">
        <f t="shared" si="64"/>
        <v>0</v>
      </c>
      <c r="K199" s="84">
        <f t="shared" si="64"/>
        <v>0</v>
      </c>
      <c r="L199" s="84">
        <f t="shared" si="64"/>
        <v>0</v>
      </c>
      <c r="M199" s="84">
        <f t="shared" si="64"/>
        <v>0</v>
      </c>
      <c r="N199" s="84">
        <f t="shared" si="64"/>
        <v>0.915602648</v>
      </c>
    </row>
    <row r="200" outlineLevel="1">
      <c r="A200" s="356" t="s">
        <v>337</v>
      </c>
      <c r="B200" s="84">
        <f t="shared" ref="B200:N200" si="65">-B167*B141</f>
        <v>176.4986623</v>
      </c>
      <c r="C200" s="84">
        <f t="shared" si="65"/>
        <v>267.4153802</v>
      </c>
      <c r="D200" s="84">
        <f t="shared" si="65"/>
        <v>267.4153802</v>
      </c>
      <c r="E200" s="84">
        <f t="shared" si="65"/>
        <v>267.4153802</v>
      </c>
      <c r="F200" s="84">
        <f t="shared" si="65"/>
        <v>267.4153802</v>
      </c>
      <c r="G200" s="84">
        <f t="shared" si="65"/>
        <v>267.4153802</v>
      </c>
      <c r="H200" s="84">
        <f t="shared" si="65"/>
        <v>267.4153802</v>
      </c>
      <c r="I200" s="84">
        <f t="shared" si="65"/>
        <v>267.4153802</v>
      </c>
      <c r="J200" s="84">
        <f t="shared" si="65"/>
        <v>159.3998963</v>
      </c>
      <c r="K200" s="84">
        <f t="shared" si="65"/>
        <v>176.4536711</v>
      </c>
      <c r="L200" s="84">
        <f t="shared" si="65"/>
        <v>171.2206024</v>
      </c>
      <c r="M200" s="84">
        <f t="shared" si="65"/>
        <v>172.585692</v>
      </c>
      <c r="N200" s="84">
        <f t="shared" si="65"/>
        <v>182.153158</v>
      </c>
    </row>
    <row r="201" outlineLevel="1">
      <c r="A201" s="142" t="s">
        <v>338</v>
      </c>
      <c r="B201" s="84">
        <f t="shared" ref="B201:N201" si="66">-B168*B142</f>
        <v>37.71745774</v>
      </c>
      <c r="C201" s="84">
        <f t="shared" si="66"/>
        <v>40.3054864</v>
      </c>
      <c r="D201" s="84">
        <f t="shared" si="66"/>
        <v>40.3054864</v>
      </c>
      <c r="E201" s="84">
        <f t="shared" si="66"/>
        <v>40.3054864</v>
      </c>
      <c r="F201" s="84">
        <f t="shared" si="66"/>
        <v>40.3054864</v>
      </c>
      <c r="G201" s="84">
        <f t="shared" si="66"/>
        <v>40.3054864</v>
      </c>
      <c r="H201" s="84">
        <f t="shared" si="66"/>
        <v>40.3054864</v>
      </c>
      <c r="I201" s="84">
        <f t="shared" si="66"/>
        <v>40.3054864</v>
      </c>
      <c r="J201" s="84">
        <f t="shared" si="66"/>
        <v>15.44952101</v>
      </c>
      <c r="K201" s="84">
        <f t="shared" si="66"/>
        <v>53.35050784</v>
      </c>
      <c r="L201" s="84">
        <f t="shared" si="66"/>
        <v>45.75252795</v>
      </c>
      <c r="M201" s="84">
        <f t="shared" si="66"/>
        <v>34.64307098</v>
      </c>
      <c r="N201" s="84">
        <f t="shared" si="66"/>
        <v>49.29827335</v>
      </c>
    </row>
    <row r="202" outlineLevel="1">
      <c r="A202" s="142"/>
      <c r="B202" s="84"/>
      <c r="C202" s="84"/>
      <c r="D202" s="84"/>
      <c r="E202" s="84"/>
      <c r="F202" s="84"/>
      <c r="G202" s="84"/>
      <c r="H202" s="84"/>
      <c r="I202" s="84"/>
      <c r="J202" s="84"/>
      <c r="K202" s="84"/>
      <c r="L202" s="84"/>
      <c r="M202" s="84"/>
      <c r="N202" s="84"/>
    </row>
    <row r="203" outlineLevel="1">
      <c r="A203" s="142"/>
      <c r="B203" s="242"/>
      <c r="C203" s="242"/>
      <c r="D203" s="242"/>
      <c r="E203" s="242"/>
      <c r="F203" s="242"/>
      <c r="G203" s="242"/>
      <c r="H203" s="242"/>
      <c r="I203" s="242"/>
      <c r="J203" s="242"/>
      <c r="K203" s="242"/>
      <c r="L203" s="242"/>
      <c r="M203" s="242"/>
      <c r="N203" s="242"/>
    </row>
    <row r="204" outlineLevel="1">
      <c r="A204" s="372" t="s">
        <v>341</v>
      </c>
      <c r="B204" s="242"/>
      <c r="C204" s="242"/>
      <c r="D204" s="242"/>
      <c r="E204" s="242"/>
      <c r="F204" s="242"/>
      <c r="G204" s="242"/>
      <c r="H204" s="242"/>
      <c r="I204" s="242"/>
      <c r="J204" s="242"/>
      <c r="K204" s="242"/>
      <c r="L204" s="242"/>
      <c r="M204" s="242"/>
      <c r="N204" s="242"/>
    </row>
    <row r="205" outlineLevel="1">
      <c r="A205" s="367" t="s">
        <v>217</v>
      </c>
      <c r="B205" s="84">
        <f t="shared" ref="B205:N205" si="67">sum(B172:B174,B189:B191)</f>
        <v>9191.994809</v>
      </c>
      <c r="C205" s="84">
        <f t="shared" si="67"/>
        <v>1697.488175</v>
      </c>
      <c r="D205" s="84">
        <f t="shared" si="67"/>
        <v>239.121532</v>
      </c>
      <c r="E205" s="84">
        <f t="shared" si="67"/>
        <v>7530.948323</v>
      </c>
      <c r="F205" s="84">
        <f t="shared" si="67"/>
        <v>-101.161449</v>
      </c>
      <c r="G205" s="84">
        <f t="shared" si="67"/>
        <v>2826.650429</v>
      </c>
      <c r="H205" s="84">
        <f t="shared" si="67"/>
        <v>-101.161449</v>
      </c>
      <c r="I205" s="84">
        <f t="shared" si="67"/>
        <v>239.121532</v>
      </c>
      <c r="J205" s="84">
        <f t="shared" si="67"/>
        <v>2219.506139</v>
      </c>
      <c r="K205" s="84">
        <f t="shared" si="67"/>
        <v>3590.864021</v>
      </c>
      <c r="L205" s="84">
        <f t="shared" si="67"/>
        <v>3397.394405</v>
      </c>
      <c r="M205" s="84">
        <f t="shared" si="67"/>
        <v>2835.921007</v>
      </c>
      <c r="N205" s="84">
        <f t="shared" si="67"/>
        <v>2748.670663</v>
      </c>
    </row>
    <row r="206" outlineLevel="1">
      <c r="A206" s="367" t="s">
        <v>333</v>
      </c>
      <c r="B206" s="84">
        <f t="shared" ref="B206:N206" si="68">sum(B177:B179,B194:B196)</f>
        <v>-5130.269289</v>
      </c>
      <c r="C206" s="84">
        <f t="shared" si="68"/>
        <v>-875.3555662</v>
      </c>
      <c r="D206" s="84">
        <f t="shared" si="68"/>
        <v>-120.1995472</v>
      </c>
      <c r="E206" s="84">
        <f t="shared" si="68"/>
        <v>-3895.976316</v>
      </c>
      <c r="F206" s="84">
        <f t="shared" si="68"/>
        <v>56.00219362</v>
      </c>
      <c r="G206" s="84">
        <f t="shared" si="68"/>
        <v>-1460.046444</v>
      </c>
      <c r="H206" s="84">
        <f t="shared" si="68"/>
        <v>56.00219362</v>
      </c>
      <c r="I206" s="84">
        <f t="shared" si="68"/>
        <v>-120.1995472</v>
      </c>
      <c r="J206" s="84">
        <f t="shared" si="68"/>
        <v>-1074.417739</v>
      </c>
      <c r="K206" s="84">
        <f t="shared" si="68"/>
        <v>-2220.059933</v>
      </c>
      <c r="L206" s="84">
        <f t="shared" si="68"/>
        <v>-2016.682899</v>
      </c>
      <c r="M206" s="84">
        <f t="shared" si="68"/>
        <v>-1556.454019</v>
      </c>
      <c r="N206" s="84">
        <f t="shared" si="68"/>
        <v>-1637.063489</v>
      </c>
    </row>
    <row r="207" outlineLevel="1">
      <c r="A207" s="367" t="s">
        <v>220</v>
      </c>
      <c r="B207" s="84">
        <f t="shared" ref="B207:N207" si="69">sum(B182:B184,B199:B201)</f>
        <v>-5355.79294</v>
      </c>
      <c r="C207" s="84">
        <f t="shared" si="69"/>
        <v>-875.3555662</v>
      </c>
      <c r="D207" s="84">
        <f t="shared" si="69"/>
        <v>-120.1995472</v>
      </c>
      <c r="E207" s="84">
        <f t="shared" si="69"/>
        <v>-3895.976316</v>
      </c>
      <c r="F207" s="84">
        <f t="shared" si="69"/>
        <v>56.00219362</v>
      </c>
      <c r="G207" s="84">
        <f t="shared" si="69"/>
        <v>-1460.046444</v>
      </c>
      <c r="H207" s="84">
        <f t="shared" si="69"/>
        <v>56.00219362</v>
      </c>
      <c r="I207" s="84">
        <f t="shared" si="69"/>
        <v>-120.1995472</v>
      </c>
      <c r="J207" s="84">
        <f t="shared" si="69"/>
        <v>-1074.417739</v>
      </c>
      <c r="K207" s="84">
        <f t="shared" si="69"/>
        <v>-2220.059933</v>
      </c>
      <c r="L207" s="84">
        <f t="shared" si="69"/>
        <v>-2016.682899</v>
      </c>
      <c r="M207" s="84">
        <f t="shared" si="69"/>
        <v>-1556.454019</v>
      </c>
      <c r="N207" s="84">
        <f t="shared" si="69"/>
        <v>-1647.652073</v>
      </c>
    </row>
    <row r="208" outlineLevel="1">
      <c r="A208" s="142"/>
      <c r="B208" s="84"/>
      <c r="C208" s="84"/>
      <c r="D208" s="84"/>
      <c r="E208" s="84"/>
      <c r="F208" s="84"/>
      <c r="G208" s="84"/>
      <c r="H208" s="84"/>
      <c r="I208" s="84"/>
      <c r="J208" s="84"/>
      <c r="K208" s="84"/>
      <c r="L208" s="84"/>
      <c r="M208" s="84"/>
      <c r="N208" s="84"/>
    </row>
    <row r="209" outlineLevel="1">
      <c r="A209" s="372" t="s">
        <v>342</v>
      </c>
      <c r="B209" s="242"/>
      <c r="C209" s="242"/>
      <c r="D209" s="242"/>
      <c r="E209" s="242"/>
      <c r="F209" s="242"/>
      <c r="G209" s="242"/>
      <c r="H209" s="242"/>
      <c r="I209" s="242"/>
      <c r="J209" s="242"/>
      <c r="K209" s="242"/>
      <c r="L209" s="242"/>
      <c r="M209" s="242"/>
      <c r="N209" s="242"/>
    </row>
    <row r="210" outlineLevel="1">
      <c r="A210" s="367" t="s">
        <v>217</v>
      </c>
      <c r="B210" s="84">
        <f t="shared" ref="B210:N210" si="70">sum(B$31:B$32)*B$112-B205</f>
        <v>371.648056</v>
      </c>
      <c r="C210" s="84">
        <f t="shared" si="70"/>
        <v>587.2836633</v>
      </c>
      <c r="D210" s="84">
        <f t="shared" si="70"/>
        <v>587.2836633</v>
      </c>
      <c r="E210" s="84">
        <f t="shared" si="70"/>
        <v>587.2836633</v>
      </c>
      <c r="F210" s="84">
        <f t="shared" si="70"/>
        <v>587.2836633</v>
      </c>
      <c r="G210" s="84">
        <f t="shared" si="70"/>
        <v>587.2836633</v>
      </c>
      <c r="H210" s="84">
        <f t="shared" si="70"/>
        <v>587.2836633</v>
      </c>
      <c r="I210" s="84">
        <f t="shared" si="70"/>
        <v>587.2836633</v>
      </c>
      <c r="J210" s="84">
        <f t="shared" si="70"/>
        <v>357.8712176</v>
      </c>
      <c r="K210" s="84">
        <f t="shared" si="70"/>
        <v>363.1659435</v>
      </c>
      <c r="L210" s="84">
        <f t="shared" si="70"/>
        <v>357.8712176</v>
      </c>
      <c r="M210" s="84">
        <f t="shared" si="70"/>
        <v>371.1681715</v>
      </c>
      <c r="N210" s="84">
        <f t="shared" si="70"/>
        <v>379.2376426</v>
      </c>
    </row>
    <row r="211" outlineLevel="1">
      <c r="A211" s="367" t="s">
        <v>333</v>
      </c>
      <c r="B211" s="84">
        <f t="shared" ref="B211:N211" si="71">sum(B$31:B$32)*B$112-B206</f>
        <v>14693.91215</v>
      </c>
      <c r="C211" s="84">
        <f t="shared" si="71"/>
        <v>3160.127404</v>
      </c>
      <c r="D211" s="84">
        <f t="shared" si="71"/>
        <v>946.6047425</v>
      </c>
      <c r="E211" s="84">
        <f t="shared" si="71"/>
        <v>12014.2083</v>
      </c>
      <c r="F211" s="84">
        <f t="shared" si="71"/>
        <v>430.1200206</v>
      </c>
      <c r="G211" s="84">
        <f t="shared" si="71"/>
        <v>4873.980536</v>
      </c>
      <c r="H211" s="84">
        <f t="shared" si="71"/>
        <v>430.1200206</v>
      </c>
      <c r="I211" s="84">
        <f t="shared" si="71"/>
        <v>946.6047425</v>
      </c>
      <c r="J211" s="84">
        <f t="shared" si="71"/>
        <v>3651.795096</v>
      </c>
      <c r="K211" s="84">
        <f t="shared" si="71"/>
        <v>6174.089898</v>
      </c>
      <c r="L211" s="84">
        <f t="shared" si="71"/>
        <v>5771.948521</v>
      </c>
      <c r="M211" s="84">
        <f t="shared" si="71"/>
        <v>4763.543198</v>
      </c>
      <c r="N211" s="84">
        <f t="shared" si="71"/>
        <v>4764.971795</v>
      </c>
    </row>
    <row r="212" outlineLevel="1">
      <c r="A212" s="367" t="s">
        <v>220</v>
      </c>
      <c r="B212" s="84">
        <f t="shared" ref="B212:N212" si="72">sum(B$31:B$32)*B$112-B207</f>
        <v>14919.43581</v>
      </c>
      <c r="C212" s="84">
        <f t="shared" si="72"/>
        <v>3160.127404</v>
      </c>
      <c r="D212" s="84">
        <f t="shared" si="72"/>
        <v>946.6047425</v>
      </c>
      <c r="E212" s="84">
        <f t="shared" si="72"/>
        <v>12014.2083</v>
      </c>
      <c r="F212" s="84">
        <f t="shared" si="72"/>
        <v>430.1200206</v>
      </c>
      <c r="G212" s="84">
        <f t="shared" si="72"/>
        <v>4873.980536</v>
      </c>
      <c r="H212" s="84">
        <f t="shared" si="72"/>
        <v>430.1200206</v>
      </c>
      <c r="I212" s="84">
        <f t="shared" si="72"/>
        <v>946.6047425</v>
      </c>
      <c r="J212" s="84">
        <f t="shared" si="72"/>
        <v>3651.795096</v>
      </c>
      <c r="K212" s="84">
        <f t="shared" si="72"/>
        <v>6174.089898</v>
      </c>
      <c r="L212" s="84">
        <f t="shared" si="72"/>
        <v>5771.948521</v>
      </c>
      <c r="M212" s="84">
        <f t="shared" si="72"/>
        <v>4763.543198</v>
      </c>
      <c r="N212" s="84">
        <f t="shared" si="72"/>
        <v>4775.560379</v>
      </c>
    </row>
    <row r="213" outlineLevel="1">
      <c r="A213" s="358" t="s">
        <v>232</v>
      </c>
      <c r="B213" s="373">
        <f t="shared" ref="B213:N213" si="73">SUMPRODUCT(B210:B212,B145:B147)</f>
        <v>12009.87826</v>
      </c>
      <c r="C213" s="373">
        <f t="shared" si="73"/>
        <v>2645.558656</v>
      </c>
      <c r="D213" s="373">
        <f t="shared" si="73"/>
        <v>874.7405267</v>
      </c>
      <c r="E213" s="373">
        <f t="shared" si="73"/>
        <v>9728.823375</v>
      </c>
      <c r="F213" s="373">
        <f t="shared" si="73"/>
        <v>461.5527491</v>
      </c>
      <c r="G213" s="373">
        <f t="shared" si="73"/>
        <v>4016.641162</v>
      </c>
      <c r="H213" s="373">
        <f t="shared" si="73"/>
        <v>461.5527491</v>
      </c>
      <c r="I213" s="373">
        <f t="shared" si="73"/>
        <v>874.7405267</v>
      </c>
      <c r="J213" s="373">
        <f t="shared" si="73"/>
        <v>2993.01032</v>
      </c>
      <c r="K213" s="373">
        <f t="shared" si="73"/>
        <v>5011.905107</v>
      </c>
      <c r="L213" s="373">
        <f t="shared" si="73"/>
        <v>4689.13306</v>
      </c>
      <c r="M213" s="373">
        <f t="shared" si="73"/>
        <v>3885.068192</v>
      </c>
      <c r="N213" s="373">
        <f t="shared" si="73"/>
        <v>3896.295832</v>
      </c>
    </row>
    <row r="214">
      <c r="A214" s="55"/>
      <c r="B214" s="355"/>
      <c r="C214" s="355"/>
      <c r="D214" s="355"/>
      <c r="E214" s="355"/>
      <c r="F214" s="355"/>
      <c r="G214" s="355"/>
      <c r="H214" s="355"/>
      <c r="I214" s="355"/>
      <c r="J214" s="355"/>
      <c r="K214" s="355"/>
      <c r="L214" s="355"/>
      <c r="M214" s="355"/>
      <c r="N214" s="355"/>
    </row>
    <row r="215">
      <c r="A215" s="207" t="s">
        <v>343</v>
      </c>
      <c r="B215" s="207"/>
      <c r="C215" s="207"/>
      <c r="D215" s="207"/>
      <c r="E215" s="207"/>
      <c r="F215" s="207"/>
      <c r="G215" s="207"/>
      <c r="H215" s="207"/>
      <c r="I215" s="207"/>
      <c r="J215" s="207"/>
      <c r="K215" s="207"/>
      <c r="L215" s="207"/>
      <c r="M215" s="207"/>
      <c r="N215" s="207"/>
    </row>
    <row r="216">
      <c r="A216" s="55"/>
      <c r="B216" s="326"/>
      <c r="C216" s="326"/>
      <c r="D216" s="326"/>
      <c r="E216" s="326"/>
      <c r="F216" s="326"/>
      <c r="G216" s="326"/>
      <c r="H216" s="326"/>
      <c r="I216" s="326"/>
      <c r="J216" s="355"/>
      <c r="K216" s="326"/>
      <c r="L216" s="326"/>
      <c r="M216" s="326"/>
      <c r="N216" s="326"/>
    </row>
    <row r="217">
      <c r="A217" s="162" t="s">
        <v>344</v>
      </c>
      <c r="B217" s="374">
        <f t="shared" ref="B217:N217" si="74">B213</f>
        <v>12009.87826</v>
      </c>
      <c r="C217" s="374">
        <f t="shared" si="74"/>
        <v>2645.558656</v>
      </c>
      <c r="D217" s="374">
        <f t="shared" si="74"/>
        <v>874.7405267</v>
      </c>
      <c r="E217" s="374">
        <f t="shared" si="74"/>
        <v>9728.823375</v>
      </c>
      <c r="F217" s="374">
        <f t="shared" si="74"/>
        <v>461.5527491</v>
      </c>
      <c r="G217" s="374">
        <f t="shared" si="74"/>
        <v>4016.641162</v>
      </c>
      <c r="H217" s="374">
        <f t="shared" si="74"/>
        <v>461.5527491</v>
      </c>
      <c r="I217" s="374">
        <f t="shared" si="74"/>
        <v>874.7405267</v>
      </c>
      <c r="J217" s="374">
        <f t="shared" si="74"/>
        <v>2993.01032</v>
      </c>
      <c r="K217" s="374">
        <f t="shared" si="74"/>
        <v>5011.905107</v>
      </c>
      <c r="L217" s="374">
        <f t="shared" si="74"/>
        <v>4689.13306</v>
      </c>
      <c r="M217" s="374">
        <f t="shared" si="74"/>
        <v>3885.068192</v>
      </c>
      <c r="N217" s="374">
        <f t="shared" si="74"/>
        <v>3896.295832</v>
      </c>
    </row>
    <row r="218">
      <c r="A218" s="236" t="s">
        <v>223</v>
      </c>
      <c r="B218" s="375">
        <f t="shared" ref="B218:N218" si="75">B217/sum(B128:B129)</f>
        <v>0.1156467708</v>
      </c>
      <c r="C218" s="375">
        <f t="shared" si="75"/>
        <v>0.01612115842</v>
      </c>
      <c r="D218" s="375">
        <f t="shared" si="75"/>
        <v>0.005330379115</v>
      </c>
      <c r="E218" s="375">
        <f t="shared" si="75"/>
        <v>0.05928422813</v>
      </c>
      <c r="F218" s="375">
        <f t="shared" si="75"/>
        <v>0.002812549619</v>
      </c>
      <c r="G218" s="375">
        <f t="shared" si="75"/>
        <v>0.0244760812</v>
      </c>
      <c r="H218" s="375">
        <f t="shared" si="75"/>
        <v>0.002812549619</v>
      </c>
      <c r="I218" s="375">
        <f t="shared" si="75"/>
        <v>0.005330379115</v>
      </c>
      <c r="J218" s="375">
        <f t="shared" si="75"/>
        <v>0.0299301032</v>
      </c>
      <c r="K218" s="375">
        <f t="shared" si="75"/>
        <v>0.04938834754</v>
      </c>
      <c r="L218" s="375">
        <f t="shared" si="75"/>
        <v>0.0468913306</v>
      </c>
      <c r="M218" s="375">
        <f t="shared" si="75"/>
        <v>0.03745887151</v>
      </c>
      <c r="N218" s="375">
        <f t="shared" si="75"/>
        <v>0.03676776713</v>
      </c>
    </row>
    <row r="219">
      <c r="A219" s="43"/>
      <c r="B219" s="349"/>
      <c r="C219" s="349"/>
      <c r="D219" s="349"/>
      <c r="E219" s="349"/>
      <c r="F219" s="349"/>
      <c r="G219" s="349"/>
      <c r="H219" s="349"/>
      <c r="I219" s="349"/>
      <c r="J219" s="376"/>
      <c r="K219" s="349"/>
      <c r="L219" s="349"/>
      <c r="M219" s="349"/>
      <c r="N219" s="349"/>
    </row>
    <row r="220">
      <c r="A220" s="238" t="s">
        <v>224</v>
      </c>
      <c r="B220" s="239">
        <f t="array" ref="B220">B218/index(GiveDirectly!$B:$B,match("Units of value generated per philanthropic dollar spent, after accounting for all adjustments",GiveDirectly!$A:$A,0))</f>
        <v>34.47476545</v>
      </c>
      <c r="C220" s="239">
        <f t="array" ref="C220">C218/index(GiveDirectly!$B:$B,match("Units of value generated per philanthropic dollar spent, after accounting for all adjustments",GiveDirectly!$A:$A,0))</f>
        <v>4.805781879</v>
      </c>
      <c r="D220" s="239">
        <f t="array" ref="D220">D218/index(GiveDirectly!$B:$B,match("Units of value generated per philanthropic dollar spent, after accounting for all adjustments",GiveDirectly!$A:$A,0))</f>
        <v>1.589007359</v>
      </c>
      <c r="E220" s="239">
        <f t="array" ref="E220">E218/index(GiveDirectly!$B:$B,match("Units of value generated per philanthropic dollar spent, after accounting for all adjustments",GiveDirectly!$A:$A,0))</f>
        <v>17.6728658</v>
      </c>
      <c r="F220" s="239">
        <f t="array" ref="F220">F218/index(GiveDirectly!$B:$B,match("Units of value generated per philanthropic dollar spent, after accounting for all adjustments",GiveDirectly!$A:$A,0))</f>
        <v>0.8384323036</v>
      </c>
      <c r="G220" s="239">
        <f t="array" ref="G220">G218/index(GiveDirectly!$B:$B,match("Units of value generated per philanthropic dollar spent, after accounting for all adjustments",GiveDirectly!$A:$A,0))</f>
        <v>7.296417816</v>
      </c>
      <c r="H220" s="239">
        <f t="array" ref="H220">H218/index(GiveDirectly!$B:$B,match("Units of value generated per philanthropic dollar spent, after accounting for all adjustments",GiveDirectly!$A:$A,0))</f>
        <v>0.8384323036</v>
      </c>
      <c r="I220" s="239">
        <f t="array" ref="I220">I218/index(GiveDirectly!$B:$B,match("Units of value generated per philanthropic dollar spent, after accounting for all adjustments",GiveDirectly!$A:$A,0))</f>
        <v>1.589007359</v>
      </c>
      <c r="J220" s="239">
        <f t="array" ref="J220">J218/index(GiveDirectly!$B:$B,match("Units of value generated per philanthropic dollar spent, after accounting for all adjustments",GiveDirectly!$A:$A,0))</f>
        <v>8.922283614</v>
      </c>
      <c r="K220" s="239">
        <f t="array" ref="K220">K218/index(GiveDirectly!$B:$B,match("Units of value generated per philanthropic dollar spent, after accounting for all adjustments",GiveDirectly!$A:$A,0))</f>
        <v>14.72286417</v>
      </c>
      <c r="L220" s="239">
        <f t="array" ref="L220">L218/index(GiveDirectly!$B:$B,match("Units of value generated per philanthropic dollar spent, after accounting for all adjustments",GiveDirectly!$A:$A,0))</f>
        <v>13.97849342</v>
      </c>
      <c r="M220" s="239">
        <f t="array" ref="M220">M218/index(GiveDirectly!$B:$B,match("Units of value generated per philanthropic dollar spent, after accounting for all adjustments",GiveDirectly!$A:$A,0))</f>
        <v>11.16663959</v>
      </c>
      <c r="N220" s="239">
        <f t="array" ref="N220">N218/index(GiveDirectly!$B:$B,match("Units of value generated per philanthropic dollar spent, after accounting for all adjustments",GiveDirectly!$A:$A,0))</f>
        <v>10.96061861</v>
      </c>
    </row>
    <row r="221">
      <c r="A221" s="43" t="s">
        <v>345</v>
      </c>
      <c r="B221" s="377">
        <f t="shared" ref="B221:N221" si="76">(B220-B114)/B114</f>
        <v>0.2557848955</v>
      </c>
      <c r="C221" s="377">
        <f t="shared" si="76"/>
        <v>0.1579093422</v>
      </c>
      <c r="D221" s="377">
        <f t="shared" si="76"/>
        <v>0.05848865867</v>
      </c>
      <c r="E221" s="377">
        <f t="shared" si="76"/>
        <v>0.1983918901</v>
      </c>
      <c r="F221" s="377">
        <f t="shared" si="76"/>
        <v>-0.05054174521</v>
      </c>
      <c r="G221" s="377">
        <f t="shared" si="76"/>
        <v>0.1765432645</v>
      </c>
      <c r="H221" s="377">
        <f t="shared" si="76"/>
        <v>-0.05054174521</v>
      </c>
      <c r="I221" s="377">
        <f t="shared" si="76"/>
        <v>0.05848865867</v>
      </c>
      <c r="J221" s="377">
        <f t="shared" si="76"/>
        <v>0.1612619753</v>
      </c>
      <c r="K221" s="377">
        <f t="shared" si="76"/>
        <v>0.267543532</v>
      </c>
      <c r="L221" s="377">
        <f t="shared" si="76"/>
        <v>0.2486821258</v>
      </c>
      <c r="M221" s="377">
        <f t="shared" si="76"/>
        <v>0.2114001128</v>
      </c>
      <c r="N221" s="377">
        <f t="shared" si="76"/>
        <v>0.2456553871</v>
      </c>
    </row>
  </sheetData>
  <drawing r:id="rId2"/>
  <legacyDrawing r:id="rId3"/>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A86E8"/>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7.29" defaultRowHeight="15.0" outlineLevelRow="1"/>
  <cols>
    <col customWidth="1" min="1" max="1" width="96.57"/>
    <col customWidth="1" min="2" max="16" width="17.29"/>
  </cols>
  <sheetData>
    <row r="1">
      <c r="A1" s="378" t="s">
        <v>346</v>
      </c>
      <c r="B1" s="310" t="s">
        <v>232</v>
      </c>
      <c r="C1" s="379" t="s">
        <v>347</v>
      </c>
      <c r="D1" s="380" t="s">
        <v>79</v>
      </c>
      <c r="E1" s="380" t="s">
        <v>348</v>
      </c>
      <c r="F1" s="380" t="s">
        <v>349</v>
      </c>
      <c r="G1" s="381" t="s">
        <v>350</v>
      </c>
      <c r="H1" s="381" t="s">
        <v>82</v>
      </c>
      <c r="I1" s="380" t="s">
        <v>351</v>
      </c>
      <c r="J1" s="381" t="s">
        <v>352</v>
      </c>
      <c r="K1" s="381" t="s">
        <v>353</v>
      </c>
      <c r="L1" s="381" t="s">
        <v>354</v>
      </c>
      <c r="M1" s="381" t="s">
        <v>355</v>
      </c>
      <c r="N1" s="381" t="s">
        <v>356</v>
      </c>
      <c r="O1" s="382" t="s">
        <v>357</v>
      </c>
      <c r="P1" s="382" t="s">
        <v>358</v>
      </c>
    </row>
    <row r="2">
      <c r="A2" s="83"/>
      <c r="B2" s="151"/>
      <c r="C2" s="31"/>
      <c r="D2" s="31"/>
      <c r="E2" s="31"/>
      <c r="F2" s="31"/>
      <c r="G2" s="31"/>
      <c r="H2" s="31"/>
      <c r="I2" s="31"/>
      <c r="J2" s="31"/>
      <c r="K2" s="31"/>
      <c r="L2" s="31"/>
      <c r="M2" s="31"/>
      <c r="N2" s="31"/>
      <c r="O2" s="151"/>
      <c r="P2" s="151"/>
    </row>
    <row r="3">
      <c r="A3" s="291"/>
      <c r="B3" s="151"/>
      <c r="C3" s="291"/>
      <c r="D3" s="291"/>
      <c r="E3" s="291"/>
      <c r="F3" s="291"/>
      <c r="G3" s="291"/>
      <c r="H3" s="291"/>
      <c r="I3" s="291"/>
      <c r="J3" s="291"/>
      <c r="K3" s="291"/>
      <c r="L3" s="291"/>
      <c r="M3" s="291"/>
      <c r="N3" s="291"/>
      <c r="O3" s="151"/>
      <c r="P3" s="151"/>
    </row>
    <row r="4">
      <c r="A4" s="291"/>
      <c r="B4" s="151"/>
      <c r="C4" s="291"/>
      <c r="D4" s="291"/>
      <c r="E4" s="291"/>
      <c r="F4" s="291"/>
      <c r="G4" s="291"/>
      <c r="H4" s="291"/>
      <c r="I4" s="291"/>
      <c r="J4" s="291"/>
      <c r="K4" s="291"/>
      <c r="L4" s="291"/>
      <c r="M4" s="291"/>
      <c r="N4" s="291"/>
      <c r="O4" s="151"/>
      <c r="P4" s="151"/>
    </row>
    <row r="5">
      <c r="A5" s="315" t="s">
        <v>87</v>
      </c>
      <c r="B5" s="161"/>
      <c r="C5" s="161"/>
      <c r="D5" s="161"/>
      <c r="E5" s="161"/>
      <c r="F5" s="161"/>
      <c r="G5" s="161"/>
      <c r="H5" s="161"/>
      <c r="I5" s="161"/>
      <c r="J5" s="161"/>
      <c r="K5" s="161"/>
      <c r="L5" s="161"/>
      <c r="M5" s="161"/>
      <c r="N5" s="161"/>
      <c r="O5" s="161"/>
      <c r="P5" s="161"/>
    </row>
    <row r="6">
      <c r="A6" s="151"/>
      <c r="B6" s="151"/>
      <c r="C6" s="151"/>
      <c r="D6" s="151"/>
      <c r="E6" s="151"/>
      <c r="F6" s="151"/>
      <c r="G6" s="151"/>
      <c r="H6" s="151"/>
      <c r="I6" s="151"/>
      <c r="J6" s="151"/>
      <c r="K6" s="151"/>
      <c r="L6" s="151"/>
      <c r="M6" s="151"/>
      <c r="N6" s="151"/>
      <c r="O6" s="151"/>
      <c r="P6" s="151"/>
    </row>
    <row r="7">
      <c r="A7" s="55" t="s">
        <v>359</v>
      </c>
      <c r="B7" s="124">
        <f>sum(C7:P7)</f>
        <v>1</v>
      </c>
      <c r="C7" s="127">
        <v>0.23409825696508607</v>
      </c>
      <c r="D7" s="127">
        <v>0.07303208945298828</v>
      </c>
      <c r="E7" s="127">
        <v>0.13149467977638563</v>
      </c>
      <c r="F7" s="127">
        <v>0.16606920795064423</v>
      </c>
      <c r="G7" s="127">
        <v>0.05870864954619751</v>
      </c>
      <c r="H7" s="127">
        <v>0.12965205028429716</v>
      </c>
      <c r="I7" s="127">
        <v>0.012521108966872547</v>
      </c>
      <c r="J7" s="127">
        <v>0.03763503353150892</v>
      </c>
      <c r="K7" s="127">
        <v>0.003980788039638417</v>
      </c>
      <c r="L7" s="127">
        <v>0.01496665991413345</v>
      </c>
      <c r="M7" s="127">
        <v>0.0951845719786576</v>
      </c>
      <c r="N7" s="127">
        <v>0.013281741004873884</v>
      </c>
      <c r="O7" s="127">
        <v>0.007996010903883431</v>
      </c>
      <c r="P7" s="127">
        <v>0.02137915168483294</v>
      </c>
    </row>
    <row r="8">
      <c r="A8" s="91" t="s">
        <v>360</v>
      </c>
      <c r="B8" s="124">
        <f>B15/B16</f>
        <v>0.3881312022</v>
      </c>
      <c r="C8" s="218">
        <v>0.38813120216978847</v>
      </c>
      <c r="D8" s="218">
        <v>0.38813120216978847</v>
      </c>
      <c r="E8" s="218">
        <v>0.38813120216978847</v>
      </c>
      <c r="F8" s="218">
        <v>0.38813120216978847</v>
      </c>
      <c r="G8" s="218">
        <v>0.38813120216978847</v>
      </c>
      <c r="H8" s="218">
        <v>0.38813120216978847</v>
      </c>
      <c r="I8" s="218">
        <v>0.38813120216978847</v>
      </c>
      <c r="J8" s="218">
        <v>0.38813120216978847</v>
      </c>
      <c r="K8" s="218">
        <v>0.38813120216978847</v>
      </c>
      <c r="L8" s="218">
        <v>0.38813120216978847</v>
      </c>
      <c r="M8" s="218">
        <v>0.38813120216978847</v>
      </c>
      <c r="N8" s="218">
        <v>0.38813120216978847</v>
      </c>
      <c r="O8" s="124">
        <v>0.38813120216978847</v>
      </c>
      <c r="P8" s="124">
        <v>0.38813120216978847</v>
      </c>
    </row>
    <row r="9">
      <c r="A9" s="91" t="s">
        <v>300</v>
      </c>
      <c r="B9" s="124">
        <f t="shared" ref="B9:B11" si="1">sumproduct(C9:I9,$C$16:$I$16)/sum($C$16:$I$16)</f>
        <v>0</v>
      </c>
      <c r="C9" s="300">
        <v>0.0</v>
      </c>
      <c r="D9" s="300">
        <v>0.0</v>
      </c>
      <c r="E9" s="300">
        <v>0.0</v>
      </c>
      <c r="F9" s="300">
        <v>0.0</v>
      </c>
      <c r="G9" s="300">
        <v>0.0</v>
      </c>
      <c r="H9" s="300">
        <v>0.0</v>
      </c>
      <c r="I9" s="300">
        <v>0.0</v>
      </c>
      <c r="J9" s="300">
        <v>0.0</v>
      </c>
      <c r="K9" s="300">
        <v>0.0</v>
      </c>
      <c r="L9" s="300">
        <v>0.0</v>
      </c>
      <c r="M9" s="300">
        <v>0.0</v>
      </c>
      <c r="N9" s="300">
        <v>0.0</v>
      </c>
      <c r="O9" s="124">
        <v>0.0</v>
      </c>
      <c r="P9" s="124">
        <v>0.0</v>
      </c>
    </row>
    <row r="10">
      <c r="A10" s="91" t="s">
        <v>301</v>
      </c>
      <c r="B10" s="124">
        <f t="shared" si="1"/>
        <v>0.3</v>
      </c>
      <c r="C10" s="125">
        <v>0.3</v>
      </c>
      <c r="D10" s="125">
        <v>0.3</v>
      </c>
      <c r="E10" s="125">
        <v>0.3</v>
      </c>
      <c r="F10" s="125">
        <v>0.3</v>
      </c>
      <c r="G10" s="125">
        <v>0.3</v>
      </c>
      <c r="H10" s="125">
        <v>0.3</v>
      </c>
      <c r="I10" s="125">
        <v>0.3</v>
      </c>
      <c r="J10" s="125">
        <v>0.3</v>
      </c>
      <c r="K10" s="125">
        <v>0.3</v>
      </c>
      <c r="L10" s="125">
        <v>0.3</v>
      </c>
      <c r="M10" s="125">
        <v>0.3</v>
      </c>
      <c r="N10" s="125">
        <v>0.3</v>
      </c>
      <c r="O10" s="117">
        <v>0.3</v>
      </c>
      <c r="P10" s="117">
        <v>0.3</v>
      </c>
    </row>
    <row r="11">
      <c r="A11" s="91" t="s">
        <v>302</v>
      </c>
      <c r="B11" s="124">
        <f t="shared" si="1"/>
        <v>0.3118687978</v>
      </c>
      <c r="C11" s="125">
        <v>0.311868797830212</v>
      </c>
      <c r="D11" s="125">
        <v>0.311868797830212</v>
      </c>
      <c r="E11" s="125">
        <v>0.311868797830212</v>
      </c>
      <c r="F11" s="125">
        <v>0.311868797830212</v>
      </c>
      <c r="G11" s="125">
        <v>0.311868797830212</v>
      </c>
      <c r="H11" s="125">
        <v>0.311868797830212</v>
      </c>
      <c r="I11" s="125">
        <v>0.311868797830212</v>
      </c>
      <c r="J11" s="125">
        <v>0.311868797830212</v>
      </c>
      <c r="K11" s="125">
        <v>0.311868797830212</v>
      </c>
      <c r="L11" s="125">
        <v>0.311868797830212</v>
      </c>
      <c r="M11" s="125">
        <v>0.311868797830212</v>
      </c>
      <c r="N11" s="125">
        <v>0.311868797830212</v>
      </c>
      <c r="O11" s="117">
        <v>0.311868797830212</v>
      </c>
      <c r="P11" s="117">
        <v>0.311868797830212</v>
      </c>
    </row>
    <row r="12">
      <c r="A12" s="91"/>
      <c r="B12" s="124"/>
      <c r="C12" s="125"/>
      <c r="D12" s="125"/>
      <c r="E12" s="125"/>
      <c r="F12" s="125"/>
      <c r="G12" s="125"/>
      <c r="H12" s="125"/>
      <c r="I12" s="125"/>
      <c r="J12" s="125"/>
      <c r="K12" s="125"/>
      <c r="L12" s="125"/>
      <c r="M12" s="125"/>
      <c r="N12" s="125"/>
      <c r="O12" s="117"/>
      <c r="P12" s="117"/>
    </row>
    <row r="13">
      <c r="A13" s="86" t="s">
        <v>361</v>
      </c>
      <c r="B13" s="87"/>
      <c r="C13" s="161"/>
      <c r="D13" s="161"/>
      <c r="E13" s="161"/>
      <c r="F13" s="161"/>
      <c r="G13" s="161"/>
      <c r="H13" s="161"/>
      <c r="I13" s="161"/>
      <c r="J13" s="161"/>
      <c r="K13" s="161"/>
      <c r="L13" s="161"/>
      <c r="M13" s="161"/>
      <c r="N13" s="161"/>
      <c r="O13" s="161"/>
      <c r="P13" s="161"/>
    </row>
    <row r="14">
      <c r="A14" s="151"/>
      <c r="B14" s="151"/>
      <c r="C14" s="151"/>
      <c r="D14" s="151"/>
      <c r="E14" s="151"/>
      <c r="F14" s="151"/>
      <c r="G14" s="151"/>
      <c r="H14" s="151"/>
      <c r="I14" s="151"/>
      <c r="J14" s="151"/>
      <c r="K14" s="151"/>
      <c r="L14" s="151"/>
      <c r="M14" s="151"/>
      <c r="N14" s="151"/>
      <c r="O14" s="151"/>
      <c r="P14" s="151"/>
    </row>
    <row r="15">
      <c r="A15" s="91" t="s">
        <v>362</v>
      </c>
      <c r="B15" s="370">
        <v>100000.0</v>
      </c>
      <c r="C15" s="101">
        <f t="shared" ref="C15:P15" si="2">100000*C7</f>
        <v>23409.8257</v>
      </c>
      <c r="D15" s="101">
        <f t="shared" si="2"/>
        <v>7303.208945</v>
      </c>
      <c r="E15" s="101">
        <f t="shared" si="2"/>
        <v>13149.46798</v>
      </c>
      <c r="F15" s="101">
        <f t="shared" si="2"/>
        <v>16606.9208</v>
      </c>
      <c r="G15" s="101">
        <f t="shared" si="2"/>
        <v>5870.864955</v>
      </c>
      <c r="H15" s="101">
        <f t="shared" si="2"/>
        <v>12965.20503</v>
      </c>
      <c r="I15" s="101">
        <f t="shared" si="2"/>
        <v>1252.110897</v>
      </c>
      <c r="J15" s="101">
        <f t="shared" si="2"/>
        <v>3763.503353</v>
      </c>
      <c r="K15" s="101">
        <f t="shared" si="2"/>
        <v>398.078804</v>
      </c>
      <c r="L15" s="101">
        <f t="shared" si="2"/>
        <v>1496.665991</v>
      </c>
      <c r="M15" s="101">
        <f t="shared" si="2"/>
        <v>9518.457198</v>
      </c>
      <c r="N15" s="101">
        <f t="shared" si="2"/>
        <v>1328.1741</v>
      </c>
      <c r="O15" s="101">
        <f t="shared" si="2"/>
        <v>799.6010904</v>
      </c>
      <c r="P15" s="101">
        <f t="shared" si="2"/>
        <v>2137.915168</v>
      </c>
    </row>
    <row r="16">
      <c r="A16" s="91" t="s">
        <v>363</v>
      </c>
      <c r="B16" s="370">
        <f>sum(C16:P16)</f>
        <v>257644.8362</v>
      </c>
      <c r="C16" s="101">
        <f t="shared" ref="C16:P16" si="3">C15/C8</f>
        <v>60314.20707</v>
      </c>
      <c r="D16" s="101">
        <f t="shared" si="3"/>
        <v>18816.34072</v>
      </c>
      <c r="E16" s="101">
        <f t="shared" si="3"/>
        <v>33878.92523</v>
      </c>
      <c r="F16" s="101">
        <f t="shared" si="3"/>
        <v>42786.87388</v>
      </c>
      <c r="G16" s="101">
        <f t="shared" si="3"/>
        <v>15125.98039</v>
      </c>
      <c r="H16" s="101">
        <f t="shared" si="3"/>
        <v>33404.18126</v>
      </c>
      <c r="I16" s="101">
        <f t="shared" si="3"/>
        <v>3225.999069</v>
      </c>
      <c r="J16" s="101">
        <f t="shared" si="3"/>
        <v>9696.472049</v>
      </c>
      <c r="K16" s="101">
        <f t="shared" si="3"/>
        <v>1025.629482</v>
      </c>
      <c r="L16" s="101">
        <f t="shared" si="3"/>
        <v>3856.082642</v>
      </c>
      <c r="M16" s="101">
        <f t="shared" si="3"/>
        <v>24523.81345</v>
      </c>
      <c r="N16" s="101">
        <f t="shared" si="3"/>
        <v>3421.971985</v>
      </c>
      <c r="O16" s="101">
        <f t="shared" si="3"/>
        <v>2060.130919</v>
      </c>
      <c r="P16" s="101">
        <f t="shared" si="3"/>
        <v>5508.228034</v>
      </c>
    </row>
    <row r="17">
      <c r="A17" s="383" t="s">
        <v>364</v>
      </c>
      <c r="B17" s="117">
        <f>sumproduct(C17:P17,C25:P25)</f>
        <v>0.7862707986</v>
      </c>
      <c r="C17" s="384">
        <v>0.7284988186706637</v>
      </c>
      <c r="D17" s="384">
        <v>0.9373111283519001</v>
      </c>
      <c r="E17" s="127">
        <v>1.0</v>
      </c>
      <c r="F17" s="384">
        <v>0.9081686885489371</v>
      </c>
      <c r="G17" s="127">
        <v>1.0</v>
      </c>
      <c r="H17" s="384">
        <v>0.457944666652458</v>
      </c>
      <c r="I17" s="384">
        <v>0.7058896863871426</v>
      </c>
      <c r="J17" s="92">
        <v>1.0</v>
      </c>
      <c r="K17" s="384">
        <v>0.25308255136382374</v>
      </c>
      <c r="L17" s="384">
        <v>0.25308255136382374</v>
      </c>
      <c r="M17" s="384">
        <v>0.7203359148473175</v>
      </c>
      <c r="N17" s="384">
        <v>0.38242938655957437</v>
      </c>
      <c r="O17" s="127">
        <v>1.0</v>
      </c>
      <c r="P17" s="127">
        <v>0.6535351615065245</v>
      </c>
    </row>
    <row r="18">
      <c r="A18" s="126" t="s">
        <v>365</v>
      </c>
      <c r="B18" s="385">
        <f>sumproduct(C18:P18,C25:P25)</f>
        <v>0.09210438715</v>
      </c>
      <c r="C18" s="333">
        <v>0.0567455696966266</v>
      </c>
      <c r="D18" s="333">
        <v>0.20523514303046</v>
      </c>
      <c r="E18" s="333">
        <v>0.20523514303046</v>
      </c>
      <c r="F18" s="333">
        <v>0.0694402091605142</v>
      </c>
      <c r="G18" s="333">
        <v>0.0926444342784436</v>
      </c>
      <c r="H18" s="333">
        <v>0.00904174063828909</v>
      </c>
      <c r="I18" s="333">
        <v>0.16756655922212</v>
      </c>
      <c r="J18" s="333">
        <v>0.125868736495878</v>
      </c>
      <c r="K18" s="333">
        <v>0.0333990673575394</v>
      </c>
      <c r="L18" s="333">
        <v>0.0061850124736184</v>
      </c>
      <c r="M18" s="333">
        <v>0.0754548639482678</v>
      </c>
      <c r="N18" s="333">
        <v>0.0436878408040972</v>
      </c>
      <c r="O18" s="333">
        <v>0.20523514303046</v>
      </c>
      <c r="P18" s="333">
        <v>0.10463035737745</v>
      </c>
    </row>
    <row r="19">
      <c r="A19" s="116" t="s">
        <v>366</v>
      </c>
      <c r="B19" s="137">
        <f>'Deworm the World'!$B$27</f>
        <v>0.2062707248</v>
      </c>
      <c r="C19" s="137">
        <f>'Deworm the World'!$B$27</f>
        <v>0.2062707248</v>
      </c>
      <c r="D19" s="137">
        <f>'Deworm the World'!$B$27</f>
        <v>0.2062707248</v>
      </c>
      <c r="E19" s="137">
        <f>'Deworm the World'!$B$27</f>
        <v>0.2062707248</v>
      </c>
      <c r="F19" s="137">
        <f>'Deworm the World'!$B$27</f>
        <v>0.2062707248</v>
      </c>
      <c r="G19" s="137">
        <f>'Deworm the World'!$B$27</f>
        <v>0.2062707248</v>
      </c>
      <c r="H19" s="137">
        <f>'Deworm the World'!$B$27</f>
        <v>0.2062707248</v>
      </c>
      <c r="I19" s="137">
        <f>'Deworm the World'!$B$27</f>
        <v>0.2062707248</v>
      </c>
      <c r="J19" s="137">
        <f>'Deworm the World'!$B$27</f>
        <v>0.2062707248</v>
      </c>
      <c r="K19" s="137">
        <f>'Deworm the World'!$B$27</f>
        <v>0.2062707248</v>
      </c>
      <c r="L19" s="137">
        <f>'Deworm the World'!$B$27</f>
        <v>0.2062707248</v>
      </c>
      <c r="M19" s="137">
        <f>'Deworm the World'!$B$27</f>
        <v>0.2062707248</v>
      </c>
      <c r="N19" s="137">
        <f>'Deworm the World'!$B$27</f>
        <v>0.2062707248</v>
      </c>
      <c r="O19" s="137">
        <f>'Deworm the World'!$B$27</f>
        <v>0.2062707248</v>
      </c>
      <c r="P19" s="137">
        <f>'Deworm the World'!$B$27</f>
        <v>0.2062707248</v>
      </c>
    </row>
    <row r="20">
      <c r="A20" s="386" t="s">
        <v>367</v>
      </c>
      <c r="B20" s="387">
        <f t="shared" ref="B20:P20" si="4">B19*B17*B18</f>
        <v>0.01493791757</v>
      </c>
      <c r="C20" s="388">
        <f t="shared" si="4"/>
        <v>0.008527042096</v>
      </c>
      <c r="D20" s="388">
        <f t="shared" si="4"/>
        <v>0.03968013091</v>
      </c>
      <c r="E20" s="388">
        <f t="shared" si="4"/>
        <v>0.04233400171</v>
      </c>
      <c r="F20" s="388">
        <f t="shared" si="4"/>
        <v>0.01300813811</v>
      </c>
      <c r="G20" s="388">
        <f t="shared" si="4"/>
        <v>0.01910983461</v>
      </c>
      <c r="H20" s="388">
        <f t="shared" si="4"/>
        <v>0.0008540880498</v>
      </c>
      <c r="I20" s="388">
        <f t="shared" si="4"/>
        <v>0.02439842451</v>
      </c>
      <c r="J20" s="388">
        <f t="shared" si="4"/>
        <v>0.02596303551</v>
      </c>
      <c r="K20" s="388">
        <f t="shared" si="4"/>
        <v>0.001743548925</v>
      </c>
      <c r="L20" s="388">
        <f t="shared" si="4"/>
        <v>0.0003228794305</v>
      </c>
      <c r="M20" s="388">
        <f t="shared" si="4"/>
        <v>0.01121140145</v>
      </c>
      <c r="N20" s="388">
        <f t="shared" si="4"/>
        <v>0.003446271056</v>
      </c>
      <c r="O20" s="387">
        <f t="shared" si="4"/>
        <v>0.04233400171</v>
      </c>
      <c r="P20" s="387">
        <f t="shared" si="4"/>
        <v>0.01410471327</v>
      </c>
    </row>
    <row r="21">
      <c r="A21" s="389" t="s">
        <v>65</v>
      </c>
      <c r="B21" s="137">
        <f t="array" ref="B21">index('Moral weights and discount rate'!$A$1:$ZU$39,match($A21,'Moral weights and discount rate'!$A$1:$A$39,0),match('Moral weights and discount rate'!$A$17,'Moral weights and discount rate'!$A$1:$ZU$1,0))</f>
        <v>1.442695041</v>
      </c>
      <c r="C21" s="137">
        <f t="array" ref="C21">index('Moral weights and discount rate'!$A$1:$ZU$39,match($A21,'Moral weights and discount rate'!$A$1:$A$39,0),match('Moral weights and discount rate'!$A$17,'Moral weights and discount rate'!$A$1:$ZU$1,0))</f>
        <v>1.442695041</v>
      </c>
      <c r="D21" s="137">
        <f t="array" ref="D21">index('Moral weights and discount rate'!$A$1:$ZU$39,match($A21,'Moral weights and discount rate'!$A$1:$A$39,0),match('Moral weights and discount rate'!$A$17,'Moral weights and discount rate'!$A$1:$ZU$1,0))</f>
        <v>1.442695041</v>
      </c>
      <c r="E21" s="137">
        <f t="array" ref="E21">index('Moral weights and discount rate'!$A$1:$ZU$39,match($A21,'Moral weights and discount rate'!$A$1:$A$39,0),match('Moral weights and discount rate'!$A$17,'Moral weights and discount rate'!$A$1:$ZU$1,0))</f>
        <v>1.442695041</v>
      </c>
      <c r="F21" s="137">
        <f t="array" ref="F21">index('Moral weights and discount rate'!$A$1:$ZU$39,match($A21,'Moral weights and discount rate'!$A$1:$A$39,0),match('Moral weights and discount rate'!$A$17,'Moral weights and discount rate'!$A$1:$ZU$1,0))</f>
        <v>1.442695041</v>
      </c>
      <c r="G21" s="137">
        <f t="array" ref="G21">index('Moral weights and discount rate'!$A$1:$ZU$39,match($A21,'Moral weights and discount rate'!$A$1:$A$39,0),match('Moral weights and discount rate'!$A$17,'Moral weights and discount rate'!$A$1:$ZU$1,0))</f>
        <v>1.442695041</v>
      </c>
      <c r="H21" s="137">
        <f t="array" ref="H21">index('Moral weights and discount rate'!$A$1:$ZU$39,match($A21,'Moral weights and discount rate'!$A$1:$A$39,0),match('Moral weights and discount rate'!$A$17,'Moral weights and discount rate'!$A$1:$ZU$1,0))</f>
        <v>1.442695041</v>
      </c>
      <c r="I21" s="137">
        <f t="array" ref="I21">index('Moral weights and discount rate'!$A$1:$ZU$39,match($A21,'Moral weights and discount rate'!$A$1:$A$39,0),match('Moral weights and discount rate'!$A$17,'Moral weights and discount rate'!$A$1:$ZU$1,0))</f>
        <v>1.442695041</v>
      </c>
      <c r="J21" s="137">
        <f t="array" ref="J21">index('Moral weights and discount rate'!$A$1:$ZU$39,match($A21,'Moral weights and discount rate'!$A$1:$A$39,0),match('Moral weights and discount rate'!$A$17,'Moral weights and discount rate'!$A$1:$ZU$1,0))</f>
        <v>1.442695041</v>
      </c>
      <c r="K21" s="137">
        <f t="array" ref="K21">index('Moral weights and discount rate'!$A$1:$ZU$39,match($A21,'Moral weights and discount rate'!$A$1:$A$39,0),match('Moral weights and discount rate'!$A$17,'Moral weights and discount rate'!$A$1:$ZU$1,0))</f>
        <v>1.442695041</v>
      </c>
      <c r="L21" s="137">
        <f t="array" ref="L21">index('Moral weights and discount rate'!$A$1:$ZU$39,match($A21,'Moral weights and discount rate'!$A$1:$A$39,0),match('Moral weights and discount rate'!$A$17,'Moral weights and discount rate'!$A$1:$ZU$1,0))</f>
        <v>1.442695041</v>
      </c>
      <c r="M21" s="137">
        <f t="array" ref="M21">index('Moral weights and discount rate'!$A$1:$ZU$39,match($A21,'Moral weights and discount rate'!$A$1:$A$39,0),match('Moral weights and discount rate'!$A$17,'Moral weights and discount rate'!$A$1:$ZU$1,0))</f>
        <v>1.442695041</v>
      </c>
      <c r="N21" s="137">
        <f t="array" ref="N21">index('Moral weights and discount rate'!$A$1:$ZU$39,match($A21,'Moral weights and discount rate'!$A$1:$A$39,0),match('Moral weights and discount rate'!$A$17,'Moral weights and discount rate'!$A$1:$ZU$1,0))</f>
        <v>1.442695041</v>
      </c>
      <c r="O21" s="137">
        <f t="array" ref="O21">index('Moral weights and discount rate'!$A$1:$ZU$39,match($A21,'Moral weights and discount rate'!$A$1:$A$39,0),match('Moral weights and discount rate'!$A$17,'Moral weights and discount rate'!$A$1:$ZU$1,0))</f>
        <v>1.442695041</v>
      </c>
      <c r="P21" s="137">
        <f t="array" ref="P21">index('Moral weights and discount rate'!$A$1:$ZU$39,match($A21,'Moral weights and discount rate'!$A$1:$A$39,0),match('Moral weights and discount rate'!$A$17,'Moral weights and discount rate'!$A$1:$ZU$1,0))</f>
        <v>1.442695041</v>
      </c>
    </row>
    <row r="22">
      <c r="A22" s="390" t="s">
        <v>368</v>
      </c>
      <c r="B22" s="391">
        <f>(B20*$B$21)</f>
        <v>0.0215508596</v>
      </c>
      <c r="C22" s="392">
        <f t="shared" ref="C22:P22" si="5">(C20*C21)</f>
        <v>0.01230192135</v>
      </c>
      <c r="D22" s="392">
        <f t="shared" si="5"/>
        <v>0.05724632809</v>
      </c>
      <c r="E22" s="392">
        <f t="shared" si="5"/>
        <v>0.06107505433</v>
      </c>
      <c r="F22" s="392">
        <f t="shared" si="5"/>
        <v>0.01876677635</v>
      </c>
      <c r="G22" s="392">
        <f t="shared" si="5"/>
        <v>0.02756966362</v>
      </c>
      <c r="H22" s="392">
        <f t="shared" si="5"/>
        <v>0.001232188594</v>
      </c>
      <c r="I22" s="392">
        <f t="shared" si="5"/>
        <v>0.03519948604</v>
      </c>
      <c r="J22" s="392">
        <f t="shared" si="5"/>
        <v>0.03745674258</v>
      </c>
      <c r="K22" s="392">
        <f t="shared" si="5"/>
        <v>0.002515409387</v>
      </c>
      <c r="L22" s="392">
        <f t="shared" si="5"/>
        <v>0.0004658165532</v>
      </c>
      <c r="M22" s="392">
        <f t="shared" si="5"/>
        <v>0.01617463327</v>
      </c>
      <c r="N22" s="392">
        <f t="shared" si="5"/>
        <v>0.004971918162</v>
      </c>
      <c r="O22" s="391">
        <f t="shared" si="5"/>
        <v>0.06107505433</v>
      </c>
      <c r="P22" s="391">
        <f t="shared" si="5"/>
        <v>0.02034879988</v>
      </c>
    </row>
    <row r="23">
      <c r="A23" s="393" t="s">
        <v>369</v>
      </c>
      <c r="B23" s="339">
        <v>1.02896622632932</v>
      </c>
      <c r="C23" s="339">
        <v>1.02896622632932</v>
      </c>
      <c r="D23" s="339">
        <v>1.02896622632932</v>
      </c>
      <c r="E23" s="339">
        <v>1.02896622632932</v>
      </c>
      <c r="F23" s="339">
        <v>1.02896622632932</v>
      </c>
      <c r="G23" s="339">
        <v>1.02896622632932</v>
      </c>
      <c r="H23" s="339">
        <v>1.02896622632932</v>
      </c>
      <c r="I23" s="339">
        <v>1.02896622632932</v>
      </c>
      <c r="J23" s="339">
        <v>1.02896622632932</v>
      </c>
      <c r="K23" s="339">
        <v>1.02896622632932</v>
      </c>
      <c r="L23" s="339">
        <v>1.02896622632932</v>
      </c>
      <c r="M23" s="339">
        <v>1.02896622632932</v>
      </c>
      <c r="N23" s="339">
        <v>1.02896622632932</v>
      </c>
      <c r="O23" s="339">
        <v>1.02896622632932</v>
      </c>
      <c r="P23" s="339">
        <v>1.02896622632932</v>
      </c>
    </row>
    <row r="24">
      <c r="A24" s="91" t="s">
        <v>370</v>
      </c>
      <c r="B24" s="118">
        <f t="shared" ref="B24:B25" si="7">sum(C24:P24)</f>
        <v>250391.927</v>
      </c>
      <c r="C24" s="118">
        <f t="shared" ref="C24:P24" si="6">C16/C23</f>
        <v>58616.31366</v>
      </c>
      <c r="D24" s="118">
        <f t="shared" si="6"/>
        <v>18286.64561</v>
      </c>
      <c r="E24" s="118">
        <f t="shared" si="6"/>
        <v>32925.20625</v>
      </c>
      <c r="F24" s="118">
        <f t="shared" si="6"/>
        <v>41582.38899</v>
      </c>
      <c r="G24" s="118">
        <f t="shared" si="6"/>
        <v>14700.17189</v>
      </c>
      <c r="H24" s="118">
        <f t="shared" si="6"/>
        <v>32463.8267</v>
      </c>
      <c r="I24" s="118">
        <f t="shared" si="6"/>
        <v>3135.184602</v>
      </c>
      <c r="J24" s="118">
        <f t="shared" si="6"/>
        <v>9423.508567</v>
      </c>
      <c r="K24" s="118">
        <f t="shared" si="6"/>
        <v>996.757188</v>
      </c>
      <c r="L24" s="118">
        <f t="shared" si="6"/>
        <v>3747.530816</v>
      </c>
      <c r="M24" s="118">
        <f t="shared" si="6"/>
        <v>23833.44839</v>
      </c>
      <c r="N24" s="118">
        <f t="shared" si="6"/>
        <v>3325.640724</v>
      </c>
      <c r="O24" s="118">
        <f t="shared" si="6"/>
        <v>2002.136578</v>
      </c>
      <c r="P24" s="118">
        <f t="shared" si="6"/>
        <v>5353.166987</v>
      </c>
    </row>
    <row r="25">
      <c r="A25" s="394" t="s">
        <v>371</v>
      </c>
      <c r="B25" s="124">
        <f t="shared" si="7"/>
        <v>1</v>
      </c>
      <c r="C25" s="117">
        <f t="shared" ref="C25:P25" si="8">C24/$B$24</f>
        <v>0.234098257</v>
      </c>
      <c r="D25" s="117">
        <f t="shared" si="8"/>
        <v>0.07303208945</v>
      </c>
      <c r="E25" s="117">
        <f t="shared" si="8"/>
        <v>0.1314946798</v>
      </c>
      <c r="F25" s="117">
        <f t="shared" si="8"/>
        <v>0.166069208</v>
      </c>
      <c r="G25" s="117">
        <f t="shared" si="8"/>
        <v>0.05870864955</v>
      </c>
      <c r="H25" s="117">
        <f t="shared" si="8"/>
        <v>0.1296520503</v>
      </c>
      <c r="I25" s="117">
        <f t="shared" si="8"/>
        <v>0.01252110897</v>
      </c>
      <c r="J25" s="117">
        <f t="shared" si="8"/>
        <v>0.03763503353</v>
      </c>
      <c r="K25" s="117">
        <f t="shared" si="8"/>
        <v>0.00398078804</v>
      </c>
      <c r="L25" s="117">
        <f t="shared" si="8"/>
        <v>0.01496665991</v>
      </c>
      <c r="M25" s="117">
        <f t="shared" si="8"/>
        <v>0.09518457198</v>
      </c>
      <c r="N25" s="117">
        <f t="shared" si="8"/>
        <v>0.013281741</v>
      </c>
      <c r="O25" s="117">
        <f t="shared" si="8"/>
        <v>0.007996010904</v>
      </c>
      <c r="P25" s="117">
        <f t="shared" si="8"/>
        <v>0.02137915168</v>
      </c>
    </row>
    <row r="26">
      <c r="A26" s="395"/>
      <c r="B26" s="151"/>
      <c r="C26" s="291"/>
      <c r="D26" s="291"/>
      <c r="E26" s="291"/>
      <c r="F26" s="291"/>
      <c r="G26" s="291"/>
      <c r="H26" s="291"/>
      <c r="I26" s="291"/>
      <c r="J26" s="291"/>
      <c r="K26" s="291"/>
      <c r="L26" s="291"/>
      <c r="M26" s="291"/>
      <c r="N26" s="291"/>
      <c r="O26" s="151"/>
      <c r="P26" s="151"/>
    </row>
    <row r="27">
      <c r="A27" s="43"/>
      <c r="B27" s="151"/>
      <c r="C27" s="291"/>
      <c r="D27" s="291"/>
      <c r="E27" s="291"/>
      <c r="F27" s="291"/>
      <c r="G27" s="291"/>
      <c r="H27" s="291"/>
      <c r="I27" s="291"/>
      <c r="J27" s="291"/>
      <c r="K27" s="291"/>
      <c r="L27" s="291"/>
      <c r="M27" s="291"/>
      <c r="N27" s="291"/>
      <c r="O27" s="151"/>
      <c r="P27" s="151"/>
    </row>
    <row r="28">
      <c r="A28" s="396" t="s">
        <v>311</v>
      </c>
      <c r="B28" s="161"/>
      <c r="C28" s="397"/>
      <c r="D28" s="397"/>
      <c r="E28" s="397"/>
      <c r="F28" s="397"/>
      <c r="G28" s="397"/>
      <c r="H28" s="397"/>
      <c r="I28" s="397"/>
      <c r="J28" s="397"/>
      <c r="K28" s="397"/>
      <c r="L28" s="397"/>
      <c r="M28" s="397"/>
      <c r="N28" s="397"/>
      <c r="O28" s="161"/>
      <c r="P28" s="161"/>
    </row>
    <row r="29">
      <c r="A29" s="398"/>
      <c r="B29" s="151"/>
      <c r="C29" s="291"/>
      <c r="D29" s="399"/>
      <c r="E29" s="291"/>
      <c r="F29" s="291"/>
      <c r="G29" s="291"/>
      <c r="H29" s="291"/>
      <c r="I29" s="291"/>
      <c r="J29" s="291"/>
      <c r="K29" s="291"/>
      <c r="L29" s="291"/>
      <c r="M29" s="291"/>
      <c r="N29" s="291"/>
      <c r="O29" s="151"/>
      <c r="P29" s="151"/>
    </row>
    <row r="30">
      <c r="A30" s="43" t="s">
        <v>372</v>
      </c>
      <c r="B30" s="229">
        <f>product('Deworm the World'!$B$11:$B$12,B18)</f>
        <v>0.0107762133</v>
      </c>
      <c r="C30" s="229">
        <f>product('Deworm the World'!$B$11:$B$12,C18)</f>
        <v>0.006639231655</v>
      </c>
      <c r="D30" s="229">
        <f>product('Deworm the World'!$B$11:$B$12,D18)</f>
        <v>0.02401251173</v>
      </c>
      <c r="E30" s="229">
        <f>product('Deworm the World'!$B$11:$B$12,E18)</f>
        <v>0.02401251173</v>
      </c>
      <c r="F30" s="229">
        <f>product('Deworm the World'!$B$11:$B$12,F18)</f>
        <v>0.008124504472</v>
      </c>
      <c r="G30" s="229">
        <f>product('Deworm the World'!$B$11:$B$12,G18)</f>
        <v>0.01083939881</v>
      </c>
      <c r="H30" s="229">
        <f>product('Deworm the World'!$B$11:$B$12,H18)</f>
        <v>0.001057883655</v>
      </c>
      <c r="I30" s="229">
        <f>product('Deworm the World'!$B$11:$B$12,I18)</f>
        <v>0.01960528743</v>
      </c>
      <c r="J30" s="229">
        <f>product('Deworm the World'!$B$11:$B$12,J18)</f>
        <v>0.01472664217</v>
      </c>
      <c r="K30" s="229">
        <f>product('Deworm the World'!$B$11:$B$12,K18)</f>
        <v>0.003907690881</v>
      </c>
      <c r="L30" s="229">
        <f>product('Deworm the World'!$B$11:$B$12,L18)</f>
        <v>0.0007236464594</v>
      </c>
      <c r="M30" s="229">
        <f>product('Deworm the World'!$B$11:$B$12,M18)</f>
        <v>0.008828219082</v>
      </c>
      <c r="N30" s="229">
        <f>product('Deworm the World'!$B$11:$B$12,N18)</f>
        <v>0.005111477374</v>
      </c>
      <c r="O30" s="229">
        <f>product('Deworm the World'!$B$11:$B$12,O18)</f>
        <v>0.02401251173</v>
      </c>
      <c r="P30" s="229">
        <f>product('Deworm the World'!$B$11:$B$12,P18)</f>
        <v>0.01224175181</v>
      </c>
    </row>
    <row r="31">
      <c r="A31" s="43"/>
      <c r="B31" s="151"/>
      <c r="C31" s="291"/>
      <c r="D31" s="400"/>
      <c r="E31" s="291"/>
      <c r="F31" s="291"/>
      <c r="G31" s="291"/>
      <c r="H31" s="291"/>
      <c r="I31" s="291"/>
      <c r="J31" s="291"/>
      <c r="K31" s="291"/>
      <c r="L31" s="291"/>
      <c r="M31" s="291"/>
      <c r="N31" s="291"/>
      <c r="O31" s="151"/>
      <c r="P31" s="151"/>
    </row>
    <row r="32">
      <c r="A32" s="401" t="s">
        <v>180</v>
      </c>
      <c r="B32" s="161"/>
      <c r="C32" s="397"/>
      <c r="D32" s="397"/>
      <c r="E32" s="397"/>
      <c r="F32" s="397"/>
      <c r="G32" s="397"/>
      <c r="H32" s="397"/>
      <c r="I32" s="397"/>
      <c r="J32" s="397"/>
      <c r="K32" s="397"/>
      <c r="L32" s="397"/>
      <c r="M32" s="397"/>
      <c r="N32" s="397"/>
      <c r="O32" s="161"/>
      <c r="P32" s="161"/>
    </row>
    <row r="33">
      <c r="A33" s="43"/>
      <c r="B33" s="151"/>
      <c r="C33" s="291"/>
      <c r="D33" s="400"/>
      <c r="E33" s="291"/>
      <c r="F33" s="291"/>
      <c r="G33" s="291"/>
      <c r="H33" s="291"/>
      <c r="I33" s="291"/>
      <c r="J33" s="291"/>
      <c r="K33" s="291"/>
      <c r="L33" s="291"/>
      <c r="M33" s="291"/>
      <c r="N33" s="291"/>
      <c r="O33" s="151"/>
      <c r="P33" s="151"/>
    </row>
    <row r="34">
      <c r="A34" s="402" t="str">
        <f t="shared" ref="A34:P34" si="9">A20</f>
        <v>Present value of lifetime benefits from a year of deworming — in terms of increases in ln(consumption) — Unlimit Health</v>
      </c>
      <c r="B34" s="403">
        <f t="shared" si="9"/>
        <v>0.01493791757</v>
      </c>
      <c r="C34" s="404">
        <f t="shared" si="9"/>
        <v>0.008527042096</v>
      </c>
      <c r="D34" s="404">
        <f t="shared" si="9"/>
        <v>0.03968013091</v>
      </c>
      <c r="E34" s="404">
        <f t="shared" si="9"/>
        <v>0.04233400171</v>
      </c>
      <c r="F34" s="404">
        <f t="shared" si="9"/>
        <v>0.01300813811</v>
      </c>
      <c r="G34" s="404">
        <f t="shared" si="9"/>
        <v>0.01910983461</v>
      </c>
      <c r="H34" s="404">
        <f t="shared" si="9"/>
        <v>0.0008540880498</v>
      </c>
      <c r="I34" s="404">
        <f t="shared" si="9"/>
        <v>0.02439842451</v>
      </c>
      <c r="J34" s="404">
        <f t="shared" si="9"/>
        <v>0.02596303551</v>
      </c>
      <c r="K34" s="404">
        <f t="shared" si="9"/>
        <v>0.001743548925</v>
      </c>
      <c r="L34" s="404">
        <f t="shared" si="9"/>
        <v>0.0003228794305</v>
      </c>
      <c r="M34" s="404">
        <f t="shared" si="9"/>
        <v>0.01121140145</v>
      </c>
      <c r="N34" s="404">
        <f t="shared" si="9"/>
        <v>0.003446271056</v>
      </c>
      <c r="O34" s="403">
        <f t="shared" si="9"/>
        <v>0.04233400171</v>
      </c>
      <c r="P34" s="403">
        <f t="shared" si="9"/>
        <v>0.01410471327</v>
      </c>
    </row>
    <row r="35">
      <c r="A35" s="405" t="str">
        <f t="shared" ref="A35:P35" si="10">A21</f>
        <v>Value assigned to increasing ln(consumption) by one unit for one person for one year</v>
      </c>
      <c r="B35" s="137">
        <f t="shared" si="10"/>
        <v>1.442695041</v>
      </c>
      <c r="C35" s="406">
        <f t="shared" si="10"/>
        <v>1.442695041</v>
      </c>
      <c r="D35" s="406">
        <f t="shared" si="10"/>
        <v>1.442695041</v>
      </c>
      <c r="E35" s="406">
        <f t="shared" si="10"/>
        <v>1.442695041</v>
      </c>
      <c r="F35" s="406">
        <f t="shared" si="10"/>
        <v>1.442695041</v>
      </c>
      <c r="G35" s="406">
        <f t="shared" si="10"/>
        <v>1.442695041</v>
      </c>
      <c r="H35" s="406">
        <f t="shared" si="10"/>
        <v>1.442695041</v>
      </c>
      <c r="I35" s="406">
        <f t="shared" si="10"/>
        <v>1.442695041</v>
      </c>
      <c r="J35" s="406">
        <f t="shared" si="10"/>
        <v>1.442695041</v>
      </c>
      <c r="K35" s="406">
        <f t="shared" si="10"/>
        <v>1.442695041</v>
      </c>
      <c r="L35" s="406">
        <f t="shared" si="10"/>
        <v>1.442695041</v>
      </c>
      <c r="M35" s="406">
        <f t="shared" si="10"/>
        <v>1.442695041</v>
      </c>
      <c r="N35" s="406">
        <f t="shared" si="10"/>
        <v>1.442695041</v>
      </c>
      <c r="O35" s="137">
        <f t="shared" si="10"/>
        <v>1.442695041</v>
      </c>
      <c r="P35" s="137">
        <f t="shared" si="10"/>
        <v>1.442695041</v>
      </c>
    </row>
    <row r="36">
      <c r="A36" s="43" t="str">
        <f t="shared" ref="A36:P36" si="11">A24</f>
        <v>Total number of children dewormed (per year) — Unlimit Health</v>
      </c>
      <c r="B36" s="407">
        <f t="shared" si="11"/>
        <v>250391.927</v>
      </c>
      <c r="C36" s="408">
        <f t="shared" si="11"/>
        <v>58616.31366</v>
      </c>
      <c r="D36" s="408">
        <f t="shared" si="11"/>
        <v>18286.64561</v>
      </c>
      <c r="E36" s="408">
        <f t="shared" si="11"/>
        <v>32925.20625</v>
      </c>
      <c r="F36" s="408">
        <f t="shared" si="11"/>
        <v>41582.38899</v>
      </c>
      <c r="G36" s="408">
        <f t="shared" si="11"/>
        <v>14700.17189</v>
      </c>
      <c r="H36" s="408">
        <f t="shared" si="11"/>
        <v>32463.8267</v>
      </c>
      <c r="I36" s="408">
        <f t="shared" si="11"/>
        <v>3135.184602</v>
      </c>
      <c r="J36" s="408">
        <f t="shared" si="11"/>
        <v>9423.508567</v>
      </c>
      <c r="K36" s="408">
        <f t="shared" si="11"/>
        <v>996.757188</v>
      </c>
      <c r="L36" s="408">
        <f t="shared" si="11"/>
        <v>3747.530816</v>
      </c>
      <c r="M36" s="408">
        <f t="shared" si="11"/>
        <v>23833.44839</v>
      </c>
      <c r="N36" s="408">
        <f t="shared" si="11"/>
        <v>3325.640724</v>
      </c>
      <c r="O36" s="409">
        <f t="shared" si="11"/>
        <v>2002.136578</v>
      </c>
      <c r="P36" s="409">
        <f t="shared" si="11"/>
        <v>5353.166987</v>
      </c>
    </row>
    <row r="37">
      <c r="A37" s="410" t="s">
        <v>373</v>
      </c>
      <c r="B37" s="118">
        <f>sum(C37:P37)</f>
        <v>6105.320061</v>
      </c>
      <c r="C37" s="411">
        <f t="shared" ref="C37:P37" si="12">product(C34:C36)</f>
        <v>721.0932802</v>
      </c>
      <c r="D37" s="411">
        <f t="shared" si="12"/>
        <v>1046.843314</v>
      </c>
      <c r="E37" s="411">
        <f t="shared" si="12"/>
        <v>2010.908761</v>
      </c>
      <c r="F37" s="411">
        <f t="shared" si="12"/>
        <v>780.3673942</v>
      </c>
      <c r="G37" s="411">
        <f t="shared" si="12"/>
        <v>405.2787942</v>
      </c>
      <c r="H37" s="411">
        <f t="shared" si="12"/>
        <v>40.00155698</v>
      </c>
      <c r="I37" s="411">
        <f t="shared" si="12"/>
        <v>110.3568866</v>
      </c>
      <c r="J37" s="411">
        <f t="shared" si="12"/>
        <v>352.9739346</v>
      </c>
      <c r="K37" s="411">
        <f t="shared" si="12"/>
        <v>2.507252387</v>
      </c>
      <c r="L37" s="411">
        <f t="shared" si="12"/>
        <v>1.745661888</v>
      </c>
      <c r="M37" s="411">
        <f t="shared" si="12"/>
        <v>385.4972873</v>
      </c>
      <c r="N37" s="411">
        <f t="shared" si="12"/>
        <v>16.53481351</v>
      </c>
      <c r="O37" s="118">
        <f t="shared" si="12"/>
        <v>122.2806003</v>
      </c>
      <c r="P37" s="118">
        <f t="shared" si="12"/>
        <v>108.9305238</v>
      </c>
    </row>
    <row r="38">
      <c r="A38" s="202" t="s">
        <v>374</v>
      </c>
      <c r="B38" s="203">
        <f t="shared" ref="B38:P38" si="13">B37/B16</f>
        <v>0.02369665215</v>
      </c>
      <c r="C38" s="326">
        <f t="shared" si="13"/>
        <v>0.01195561237</v>
      </c>
      <c r="D38" s="326">
        <f t="shared" si="13"/>
        <v>0.05563479794</v>
      </c>
      <c r="E38" s="326">
        <f t="shared" si="13"/>
        <v>0.05935574246</v>
      </c>
      <c r="F38" s="326">
        <f t="shared" si="13"/>
        <v>0.01823847651</v>
      </c>
      <c r="G38" s="326">
        <f t="shared" si="13"/>
        <v>0.02679355543</v>
      </c>
      <c r="H38" s="326">
        <f t="shared" si="13"/>
        <v>0.001197501495</v>
      </c>
      <c r="I38" s="326">
        <f t="shared" si="13"/>
        <v>0.03420859222</v>
      </c>
      <c r="J38" s="326">
        <f t="shared" si="13"/>
        <v>0.03640230517</v>
      </c>
      <c r="K38" s="326">
        <f t="shared" si="13"/>
        <v>0.002444598591</v>
      </c>
      <c r="L38" s="326">
        <f t="shared" si="13"/>
        <v>0.0004527034428</v>
      </c>
      <c r="M38" s="326">
        <f t="shared" si="13"/>
        <v>0.01571930434</v>
      </c>
      <c r="N38" s="326">
        <f t="shared" si="13"/>
        <v>0.004831954669</v>
      </c>
      <c r="O38" s="203">
        <f t="shared" si="13"/>
        <v>0.05935574246</v>
      </c>
      <c r="P38" s="203">
        <f t="shared" si="13"/>
        <v>0.01977596481</v>
      </c>
    </row>
    <row r="39">
      <c r="A39" s="398"/>
      <c r="B39" s="151"/>
      <c r="C39" s="291"/>
      <c r="D39" s="400"/>
      <c r="E39" s="291"/>
      <c r="F39" s="291"/>
      <c r="G39" s="291"/>
      <c r="H39" s="291"/>
      <c r="I39" s="291"/>
      <c r="J39" s="291"/>
      <c r="K39" s="291"/>
      <c r="L39" s="291"/>
      <c r="M39" s="291"/>
      <c r="N39" s="291"/>
      <c r="O39" s="151"/>
      <c r="P39" s="151"/>
    </row>
    <row r="40">
      <c r="A40" s="204" t="s">
        <v>184</v>
      </c>
      <c r="B40" s="412">
        <f t="array" ref="B40">B38/index(GiveDirectly!$B:$B,match("Units of value generated per philanthropic dollar spent, after accounting for all adjustments",GiveDirectly!$A:$A,0))</f>
        <v>7.064066894</v>
      </c>
      <c r="C40" s="412">
        <f t="array" ref="C40">C38/index(GiveDirectly!$B:$B,match("Units of value generated per philanthropic dollar spent, after accounting for all adjustments",GiveDirectly!$A:$A,0))</f>
        <v>3.564015922</v>
      </c>
      <c r="D40" s="412">
        <f t="array" ref="D40">D38/index(GiveDirectly!$B:$B,match("Units of value generated per philanthropic dollar spent, after accounting for all adjustments",GiveDirectly!$A:$A,0))</f>
        <v>16.58495604</v>
      </c>
      <c r="E40" s="412">
        <f t="array" ref="E40">E38/index(GiveDirectly!$B:$B,match("Units of value generated per philanthropic dollar spent, after accounting for all adjustments",GiveDirectly!$A:$A,0))</f>
        <v>17.69418451</v>
      </c>
      <c r="F40" s="412">
        <f t="array" ref="F40">F38/index(GiveDirectly!$B:$B,match("Units of value generated per philanthropic dollar spent, after accounting for all adjustments",GiveDirectly!$A:$A,0))</f>
        <v>5.43696288</v>
      </c>
      <c r="G40" s="412">
        <f t="array" ref="G40">G38/index(GiveDirectly!$B:$B,match("Units of value generated per philanthropic dollar spent, after accounting for all adjustments",GiveDirectly!$A:$A,0))</f>
        <v>7.987266164</v>
      </c>
      <c r="H40" s="412">
        <f t="array" ref="H40">H38/index(GiveDirectly!$B:$B,match("Units of value generated per philanthropic dollar spent, after accounting for all adjustments",GiveDirectly!$A:$A,0))</f>
        <v>0.3569799907</v>
      </c>
      <c r="I40" s="412">
        <f t="array" ref="I40">I38/index(GiveDirectly!$B:$B,match("Units of value generated per philanthropic dollar spent, after accounting for all adjustments",GiveDirectly!$A:$A,0))</f>
        <v>10.19771832</v>
      </c>
      <c r="J40" s="412">
        <f t="array" ref="J40">J38/index(GiveDirectly!$B:$B,match("Units of value generated per philanthropic dollar spent, after accounting for all adjustments",GiveDirectly!$A:$A,0))</f>
        <v>10.85167294</v>
      </c>
      <c r="K40" s="412">
        <f t="array" ref="K40">K38/index(GiveDirectly!$B:$B,match("Units of value generated per philanthropic dollar spent, after accounting for all adjustments",GiveDirectly!$A:$A,0))</f>
        <v>0.7287446289</v>
      </c>
      <c r="L40" s="412">
        <f t="array" ref="L40">L38/index(GiveDirectly!$B:$B,match("Units of value generated per philanthropic dollar spent, after accounting for all adjustments",GiveDirectly!$A:$A,0))</f>
        <v>0.1349527091</v>
      </c>
      <c r="M40" s="412">
        <f t="array" ref="M40">M38/index(GiveDirectly!$B:$B,match("Units of value generated per philanthropic dollar spent, after accounting for all adjustments",GiveDirectly!$A:$A,0))</f>
        <v>4.685987569</v>
      </c>
      <c r="N40" s="412">
        <f t="array" ref="N40">N38/index(GiveDirectly!$B:$B,match("Units of value generated per philanthropic dollar spent, after accounting for all adjustments",GiveDirectly!$A:$A,0))</f>
        <v>1.440425035</v>
      </c>
      <c r="O40" s="412">
        <f t="array" ref="O40">O38/index(GiveDirectly!$B:$B,match("Units of value generated per philanthropic dollar spent, after accounting for all adjustments",GiveDirectly!$A:$A,0))</f>
        <v>17.69418451</v>
      </c>
      <c r="P40" s="412">
        <f t="array" ref="P40">P38/index(GiveDirectly!$B:$B,match("Units of value generated per philanthropic dollar spent, after accounting for all adjustments",GiveDirectly!$A:$A,0))</f>
        <v>5.895294299</v>
      </c>
    </row>
    <row r="41">
      <c r="A41" s="43"/>
      <c r="B41" s="151"/>
      <c r="C41" s="291"/>
      <c r="D41" s="400"/>
      <c r="E41" s="291"/>
      <c r="F41" s="291"/>
      <c r="G41" s="291"/>
      <c r="H41" s="291"/>
      <c r="I41" s="291"/>
      <c r="J41" s="291"/>
      <c r="K41" s="291"/>
      <c r="L41" s="291"/>
      <c r="M41" s="291"/>
      <c r="N41" s="291"/>
      <c r="O41" s="151"/>
      <c r="P41" s="151"/>
    </row>
    <row r="42">
      <c r="A42" s="160" t="s">
        <v>375</v>
      </c>
      <c r="B42" s="26"/>
      <c r="C42" s="208"/>
      <c r="D42" s="208"/>
      <c r="E42" s="208"/>
      <c r="F42" s="208"/>
      <c r="G42" s="208"/>
      <c r="H42" s="208"/>
      <c r="I42" s="208"/>
      <c r="J42" s="208"/>
      <c r="K42" s="208"/>
      <c r="L42" s="208"/>
      <c r="M42" s="208"/>
      <c r="N42" s="208"/>
      <c r="O42" s="26"/>
      <c r="P42" s="26"/>
    </row>
    <row r="43" outlineLevel="1">
      <c r="A43" s="209"/>
      <c r="B43" s="151"/>
      <c r="C43" s="291"/>
      <c r="D43" s="291"/>
      <c r="E43" s="291"/>
      <c r="F43" s="291"/>
      <c r="G43" s="291"/>
      <c r="H43" s="291"/>
      <c r="I43" s="291"/>
      <c r="J43" s="291"/>
      <c r="K43" s="291"/>
      <c r="L43" s="291"/>
      <c r="M43" s="291"/>
      <c r="N43" s="291"/>
      <c r="O43" s="151"/>
      <c r="P43" s="151"/>
    </row>
    <row r="44" outlineLevel="1">
      <c r="A44" s="178" t="s">
        <v>189</v>
      </c>
      <c r="B44" s="89"/>
      <c r="C44" s="291"/>
      <c r="D44" s="291"/>
      <c r="E44" s="291"/>
      <c r="F44" s="291"/>
      <c r="G44" s="291"/>
      <c r="H44" s="291"/>
      <c r="I44" s="291"/>
      <c r="J44" s="291"/>
      <c r="K44" s="291"/>
      <c r="L44" s="291"/>
      <c r="M44" s="291"/>
      <c r="N44" s="291"/>
      <c r="O44" s="151"/>
      <c r="P44" s="151"/>
    </row>
    <row r="45" outlineLevel="1">
      <c r="A45" s="176" t="s">
        <v>190</v>
      </c>
      <c r="B45" s="127">
        <v>0.0</v>
      </c>
      <c r="C45" s="127">
        <v>0.0</v>
      </c>
      <c r="D45" s="127">
        <v>0.0</v>
      </c>
      <c r="E45" s="127">
        <v>0.0</v>
      </c>
      <c r="F45" s="127">
        <v>0.0</v>
      </c>
      <c r="G45" s="127">
        <v>0.0</v>
      </c>
      <c r="H45" s="127">
        <v>0.0</v>
      </c>
      <c r="I45" s="127">
        <v>0.0</v>
      </c>
      <c r="J45" s="127">
        <v>0.0</v>
      </c>
      <c r="K45" s="127">
        <v>0.0</v>
      </c>
      <c r="L45" s="127">
        <v>0.0</v>
      </c>
      <c r="M45" s="127">
        <v>0.0</v>
      </c>
      <c r="N45" s="127">
        <v>0.0</v>
      </c>
      <c r="O45" s="127">
        <v>0.0</v>
      </c>
      <c r="P45" s="127">
        <v>0.0</v>
      </c>
    </row>
    <row r="46" outlineLevel="1">
      <c r="A46" s="176" t="s">
        <v>191</v>
      </c>
      <c r="B46" s="127">
        <v>0.0</v>
      </c>
      <c r="C46" s="127">
        <v>0.0</v>
      </c>
      <c r="D46" s="127">
        <v>0.0</v>
      </c>
      <c r="E46" s="127">
        <v>0.0</v>
      </c>
      <c r="F46" s="127">
        <v>0.0</v>
      </c>
      <c r="G46" s="127">
        <v>0.0</v>
      </c>
      <c r="H46" s="127">
        <v>0.0</v>
      </c>
      <c r="I46" s="127">
        <v>0.0</v>
      </c>
      <c r="J46" s="127">
        <v>0.0</v>
      </c>
      <c r="K46" s="127">
        <v>0.0</v>
      </c>
      <c r="L46" s="127">
        <v>0.0</v>
      </c>
      <c r="M46" s="127">
        <v>0.0</v>
      </c>
      <c r="N46" s="127">
        <v>0.0</v>
      </c>
      <c r="O46" s="127">
        <v>0.0</v>
      </c>
      <c r="P46" s="127">
        <v>0.0</v>
      </c>
    </row>
    <row r="47" outlineLevel="1">
      <c r="A47" s="176" t="s">
        <v>192</v>
      </c>
      <c r="B47" s="214">
        <v>0.0</v>
      </c>
      <c r="C47" s="214">
        <v>0.0</v>
      </c>
      <c r="D47" s="214">
        <v>0.0</v>
      </c>
      <c r="E47" s="214">
        <v>0.0</v>
      </c>
      <c r="F47" s="214">
        <v>0.0</v>
      </c>
      <c r="G47" s="214">
        <v>0.0</v>
      </c>
      <c r="H47" s="214">
        <v>0.0</v>
      </c>
      <c r="I47" s="214">
        <v>0.0</v>
      </c>
      <c r="J47" s="214">
        <v>0.0</v>
      </c>
      <c r="K47" s="214">
        <v>0.0</v>
      </c>
      <c r="L47" s="214">
        <v>0.0</v>
      </c>
      <c r="M47" s="214">
        <v>0.0</v>
      </c>
      <c r="N47" s="214">
        <v>0.0</v>
      </c>
      <c r="O47" s="214">
        <v>0.0</v>
      </c>
      <c r="P47" s="214">
        <v>0.0</v>
      </c>
    </row>
    <row r="48" outlineLevel="1">
      <c r="A48" s="215" t="s">
        <v>193</v>
      </c>
      <c r="B48" s="124">
        <f t="shared" ref="B48:P48" si="14">SUM(B45:B47)</f>
        <v>0</v>
      </c>
      <c r="C48" s="217">
        <f t="shared" si="14"/>
        <v>0</v>
      </c>
      <c r="D48" s="217">
        <f t="shared" si="14"/>
        <v>0</v>
      </c>
      <c r="E48" s="217">
        <f t="shared" si="14"/>
        <v>0</v>
      </c>
      <c r="F48" s="217">
        <f t="shared" si="14"/>
        <v>0</v>
      </c>
      <c r="G48" s="217">
        <f t="shared" si="14"/>
        <v>0</v>
      </c>
      <c r="H48" s="217">
        <f t="shared" si="14"/>
        <v>0</v>
      </c>
      <c r="I48" s="217">
        <f t="shared" si="14"/>
        <v>0</v>
      </c>
      <c r="J48" s="217">
        <f t="shared" si="14"/>
        <v>0</v>
      </c>
      <c r="K48" s="217">
        <f t="shared" si="14"/>
        <v>0</v>
      </c>
      <c r="L48" s="217">
        <f t="shared" si="14"/>
        <v>0</v>
      </c>
      <c r="M48" s="217">
        <f t="shared" si="14"/>
        <v>0</v>
      </c>
      <c r="N48" s="217">
        <f t="shared" si="14"/>
        <v>0</v>
      </c>
      <c r="O48" s="124">
        <f t="shared" si="14"/>
        <v>0</v>
      </c>
      <c r="P48" s="124">
        <f t="shared" si="14"/>
        <v>0</v>
      </c>
    </row>
    <row r="49" outlineLevel="1">
      <c r="A49" s="176"/>
      <c r="B49" s="89"/>
      <c r="C49" s="210"/>
      <c r="D49" s="210"/>
      <c r="E49" s="210"/>
      <c r="F49" s="210"/>
      <c r="G49" s="210"/>
      <c r="H49" s="210"/>
      <c r="I49" s="210"/>
      <c r="J49" s="210"/>
      <c r="K49" s="210"/>
      <c r="L49" s="210"/>
      <c r="M49" s="210"/>
      <c r="N49" s="210"/>
      <c r="O49" s="172"/>
      <c r="P49" s="172"/>
    </row>
    <row r="50" outlineLevel="1">
      <c r="A50" s="178" t="s">
        <v>194</v>
      </c>
      <c r="B50" s="89"/>
      <c r="C50" s="210"/>
      <c r="D50" s="210"/>
      <c r="E50" s="210"/>
      <c r="F50" s="210"/>
      <c r="G50" s="210"/>
      <c r="H50" s="210"/>
      <c r="I50" s="210"/>
      <c r="J50" s="210"/>
      <c r="K50" s="210"/>
      <c r="L50" s="210"/>
      <c r="M50" s="210"/>
      <c r="N50" s="210"/>
      <c r="O50" s="172"/>
      <c r="P50" s="172"/>
    </row>
    <row r="51" outlineLevel="1">
      <c r="A51" s="176" t="s">
        <v>195</v>
      </c>
      <c r="B51" s="127">
        <v>0.1</v>
      </c>
      <c r="C51" s="127">
        <v>0.1</v>
      </c>
      <c r="D51" s="127">
        <v>0.1</v>
      </c>
      <c r="E51" s="127">
        <v>0.1</v>
      </c>
      <c r="F51" s="127">
        <v>0.1</v>
      </c>
      <c r="G51" s="127">
        <v>0.1</v>
      </c>
      <c r="H51" s="127">
        <v>0.1</v>
      </c>
      <c r="I51" s="127">
        <v>0.1</v>
      </c>
      <c r="J51" s="127">
        <v>0.1</v>
      </c>
      <c r="K51" s="127">
        <v>0.1</v>
      </c>
      <c r="L51" s="127">
        <v>0.1</v>
      </c>
      <c r="M51" s="127">
        <v>0.1</v>
      </c>
      <c r="N51" s="127">
        <v>0.1</v>
      </c>
      <c r="O51" s="127">
        <v>0.1</v>
      </c>
      <c r="P51" s="127">
        <v>0.1</v>
      </c>
    </row>
    <row r="52" outlineLevel="1">
      <c r="A52" s="176" t="s">
        <v>196</v>
      </c>
      <c r="B52" s="214">
        <v>0.05</v>
      </c>
      <c r="C52" s="214">
        <v>0.05</v>
      </c>
      <c r="D52" s="214">
        <v>0.05</v>
      </c>
      <c r="E52" s="214">
        <v>0.05</v>
      </c>
      <c r="F52" s="214">
        <v>0.05</v>
      </c>
      <c r="G52" s="214">
        <v>0.05</v>
      </c>
      <c r="H52" s="214">
        <v>0.05</v>
      </c>
      <c r="I52" s="214">
        <v>0.05</v>
      </c>
      <c r="J52" s="214">
        <v>0.05</v>
      </c>
      <c r="K52" s="214">
        <v>0.05</v>
      </c>
      <c r="L52" s="214">
        <v>0.05</v>
      </c>
      <c r="M52" s="214">
        <v>0.05</v>
      </c>
      <c r="N52" s="214">
        <v>0.05</v>
      </c>
      <c r="O52" s="214">
        <v>0.05</v>
      </c>
      <c r="P52" s="214">
        <v>0.05</v>
      </c>
    </row>
    <row r="53" outlineLevel="1">
      <c r="A53" s="215" t="s">
        <v>197</v>
      </c>
      <c r="B53" s="124">
        <f t="shared" ref="B53:P53" si="15">sum(B50:B52)</f>
        <v>0.15</v>
      </c>
      <c r="C53" s="217">
        <f t="shared" si="15"/>
        <v>0.15</v>
      </c>
      <c r="D53" s="217">
        <f t="shared" si="15"/>
        <v>0.15</v>
      </c>
      <c r="E53" s="217">
        <f t="shared" si="15"/>
        <v>0.15</v>
      </c>
      <c r="F53" s="217">
        <f t="shared" si="15"/>
        <v>0.15</v>
      </c>
      <c r="G53" s="217">
        <f t="shared" si="15"/>
        <v>0.15</v>
      </c>
      <c r="H53" s="217">
        <f t="shared" si="15"/>
        <v>0.15</v>
      </c>
      <c r="I53" s="217">
        <f t="shared" si="15"/>
        <v>0.15</v>
      </c>
      <c r="J53" s="217">
        <f t="shared" si="15"/>
        <v>0.15</v>
      </c>
      <c r="K53" s="217">
        <f t="shared" si="15"/>
        <v>0.15</v>
      </c>
      <c r="L53" s="217">
        <f t="shared" si="15"/>
        <v>0.15</v>
      </c>
      <c r="M53" s="217">
        <f t="shared" si="15"/>
        <v>0.15</v>
      </c>
      <c r="N53" s="217">
        <f t="shared" si="15"/>
        <v>0.15</v>
      </c>
      <c r="O53" s="124">
        <f t="shared" si="15"/>
        <v>0.15</v>
      </c>
      <c r="P53" s="124">
        <f t="shared" si="15"/>
        <v>0.15</v>
      </c>
    </row>
    <row r="54" outlineLevel="1">
      <c r="A54" s="176"/>
      <c r="B54" s="89"/>
      <c r="C54" s="210"/>
      <c r="D54" s="210"/>
      <c r="E54" s="210"/>
      <c r="F54" s="210"/>
      <c r="G54" s="210"/>
      <c r="H54" s="210"/>
      <c r="I54" s="210"/>
      <c r="J54" s="210"/>
      <c r="K54" s="210"/>
      <c r="L54" s="210"/>
      <c r="M54" s="210"/>
      <c r="N54" s="210"/>
      <c r="O54" s="172"/>
      <c r="P54" s="172"/>
    </row>
    <row r="55" outlineLevel="1">
      <c r="A55" s="178" t="s">
        <v>198</v>
      </c>
      <c r="B55" s="89"/>
      <c r="C55" s="210"/>
      <c r="D55" s="210"/>
      <c r="E55" s="210"/>
      <c r="F55" s="210"/>
      <c r="G55" s="210"/>
      <c r="H55" s="210"/>
      <c r="I55" s="210"/>
      <c r="J55" s="210"/>
      <c r="K55" s="210"/>
      <c r="L55" s="210"/>
      <c r="M55" s="210"/>
      <c r="N55" s="210"/>
      <c r="O55" s="172"/>
      <c r="P55" s="172"/>
    </row>
    <row r="56" outlineLevel="1">
      <c r="A56" s="176" t="s">
        <v>199</v>
      </c>
      <c r="B56" s="127">
        <v>0.0</v>
      </c>
      <c r="C56" s="127">
        <v>0.0</v>
      </c>
      <c r="D56" s="127">
        <v>0.0</v>
      </c>
      <c r="E56" s="127">
        <v>0.0</v>
      </c>
      <c r="F56" s="127">
        <v>0.0</v>
      </c>
      <c r="G56" s="127">
        <v>0.0</v>
      </c>
      <c r="H56" s="127">
        <v>0.0</v>
      </c>
      <c r="I56" s="127">
        <v>0.0</v>
      </c>
      <c r="J56" s="127">
        <v>0.0</v>
      </c>
      <c r="K56" s="127">
        <v>0.0</v>
      </c>
      <c r="L56" s="127">
        <v>0.0</v>
      </c>
      <c r="M56" s="127">
        <v>0.0</v>
      </c>
      <c r="N56" s="127">
        <v>0.0</v>
      </c>
      <c r="O56" s="127">
        <v>0.0</v>
      </c>
      <c r="P56" s="127">
        <v>0.0</v>
      </c>
    </row>
    <row r="57" outlineLevel="1">
      <c r="A57" s="176" t="s">
        <v>200</v>
      </c>
      <c r="B57" s="127">
        <v>0.0</v>
      </c>
      <c r="C57" s="127">
        <v>0.0</v>
      </c>
      <c r="D57" s="127">
        <v>0.0</v>
      </c>
      <c r="E57" s="127">
        <v>0.0</v>
      </c>
      <c r="F57" s="127">
        <v>0.0</v>
      </c>
      <c r="G57" s="127">
        <v>0.0</v>
      </c>
      <c r="H57" s="127">
        <v>0.0</v>
      </c>
      <c r="I57" s="127">
        <v>0.0</v>
      </c>
      <c r="J57" s="127">
        <v>0.0</v>
      </c>
      <c r="K57" s="127">
        <v>0.0</v>
      </c>
      <c r="L57" s="127">
        <v>0.0</v>
      </c>
      <c r="M57" s="127">
        <v>0.0</v>
      </c>
      <c r="N57" s="127">
        <v>0.0</v>
      </c>
      <c r="O57" s="127">
        <v>0.0</v>
      </c>
      <c r="P57" s="127">
        <v>0.0</v>
      </c>
    </row>
    <row r="58" outlineLevel="1">
      <c r="A58" s="176" t="s">
        <v>201</v>
      </c>
      <c r="B58" s="214">
        <v>0.0</v>
      </c>
      <c r="C58" s="214">
        <v>0.0</v>
      </c>
      <c r="D58" s="214">
        <v>0.0</v>
      </c>
      <c r="E58" s="214">
        <v>0.0</v>
      </c>
      <c r="F58" s="214">
        <v>0.0</v>
      </c>
      <c r="G58" s="214">
        <v>0.0</v>
      </c>
      <c r="H58" s="214">
        <v>0.0</v>
      </c>
      <c r="I58" s="214">
        <v>0.0</v>
      </c>
      <c r="J58" s="214">
        <v>0.0</v>
      </c>
      <c r="K58" s="214">
        <v>0.0</v>
      </c>
      <c r="L58" s="214">
        <v>0.0</v>
      </c>
      <c r="M58" s="214">
        <v>0.0</v>
      </c>
      <c r="N58" s="214">
        <v>0.0</v>
      </c>
      <c r="O58" s="214">
        <v>0.0</v>
      </c>
      <c r="P58" s="214">
        <v>0.0</v>
      </c>
    </row>
    <row r="59" outlineLevel="1">
      <c r="A59" s="219" t="s">
        <v>202</v>
      </c>
      <c r="B59" s="124">
        <f t="shared" ref="B59:P59" si="16">sum(B56:B58)</f>
        <v>0</v>
      </c>
      <c r="C59" s="217">
        <f t="shared" si="16"/>
        <v>0</v>
      </c>
      <c r="D59" s="217">
        <f t="shared" si="16"/>
        <v>0</v>
      </c>
      <c r="E59" s="217">
        <f t="shared" si="16"/>
        <v>0</v>
      </c>
      <c r="F59" s="217">
        <f t="shared" si="16"/>
        <v>0</v>
      </c>
      <c r="G59" s="217">
        <f t="shared" si="16"/>
        <v>0</v>
      </c>
      <c r="H59" s="217">
        <f t="shared" si="16"/>
        <v>0</v>
      </c>
      <c r="I59" s="217">
        <f t="shared" si="16"/>
        <v>0</v>
      </c>
      <c r="J59" s="217">
        <f t="shared" si="16"/>
        <v>0</v>
      </c>
      <c r="K59" s="217">
        <f t="shared" si="16"/>
        <v>0</v>
      </c>
      <c r="L59" s="217">
        <f t="shared" si="16"/>
        <v>0</v>
      </c>
      <c r="M59" s="217">
        <f t="shared" si="16"/>
        <v>0</v>
      </c>
      <c r="N59" s="217">
        <f t="shared" si="16"/>
        <v>0</v>
      </c>
      <c r="O59" s="124">
        <f t="shared" si="16"/>
        <v>0</v>
      </c>
      <c r="P59" s="124">
        <f t="shared" si="16"/>
        <v>0</v>
      </c>
    </row>
    <row r="60" outlineLevel="1">
      <c r="A60" s="176"/>
      <c r="B60" s="89"/>
      <c r="C60" s="210"/>
      <c r="D60" s="210"/>
      <c r="E60" s="210"/>
      <c r="F60" s="210"/>
      <c r="G60" s="210"/>
      <c r="H60" s="210"/>
      <c r="I60" s="210"/>
      <c r="J60" s="210"/>
      <c r="K60" s="210"/>
      <c r="L60" s="210"/>
      <c r="M60" s="210"/>
      <c r="N60" s="210"/>
      <c r="O60" s="172"/>
      <c r="P60" s="172"/>
    </row>
    <row r="61">
      <c r="A61" s="71" t="s">
        <v>203</v>
      </c>
      <c r="B61" s="124">
        <f t="shared" ref="B61:P61" si="17">1-sum(B48,B53,B59)</f>
        <v>0.85</v>
      </c>
      <c r="C61" s="218">
        <f t="shared" si="17"/>
        <v>0.85</v>
      </c>
      <c r="D61" s="218">
        <f t="shared" si="17"/>
        <v>0.85</v>
      </c>
      <c r="E61" s="218">
        <f t="shared" si="17"/>
        <v>0.85</v>
      </c>
      <c r="F61" s="218">
        <f t="shared" si="17"/>
        <v>0.85</v>
      </c>
      <c r="G61" s="218">
        <f t="shared" si="17"/>
        <v>0.85</v>
      </c>
      <c r="H61" s="218">
        <f t="shared" si="17"/>
        <v>0.85</v>
      </c>
      <c r="I61" s="218">
        <f t="shared" si="17"/>
        <v>0.85</v>
      </c>
      <c r="J61" s="218">
        <f t="shared" si="17"/>
        <v>0.85</v>
      </c>
      <c r="K61" s="218">
        <f t="shared" si="17"/>
        <v>0.85</v>
      </c>
      <c r="L61" s="218">
        <f t="shared" si="17"/>
        <v>0.85</v>
      </c>
      <c r="M61" s="218">
        <f t="shared" si="17"/>
        <v>0.85</v>
      </c>
      <c r="N61" s="218">
        <f t="shared" si="17"/>
        <v>0.85</v>
      </c>
      <c r="O61" s="124">
        <f t="shared" si="17"/>
        <v>0.85</v>
      </c>
      <c r="P61" s="124">
        <f t="shared" si="17"/>
        <v>0.85</v>
      </c>
    </row>
    <row r="62">
      <c r="A62" s="43"/>
      <c r="B62" s="151"/>
      <c r="C62" s="291"/>
      <c r="D62" s="400"/>
      <c r="E62" s="291"/>
      <c r="F62" s="291"/>
      <c r="G62" s="291"/>
      <c r="H62" s="291"/>
      <c r="I62" s="291"/>
      <c r="J62" s="291"/>
      <c r="K62" s="291"/>
      <c r="L62" s="291"/>
      <c r="M62" s="291"/>
      <c r="N62" s="291"/>
      <c r="O62" s="151"/>
      <c r="P62" s="151"/>
    </row>
    <row r="63">
      <c r="A63" s="208" t="s">
        <v>204</v>
      </c>
      <c r="B63" s="26"/>
      <c r="C63" s="208"/>
      <c r="D63" s="208"/>
      <c r="E63" s="208"/>
      <c r="F63" s="208"/>
      <c r="G63" s="208"/>
      <c r="H63" s="208"/>
      <c r="I63" s="208"/>
      <c r="J63" s="208"/>
      <c r="K63" s="208"/>
      <c r="L63" s="208"/>
      <c r="M63" s="208"/>
      <c r="N63" s="208"/>
      <c r="O63" s="26"/>
      <c r="P63" s="26"/>
    </row>
    <row r="64">
      <c r="A64" s="43"/>
      <c r="B64" s="151"/>
      <c r="C64" s="291"/>
      <c r="D64" s="400"/>
      <c r="E64" s="291"/>
      <c r="F64" s="291"/>
      <c r="G64" s="291"/>
      <c r="H64" s="291"/>
      <c r="I64" s="291"/>
      <c r="J64" s="291"/>
      <c r="K64" s="291"/>
      <c r="L64" s="291"/>
      <c r="M64" s="291"/>
      <c r="N64" s="291"/>
      <c r="O64" s="151"/>
      <c r="P64" s="151"/>
    </row>
    <row r="65">
      <c r="A65" s="351" t="s">
        <v>213</v>
      </c>
      <c r="B65" s="413">
        <f>sum(C65:P65)</f>
        <v>5189.522052</v>
      </c>
      <c r="C65" s="414">
        <f t="shared" ref="C65:P65" si="18">C37*C61</f>
        <v>612.9292882</v>
      </c>
      <c r="D65" s="414">
        <f t="shared" si="18"/>
        <v>889.816817</v>
      </c>
      <c r="E65" s="414">
        <f t="shared" si="18"/>
        <v>1709.272447</v>
      </c>
      <c r="F65" s="414">
        <f t="shared" si="18"/>
        <v>663.312285</v>
      </c>
      <c r="G65" s="414">
        <f t="shared" si="18"/>
        <v>344.4869751</v>
      </c>
      <c r="H65" s="414">
        <f t="shared" si="18"/>
        <v>34.00132343</v>
      </c>
      <c r="I65" s="414">
        <f t="shared" si="18"/>
        <v>93.80335363</v>
      </c>
      <c r="J65" s="414">
        <f t="shared" si="18"/>
        <v>300.0278444</v>
      </c>
      <c r="K65" s="414">
        <f t="shared" si="18"/>
        <v>2.131164529</v>
      </c>
      <c r="L65" s="414">
        <f t="shared" si="18"/>
        <v>1.483812604</v>
      </c>
      <c r="M65" s="414">
        <f t="shared" si="18"/>
        <v>327.6726942</v>
      </c>
      <c r="N65" s="414">
        <f t="shared" si="18"/>
        <v>14.05459149</v>
      </c>
      <c r="O65" s="413">
        <f t="shared" si="18"/>
        <v>103.9385103</v>
      </c>
      <c r="P65" s="413">
        <f t="shared" si="18"/>
        <v>92.5909452</v>
      </c>
    </row>
    <row r="66">
      <c r="A66" s="352" t="s">
        <v>314</v>
      </c>
      <c r="B66" s="203">
        <f t="shared" ref="B66:P66" si="19">B65/B16</f>
        <v>0.02014215433</v>
      </c>
      <c r="C66" s="326">
        <f t="shared" si="19"/>
        <v>0.01016227052</v>
      </c>
      <c r="D66" s="326">
        <f t="shared" si="19"/>
        <v>0.04728957825</v>
      </c>
      <c r="E66" s="326">
        <f t="shared" si="19"/>
        <v>0.05045238109</v>
      </c>
      <c r="F66" s="326">
        <f t="shared" si="19"/>
        <v>0.01550270503</v>
      </c>
      <c r="G66" s="326">
        <f t="shared" si="19"/>
        <v>0.02277452212</v>
      </c>
      <c r="H66" s="326">
        <f t="shared" si="19"/>
        <v>0.00101787627</v>
      </c>
      <c r="I66" s="326">
        <f t="shared" si="19"/>
        <v>0.02907730338</v>
      </c>
      <c r="J66" s="326">
        <f t="shared" si="19"/>
        <v>0.03094195939</v>
      </c>
      <c r="K66" s="326">
        <f t="shared" si="19"/>
        <v>0.002077908802</v>
      </c>
      <c r="L66" s="326">
        <f t="shared" si="19"/>
        <v>0.0003847979264</v>
      </c>
      <c r="M66" s="326">
        <f t="shared" si="19"/>
        <v>0.01336140869</v>
      </c>
      <c r="N66" s="326">
        <f t="shared" si="19"/>
        <v>0.004107161469</v>
      </c>
      <c r="O66" s="203">
        <f t="shared" si="19"/>
        <v>0.05045238109</v>
      </c>
      <c r="P66" s="203">
        <f t="shared" si="19"/>
        <v>0.01680957009</v>
      </c>
    </row>
    <row r="67">
      <c r="A67" s="28" t="s">
        <v>209</v>
      </c>
      <c r="B67" s="412">
        <f t="array" ref="B67">B66/index(GiveDirectly!$B:$B,match("Units of value generated per philanthropic dollar spent, after accounting for all adjustments",GiveDirectly!$A:$A,0))</f>
        <v>6.00445686</v>
      </c>
      <c r="C67" s="412">
        <f t="array" ref="C67">C66/index(GiveDirectly!$B:$B,match("Units of value generated per philanthropic dollar spent, after accounting for all adjustments",GiveDirectly!$A:$A,0))</f>
        <v>3.029413534</v>
      </c>
      <c r="D67" s="412">
        <f t="array" ref="D67">D66/index(GiveDirectly!$B:$B,match("Units of value generated per philanthropic dollar spent, after accounting for all adjustments",GiveDirectly!$A:$A,0))</f>
        <v>14.09721264</v>
      </c>
      <c r="E67" s="412">
        <f t="array" ref="E67">E66/index(GiveDirectly!$B:$B,match("Units of value generated per philanthropic dollar spent, after accounting for all adjustments",GiveDirectly!$A:$A,0))</f>
        <v>15.04005683</v>
      </c>
      <c r="F67" s="412">
        <f t="array" ref="F67">F66/index(GiveDirectly!$B:$B,match("Units of value generated per philanthropic dollar spent, after accounting for all adjustments",GiveDirectly!$A:$A,0))</f>
        <v>4.621418448</v>
      </c>
      <c r="G67" s="412">
        <f t="array" ref="G67">G66/index(GiveDirectly!$B:$B,match("Units of value generated per philanthropic dollar spent, after accounting for all adjustments",GiveDirectly!$A:$A,0))</f>
        <v>6.789176239</v>
      </c>
      <c r="H67" s="412">
        <f t="array" ref="H67">H66/index(GiveDirectly!$B:$B,match("Units of value generated per philanthropic dollar spent, after accounting for all adjustments",GiveDirectly!$A:$A,0))</f>
        <v>0.3034329921</v>
      </c>
      <c r="I67" s="412">
        <f t="array" ref="I67">I66/index(GiveDirectly!$B:$B,match("Units of value generated per philanthropic dollar spent, after accounting for all adjustments",GiveDirectly!$A:$A,0))</f>
        <v>8.668060573</v>
      </c>
      <c r="J67" s="412">
        <f t="array" ref="J67">J66/index(GiveDirectly!$B:$B,match("Units of value generated per philanthropic dollar spent, after accounting for all adjustments",GiveDirectly!$A:$A,0))</f>
        <v>9.223921996</v>
      </c>
      <c r="K67" s="412">
        <f t="array" ref="K67">K66/index(GiveDirectly!$B:$B,match("Units of value generated per philanthropic dollar spent, after accounting for all adjustments",GiveDirectly!$A:$A,0))</f>
        <v>0.6194329345</v>
      </c>
      <c r="L67" s="412">
        <f t="array" ref="L67">L66/index(GiveDirectly!$B:$B,match("Units of value generated per philanthropic dollar spent, after accounting for all adjustments",GiveDirectly!$A:$A,0))</f>
        <v>0.1147098027</v>
      </c>
      <c r="M67" s="412">
        <f t="array" ref="M67">M66/index(GiveDirectly!$B:$B,match("Units of value generated per philanthropic dollar spent, after accounting for all adjustments",GiveDirectly!$A:$A,0))</f>
        <v>3.983089434</v>
      </c>
      <c r="N67" s="412">
        <f t="array" ref="N67">N66/index(GiveDirectly!$B:$B,match("Units of value generated per philanthropic dollar spent, after accounting for all adjustments",GiveDirectly!$A:$A,0))</f>
        <v>1.22436128</v>
      </c>
      <c r="O67" s="412">
        <f t="array" ref="O67">O66/index(GiveDirectly!$B:$B,match("Units of value generated per philanthropic dollar spent, after accounting for all adjustments",GiveDirectly!$A:$A,0))</f>
        <v>15.04005683</v>
      </c>
      <c r="P67" s="412">
        <f t="array" ref="P67">P66/index(GiveDirectly!$B:$B,match("Units of value generated per philanthropic dollar spent, after accounting for all adjustments",GiveDirectly!$A:$A,0))</f>
        <v>5.011000154</v>
      </c>
    </row>
    <row r="68">
      <c r="A68" s="43"/>
      <c r="B68" s="151"/>
      <c r="C68" s="291"/>
      <c r="D68" s="415"/>
      <c r="E68" s="291"/>
      <c r="F68" s="291"/>
      <c r="G68" s="291"/>
      <c r="H68" s="291"/>
      <c r="I68" s="291"/>
      <c r="J68" s="291"/>
      <c r="K68" s="291"/>
      <c r="L68" s="291"/>
      <c r="M68" s="291"/>
      <c r="N68" s="291"/>
      <c r="O68" s="151"/>
      <c r="P68" s="151"/>
    </row>
    <row r="69">
      <c r="A69" s="208" t="s">
        <v>376</v>
      </c>
      <c r="B69" s="26"/>
      <c r="C69" s="208"/>
      <c r="D69" s="208"/>
      <c r="E69" s="208"/>
      <c r="F69" s="208"/>
      <c r="G69" s="208"/>
      <c r="H69" s="208"/>
      <c r="I69" s="208"/>
      <c r="J69" s="208"/>
      <c r="K69" s="208"/>
      <c r="L69" s="208"/>
      <c r="M69" s="208"/>
      <c r="N69" s="208"/>
      <c r="O69" s="26"/>
      <c r="P69" s="26"/>
    </row>
    <row r="70" outlineLevel="1">
      <c r="A70" s="209" t="s">
        <v>211</v>
      </c>
      <c r="B70" s="84"/>
      <c r="C70" s="224"/>
      <c r="D70" s="224"/>
      <c r="E70" s="224"/>
      <c r="F70" s="224"/>
      <c r="G70" s="224"/>
      <c r="H70" s="224"/>
      <c r="I70" s="224"/>
      <c r="J70" s="224"/>
      <c r="K70" s="224"/>
      <c r="L70" s="224"/>
      <c r="M70" s="224"/>
      <c r="N70" s="224"/>
      <c r="O70" s="84"/>
      <c r="P70" s="84"/>
    </row>
    <row r="71" outlineLevel="1">
      <c r="A71" s="77" t="str">
        <f>IFERROR(__xludf.DUMMYFUNCTION("filter('Supplemental intervention-level'!C:C,'Supplemental intervention-level'!A:A=""Deworming"",'Supplemental intervention-level'!D:D=""Explicitly modeled"")"),"Developmental effects")</f>
        <v>Developmental effects</v>
      </c>
      <c r="B71" s="84"/>
      <c r="C71" s="224"/>
      <c r="D71" s="224"/>
      <c r="E71" s="224"/>
      <c r="F71" s="224"/>
      <c r="G71" s="224"/>
      <c r="H71" s="224"/>
      <c r="I71" s="224"/>
      <c r="J71" s="224"/>
      <c r="K71" s="224"/>
      <c r="L71" s="224"/>
      <c r="M71" s="224"/>
      <c r="N71" s="224"/>
      <c r="O71" s="84"/>
      <c r="P71" s="84"/>
    </row>
    <row r="72" outlineLevel="1">
      <c r="A72" s="71"/>
      <c r="B72" s="84"/>
      <c r="C72" s="224"/>
      <c r="D72" s="224"/>
      <c r="E72" s="224"/>
      <c r="F72" s="224"/>
      <c r="G72" s="224"/>
      <c r="H72" s="224"/>
      <c r="I72" s="224"/>
      <c r="J72" s="224"/>
      <c r="K72" s="224"/>
      <c r="L72" s="224"/>
      <c r="M72" s="224"/>
      <c r="N72" s="224"/>
      <c r="O72" s="84"/>
      <c r="P72" s="84"/>
    </row>
    <row r="73" outlineLevel="1">
      <c r="A73" s="209" t="s">
        <v>27</v>
      </c>
      <c r="B73" s="84"/>
      <c r="C73" s="224"/>
      <c r="D73" s="224"/>
      <c r="E73" s="224"/>
      <c r="F73" s="224"/>
      <c r="G73" s="224"/>
      <c r="H73" s="224"/>
      <c r="I73" s="224"/>
      <c r="J73" s="224"/>
      <c r="K73" s="224"/>
      <c r="L73" s="224"/>
      <c r="M73" s="224"/>
      <c r="N73" s="224"/>
      <c r="O73" s="84"/>
      <c r="P73" s="84"/>
    </row>
    <row r="74" outlineLevel="1">
      <c r="A74" s="77" t="str">
        <f>IFERROR(__xludf.DUMMYFUNCTION("filter('Supplemental intervention-level'!C:C,'Supplemental intervention-level'!A:A=""Deworming"",'Supplemental intervention-level'!D:D=""Not explicitly modeled"",'Supplemental intervention-level'!B:B=""Unlimit HealthDTWI"")"),"Direct health effects")</f>
        <v>Direct health effects</v>
      </c>
      <c r="B74" s="117">
        <f t="array" ref="B74">iferror(if(isblank($A74),"",index('Supplemental intervention-level'!$M:$M,match(1,('Supplemental intervention-level'!$C:$C=$A74)*('Supplemental intervention-level'!$A:$A="Deworming"),0))),"Not specified")</f>
        <v>0.008</v>
      </c>
      <c r="C74" s="117">
        <f t="array" ref="C74">iferror(if(isblank($A74),"",index('Supplemental intervention-level'!$M:$M,match(1,('Supplemental intervention-level'!$C:$C=$A74)*('Supplemental intervention-level'!$A:$A="Deworming"),0))),"Not specified")</f>
        <v>0.008</v>
      </c>
      <c r="D74" s="117">
        <f t="array" ref="D74">iferror(if(isblank($A74),"",index('Supplemental intervention-level'!$M:$M,match(1,('Supplemental intervention-level'!$C:$C=$A74)*('Supplemental intervention-level'!$A:$A="Deworming"),0))),"Not specified")</f>
        <v>0.008</v>
      </c>
      <c r="E74" s="117">
        <f t="array" ref="E74">iferror(if(isblank($A74),"",index('Supplemental intervention-level'!$M:$M,match(1,('Supplemental intervention-level'!$C:$C=$A74)*('Supplemental intervention-level'!$A:$A="Deworming"),0))),"Not specified")</f>
        <v>0.008</v>
      </c>
      <c r="F74" s="117">
        <f t="array" ref="F74">iferror(if(isblank($A74),"",index('Supplemental intervention-level'!$M:$M,match(1,('Supplemental intervention-level'!$C:$C=$A74)*('Supplemental intervention-level'!$A:$A="Deworming"),0))),"Not specified")</f>
        <v>0.008</v>
      </c>
      <c r="G74" s="117">
        <f t="array" ref="G74">iferror(if(isblank($A74),"",index('Supplemental intervention-level'!$M:$M,match(1,('Supplemental intervention-level'!$C:$C=$A74)*('Supplemental intervention-level'!$A:$A="Deworming"),0))),"Not specified")</f>
        <v>0.008</v>
      </c>
      <c r="H74" s="117">
        <f t="array" ref="H74">iferror(if(isblank($A74),"",index('Supplemental intervention-level'!$M:$M,match(1,('Supplemental intervention-level'!$C:$C=$A74)*('Supplemental intervention-level'!$A:$A="Deworming"),0))),"Not specified")</f>
        <v>0.008</v>
      </c>
      <c r="I74" s="117">
        <f t="array" ref="I74">iferror(if(isblank($A74),"",index('Supplemental intervention-level'!$M:$M,match(1,('Supplemental intervention-level'!$C:$C=$A74)*('Supplemental intervention-level'!$A:$A="Deworming"),0))),"Not specified")</f>
        <v>0.008</v>
      </c>
      <c r="J74" s="117">
        <f t="array" ref="J74">iferror(if(isblank($A74),"",index('Supplemental intervention-level'!$M:$M,match(1,('Supplemental intervention-level'!$C:$C=$A74)*('Supplemental intervention-level'!$A:$A="Deworming"),0))),"Not specified")</f>
        <v>0.008</v>
      </c>
      <c r="K74" s="117">
        <f t="array" ref="K74">iferror(if(isblank($A74),"",index('Supplemental intervention-level'!$M:$M,match(1,('Supplemental intervention-level'!$C:$C=$A74)*('Supplemental intervention-level'!$A:$A="Deworming"),0))),"Not specified")</f>
        <v>0.008</v>
      </c>
      <c r="L74" s="117">
        <f t="array" ref="L74">iferror(if(isblank($A74),"",index('Supplemental intervention-level'!$M:$M,match(1,('Supplemental intervention-level'!$C:$C=$A74)*('Supplemental intervention-level'!$A:$A="Deworming"),0))),"Not specified")</f>
        <v>0.008</v>
      </c>
      <c r="M74" s="117">
        <f t="array" ref="M74">iferror(if(isblank($A74),"",index('Supplemental intervention-level'!$M:$M,match(1,('Supplemental intervention-level'!$C:$C=$A74)*('Supplemental intervention-level'!$A:$A="Deworming"),0))),"Not specified")</f>
        <v>0.008</v>
      </c>
      <c r="N74" s="117">
        <f t="array" ref="N74">iferror(if(isblank($A74),"",index('Supplemental intervention-level'!$M:$M,match(1,('Supplemental intervention-level'!$C:$C=$A74)*('Supplemental intervention-level'!$A:$A="Deworming"),0))),"Not specified")</f>
        <v>0.008</v>
      </c>
      <c r="O74" s="117">
        <f t="array" ref="O74">iferror(if(isblank($A74),"",index('Supplemental intervention-level'!$M:$M,match(1,('Supplemental intervention-level'!$C:$C=$A74)*('Supplemental intervention-level'!$A:$A="Deworming"),0))),"Not specified")</f>
        <v>0.008</v>
      </c>
      <c r="P74" s="117">
        <f t="array" ref="P74">iferror(if(isblank($A74),"",index('Supplemental intervention-level'!$M:$M,match(1,('Supplemental intervention-level'!$C:$C=$A74)*('Supplemental intervention-level'!$A:$A="Deworming"),0))),"Not specified")</f>
        <v>0.008</v>
      </c>
    </row>
    <row r="75" outlineLevel="1">
      <c r="A75" s="116" t="str">
        <f>IFERROR(__xludf.DUMMYFUNCTION("""COMPUTED_VALUE"""),"HIV reduction")</f>
        <v>HIV reduction</v>
      </c>
      <c r="B75" s="117">
        <f t="array" ref="B75">iferror(if(isblank($A75),"",index('Supplemental intervention-level'!$M:$M,match(1,('Supplemental intervention-level'!$C:$C=$A75)*('Supplemental intervention-level'!$A:$A="Deworming"),0))),"Not specified")</f>
        <v>0.06</v>
      </c>
      <c r="C75" s="117">
        <f t="array" ref="C75">iferror(if(isblank($A75),"",index('Supplemental intervention-level'!$M:$M,match(1,('Supplemental intervention-level'!$C:$C=$A75)*('Supplemental intervention-level'!$A:$A="Deworming"),0))),"Not specified")</f>
        <v>0.06</v>
      </c>
      <c r="D75" s="117">
        <f t="array" ref="D75">iferror(if(isblank($A75),"",index('Supplemental intervention-level'!$M:$M,match(1,('Supplemental intervention-level'!$C:$C=$A75)*('Supplemental intervention-level'!$A:$A="Deworming"),0))),"Not specified")</f>
        <v>0.06</v>
      </c>
      <c r="E75" s="117">
        <f t="array" ref="E75">iferror(if(isblank($A75),"",index('Supplemental intervention-level'!$M:$M,match(1,('Supplemental intervention-level'!$C:$C=$A75)*('Supplemental intervention-level'!$A:$A="Deworming"),0))),"Not specified")</f>
        <v>0.06</v>
      </c>
      <c r="F75" s="117">
        <f t="array" ref="F75">iferror(if(isblank($A75),"",index('Supplemental intervention-level'!$M:$M,match(1,('Supplemental intervention-level'!$C:$C=$A75)*('Supplemental intervention-level'!$A:$A="Deworming"),0))),"Not specified")</f>
        <v>0.06</v>
      </c>
      <c r="G75" s="117">
        <f t="array" ref="G75">iferror(if(isblank($A75),"",index('Supplemental intervention-level'!$M:$M,match(1,('Supplemental intervention-level'!$C:$C=$A75)*('Supplemental intervention-level'!$A:$A="Deworming"),0))),"Not specified")</f>
        <v>0.06</v>
      </c>
      <c r="H75" s="117">
        <f t="array" ref="H75">iferror(if(isblank($A75),"",index('Supplemental intervention-level'!$M:$M,match(1,('Supplemental intervention-level'!$C:$C=$A75)*('Supplemental intervention-level'!$A:$A="Deworming"),0))),"Not specified")</f>
        <v>0.06</v>
      </c>
      <c r="I75" s="117">
        <f t="array" ref="I75">iferror(if(isblank($A75),"",index('Supplemental intervention-level'!$M:$M,match(1,('Supplemental intervention-level'!$C:$C=$A75)*('Supplemental intervention-level'!$A:$A="Deworming"),0))),"Not specified")</f>
        <v>0.06</v>
      </c>
      <c r="J75" s="117">
        <f t="array" ref="J75">iferror(if(isblank($A75),"",index('Supplemental intervention-level'!$M:$M,match(1,('Supplemental intervention-level'!$C:$C=$A75)*('Supplemental intervention-level'!$A:$A="Deworming"),0))),"Not specified")</f>
        <v>0.06</v>
      </c>
      <c r="K75" s="117">
        <f t="array" ref="K75">iferror(if(isblank($A75),"",index('Supplemental intervention-level'!$M:$M,match(1,('Supplemental intervention-level'!$C:$C=$A75)*('Supplemental intervention-level'!$A:$A="Deworming"),0))),"Not specified")</f>
        <v>0.06</v>
      </c>
      <c r="L75" s="117">
        <f t="array" ref="L75">iferror(if(isblank($A75),"",index('Supplemental intervention-level'!$M:$M,match(1,('Supplemental intervention-level'!$C:$C=$A75)*('Supplemental intervention-level'!$A:$A="Deworming"),0))),"Not specified")</f>
        <v>0.06</v>
      </c>
      <c r="M75" s="117">
        <f t="array" ref="M75">iferror(if(isblank($A75),"",index('Supplemental intervention-level'!$M:$M,match(1,('Supplemental intervention-level'!$C:$C=$A75)*('Supplemental intervention-level'!$A:$A="Deworming"),0))),"Not specified")</f>
        <v>0.06</v>
      </c>
      <c r="N75" s="117">
        <f t="array" ref="N75">iferror(if(isblank($A75),"",index('Supplemental intervention-level'!$M:$M,match(1,('Supplemental intervention-level'!$C:$C=$A75)*('Supplemental intervention-level'!$A:$A="Deworming"),0))),"Not specified")</f>
        <v>0.06</v>
      </c>
      <c r="O75" s="117">
        <f t="array" ref="O75">iferror(if(isblank($A75),"",index('Supplemental intervention-level'!$M:$M,match(1,('Supplemental intervention-level'!$C:$C=$A75)*('Supplemental intervention-level'!$A:$A="Deworming"),0))),"Not specified")</f>
        <v>0.06</v>
      </c>
      <c r="P75" s="117">
        <f t="array" ref="P75">iferror(if(isblank($A75),"",index('Supplemental intervention-level'!$M:$M,match(1,('Supplemental intervention-level'!$C:$C=$A75)*('Supplemental intervention-level'!$A:$A="Deworming"),0))),"Not specified")</f>
        <v>0.06</v>
      </c>
    </row>
    <row r="76" outlineLevel="1">
      <c r="A76" s="116" t="str">
        <f>IFERROR(__xludf.DUMMYFUNCTION("""COMPUTED_VALUE"""),"Possible increases in diseases of affluence (harms of deworming)")</f>
        <v>Possible increases in diseases of affluence (harms of deworming)</v>
      </c>
      <c r="B76" s="117">
        <f t="array" ref="B76">iferror(if(isblank($A76),"",index('Supplemental intervention-level'!$M:$M,match(1,('Supplemental intervention-level'!$C:$C=$A76)*('Supplemental intervention-level'!$A:$A="Deworming"),0))),"Not specified")</f>
        <v>-0.025</v>
      </c>
      <c r="C76" s="117">
        <f t="array" ref="C76">iferror(if(isblank($A76),"",index('Supplemental intervention-level'!$M:$M,match(1,('Supplemental intervention-level'!$C:$C=$A76)*('Supplemental intervention-level'!$A:$A="Deworming"),0))),"Not specified")</f>
        <v>-0.025</v>
      </c>
      <c r="D76" s="117">
        <f t="array" ref="D76">iferror(if(isblank($A76),"",index('Supplemental intervention-level'!$M:$M,match(1,('Supplemental intervention-level'!$C:$C=$A76)*('Supplemental intervention-level'!$A:$A="Deworming"),0))),"Not specified")</f>
        <v>-0.025</v>
      </c>
      <c r="E76" s="117">
        <f t="array" ref="E76">iferror(if(isblank($A76),"",index('Supplemental intervention-level'!$M:$M,match(1,('Supplemental intervention-level'!$C:$C=$A76)*('Supplemental intervention-level'!$A:$A="Deworming"),0))),"Not specified")</f>
        <v>-0.025</v>
      </c>
      <c r="F76" s="117">
        <f t="array" ref="F76">iferror(if(isblank($A76),"",index('Supplemental intervention-level'!$M:$M,match(1,('Supplemental intervention-level'!$C:$C=$A76)*('Supplemental intervention-level'!$A:$A="Deworming"),0))),"Not specified")</f>
        <v>-0.025</v>
      </c>
      <c r="G76" s="117">
        <f t="array" ref="G76">iferror(if(isblank($A76),"",index('Supplemental intervention-level'!$M:$M,match(1,('Supplemental intervention-level'!$C:$C=$A76)*('Supplemental intervention-level'!$A:$A="Deworming"),0))),"Not specified")</f>
        <v>-0.025</v>
      </c>
      <c r="H76" s="117">
        <f t="array" ref="H76">iferror(if(isblank($A76),"",index('Supplemental intervention-level'!$M:$M,match(1,('Supplemental intervention-level'!$C:$C=$A76)*('Supplemental intervention-level'!$A:$A="Deworming"),0))),"Not specified")</f>
        <v>-0.025</v>
      </c>
      <c r="I76" s="117">
        <f t="array" ref="I76">iferror(if(isblank($A76),"",index('Supplemental intervention-level'!$M:$M,match(1,('Supplemental intervention-level'!$C:$C=$A76)*('Supplemental intervention-level'!$A:$A="Deworming"),0))),"Not specified")</f>
        <v>-0.025</v>
      </c>
      <c r="J76" s="117">
        <f t="array" ref="J76">iferror(if(isblank($A76),"",index('Supplemental intervention-level'!$M:$M,match(1,('Supplemental intervention-level'!$C:$C=$A76)*('Supplemental intervention-level'!$A:$A="Deworming"),0))),"Not specified")</f>
        <v>-0.025</v>
      </c>
      <c r="K76" s="117">
        <f t="array" ref="K76">iferror(if(isblank($A76),"",index('Supplemental intervention-level'!$M:$M,match(1,('Supplemental intervention-level'!$C:$C=$A76)*('Supplemental intervention-level'!$A:$A="Deworming"),0))),"Not specified")</f>
        <v>-0.025</v>
      </c>
      <c r="L76" s="117">
        <f t="array" ref="L76">iferror(if(isblank($A76),"",index('Supplemental intervention-level'!$M:$M,match(1,('Supplemental intervention-level'!$C:$C=$A76)*('Supplemental intervention-level'!$A:$A="Deworming"),0))),"Not specified")</f>
        <v>-0.025</v>
      </c>
      <c r="M76" s="117">
        <f t="array" ref="M76">iferror(if(isblank($A76),"",index('Supplemental intervention-level'!$M:$M,match(1,('Supplemental intervention-level'!$C:$C=$A76)*('Supplemental intervention-level'!$A:$A="Deworming"),0))),"Not specified")</f>
        <v>-0.025</v>
      </c>
      <c r="N76" s="117">
        <f t="array" ref="N76">iferror(if(isblank($A76),"",index('Supplemental intervention-level'!$M:$M,match(1,('Supplemental intervention-level'!$C:$C=$A76)*('Supplemental intervention-level'!$A:$A="Deworming"),0))),"Not specified")</f>
        <v>-0.025</v>
      </c>
      <c r="O76" s="117">
        <f t="array" ref="O76">iferror(if(isblank($A76),"",index('Supplemental intervention-level'!$M:$M,match(1,('Supplemental intervention-level'!$C:$C=$A76)*('Supplemental intervention-level'!$A:$A="Deworming"),0))),"Not specified")</f>
        <v>-0.025</v>
      </c>
      <c r="P76" s="117">
        <f t="array" ref="P76">iferror(if(isblank($A76),"",index('Supplemental intervention-level'!$M:$M,match(1,('Supplemental intervention-level'!$C:$C=$A76)*('Supplemental intervention-level'!$A:$A="Deworming"),0))),"Not specified")</f>
        <v>-0.025</v>
      </c>
    </row>
    <row r="77" outlineLevel="1">
      <c r="A77" s="116" t="str">
        <f>IFERROR(__xludf.DUMMYFUNCTION("""COMPUTED_VALUE"""),"Averted mortality")</f>
        <v>Averted mortality</v>
      </c>
      <c r="B77" s="117">
        <f t="array" ref="B77">iferror(if(isblank($A77),"",index('Supplemental intervention-level'!$M:$M,match(1,('Supplemental intervention-level'!$C:$C=$A77)*('Supplemental intervention-level'!$A:$A="Deworming"),0))),"Not specified")</f>
        <v>0.035</v>
      </c>
      <c r="C77" s="117">
        <f t="array" ref="C77">iferror(if(isblank($A77),"",index('Supplemental intervention-level'!$M:$M,match(1,('Supplemental intervention-level'!$C:$C=$A77)*('Supplemental intervention-level'!$A:$A="Deworming"),0))),"Not specified")</f>
        <v>0.035</v>
      </c>
      <c r="D77" s="117">
        <f t="array" ref="D77">iferror(if(isblank($A77),"",index('Supplemental intervention-level'!$M:$M,match(1,('Supplemental intervention-level'!$C:$C=$A77)*('Supplemental intervention-level'!$A:$A="Deworming"),0))),"Not specified")</f>
        <v>0.035</v>
      </c>
      <c r="E77" s="117">
        <f t="array" ref="E77">iferror(if(isblank($A77),"",index('Supplemental intervention-level'!$M:$M,match(1,('Supplemental intervention-level'!$C:$C=$A77)*('Supplemental intervention-level'!$A:$A="Deworming"),0))),"Not specified")</f>
        <v>0.035</v>
      </c>
      <c r="F77" s="117">
        <f t="array" ref="F77">iferror(if(isblank($A77),"",index('Supplemental intervention-level'!$M:$M,match(1,('Supplemental intervention-level'!$C:$C=$A77)*('Supplemental intervention-level'!$A:$A="Deworming"),0))),"Not specified")</f>
        <v>0.035</v>
      </c>
      <c r="G77" s="117">
        <f t="array" ref="G77">iferror(if(isblank($A77),"",index('Supplemental intervention-level'!$M:$M,match(1,('Supplemental intervention-level'!$C:$C=$A77)*('Supplemental intervention-level'!$A:$A="Deworming"),0))),"Not specified")</f>
        <v>0.035</v>
      </c>
      <c r="H77" s="117">
        <f t="array" ref="H77">iferror(if(isblank($A77),"",index('Supplemental intervention-level'!$M:$M,match(1,('Supplemental intervention-level'!$C:$C=$A77)*('Supplemental intervention-level'!$A:$A="Deworming"),0))),"Not specified")</f>
        <v>0.035</v>
      </c>
      <c r="I77" s="117">
        <f t="array" ref="I77">iferror(if(isblank($A77),"",index('Supplemental intervention-level'!$M:$M,match(1,('Supplemental intervention-level'!$C:$C=$A77)*('Supplemental intervention-level'!$A:$A="Deworming"),0))),"Not specified")</f>
        <v>0.035</v>
      </c>
      <c r="J77" s="117">
        <f t="array" ref="J77">iferror(if(isblank($A77),"",index('Supplemental intervention-level'!$M:$M,match(1,('Supplemental intervention-level'!$C:$C=$A77)*('Supplemental intervention-level'!$A:$A="Deworming"),0))),"Not specified")</f>
        <v>0.035</v>
      </c>
      <c r="K77" s="117">
        <f t="array" ref="K77">iferror(if(isblank($A77),"",index('Supplemental intervention-level'!$M:$M,match(1,('Supplemental intervention-level'!$C:$C=$A77)*('Supplemental intervention-level'!$A:$A="Deworming"),0))),"Not specified")</f>
        <v>0.035</v>
      </c>
      <c r="L77" s="117">
        <f t="array" ref="L77">iferror(if(isblank($A77),"",index('Supplemental intervention-level'!$M:$M,match(1,('Supplemental intervention-level'!$C:$C=$A77)*('Supplemental intervention-level'!$A:$A="Deworming"),0))),"Not specified")</f>
        <v>0.035</v>
      </c>
      <c r="M77" s="117">
        <f t="array" ref="M77">iferror(if(isblank($A77),"",index('Supplemental intervention-level'!$M:$M,match(1,('Supplemental intervention-level'!$C:$C=$A77)*('Supplemental intervention-level'!$A:$A="Deworming"),0))),"Not specified")</f>
        <v>0.035</v>
      </c>
      <c r="N77" s="117">
        <f t="array" ref="N77">iferror(if(isblank($A77),"",index('Supplemental intervention-level'!$M:$M,match(1,('Supplemental intervention-level'!$C:$C=$A77)*('Supplemental intervention-level'!$A:$A="Deworming"),0))),"Not specified")</f>
        <v>0.035</v>
      </c>
      <c r="O77" s="117">
        <f t="array" ref="O77">iferror(if(isblank($A77),"",index('Supplemental intervention-level'!$M:$M,match(1,('Supplemental intervention-level'!$C:$C=$A77)*('Supplemental intervention-level'!$A:$A="Deworming"),0))),"Not specified")</f>
        <v>0.035</v>
      </c>
      <c r="P77" s="117">
        <f t="array" ref="P77">iferror(if(isblank($A77),"",index('Supplemental intervention-level'!$M:$M,match(1,('Supplemental intervention-level'!$C:$C=$A77)*('Supplemental intervention-level'!$A:$A="Deworming"),0))),"Not specified")</f>
        <v>0.035</v>
      </c>
    </row>
    <row r="78" outlineLevel="1">
      <c r="A78" s="116" t="str">
        <f>IFERROR(__xludf.DUMMYFUNCTION("""COMPUTED_VALUE"""),"Short-term anemia effects")</f>
        <v>Short-term anemia effects</v>
      </c>
      <c r="B78" s="117">
        <f t="array" ref="B78">iferror(if(isblank($A78),"",index('Supplemental intervention-level'!$M:$M,match(1,('Supplemental intervention-level'!$C:$C=$A78)*('Supplemental intervention-level'!$A:$A="Deworming"),0))),"Not specified")</f>
        <v>0.09</v>
      </c>
      <c r="C78" s="117">
        <f t="array" ref="C78">iferror(if(isblank($A78),"",index('Supplemental intervention-level'!$M:$M,match(1,('Supplemental intervention-level'!$C:$C=$A78)*('Supplemental intervention-level'!$A:$A="Deworming"),0))),"Not specified")</f>
        <v>0.09</v>
      </c>
      <c r="D78" s="117">
        <f t="array" ref="D78">iferror(if(isblank($A78),"",index('Supplemental intervention-level'!$M:$M,match(1,('Supplemental intervention-level'!$C:$C=$A78)*('Supplemental intervention-level'!$A:$A="Deworming"),0))),"Not specified")</f>
        <v>0.09</v>
      </c>
      <c r="E78" s="117">
        <f t="array" ref="E78">iferror(if(isblank($A78),"",index('Supplemental intervention-level'!$M:$M,match(1,('Supplemental intervention-level'!$C:$C=$A78)*('Supplemental intervention-level'!$A:$A="Deworming"),0))),"Not specified")</f>
        <v>0.09</v>
      </c>
      <c r="F78" s="117">
        <f t="array" ref="F78">iferror(if(isblank($A78),"",index('Supplemental intervention-level'!$M:$M,match(1,('Supplemental intervention-level'!$C:$C=$A78)*('Supplemental intervention-level'!$A:$A="Deworming"),0))),"Not specified")</f>
        <v>0.09</v>
      </c>
      <c r="G78" s="117">
        <f t="array" ref="G78">iferror(if(isblank($A78),"",index('Supplemental intervention-level'!$M:$M,match(1,('Supplemental intervention-level'!$C:$C=$A78)*('Supplemental intervention-level'!$A:$A="Deworming"),0))),"Not specified")</f>
        <v>0.09</v>
      </c>
      <c r="H78" s="117">
        <f t="array" ref="H78">iferror(if(isblank($A78),"",index('Supplemental intervention-level'!$M:$M,match(1,('Supplemental intervention-level'!$C:$C=$A78)*('Supplemental intervention-level'!$A:$A="Deworming"),0))),"Not specified")</f>
        <v>0.09</v>
      </c>
      <c r="I78" s="117">
        <f t="array" ref="I78">iferror(if(isblank($A78),"",index('Supplemental intervention-level'!$M:$M,match(1,('Supplemental intervention-level'!$C:$C=$A78)*('Supplemental intervention-level'!$A:$A="Deworming"),0))),"Not specified")</f>
        <v>0.09</v>
      </c>
      <c r="J78" s="117">
        <f t="array" ref="J78">iferror(if(isblank($A78),"",index('Supplemental intervention-level'!$M:$M,match(1,('Supplemental intervention-level'!$C:$C=$A78)*('Supplemental intervention-level'!$A:$A="Deworming"),0))),"Not specified")</f>
        <v>0.09</v>
      </c>
      <c r="K78" s="117">
        <f t="array" ref="K78">iferror(if(isblank($A78),"",index('Supplemental intervention-level'!$M:$M,match(1,('Supplemental intervention-level'!$C:$C=$A78)*('Supplemental intervention-level'!$A:$A="Deworming"),0))),"Not specified")</f>
        <v>0.09</v>
      </c>
      <c r="L78" s="117">
        <f t="array" ref="L78">iferror(if(isblank($A78),"",index('Supplemental intervention-level'!$M:$M,match(1,('Supplemental intervention-level'!$C:$C=$A78)*('Supplemental intervention-level'!$A:$A="Deworming"),0))),"Not specified")</f>
        <v>0.09</v>
      </c>
      <c r="M78" s="117">
        <f t="array" ref="M78">iferror(if(isblank($A78),"",index('Supplemental intervention-level'!$M:$M,match(1,('Supplemental intervention-level'!$C:$C=$A78)*('Supplemental intervention-level'!$A:$A="Deworming"),0))),"Not specified")</f>
        <v>0.09</v>
      </c>
      <c r="N78" s="117">
        <f t="array" ref="N78">iferror(if(isblank($A78),"",index('Supplemental intervention-level'!$M:$M,match(1,('Supplemental intervention-level'!$C:$C=$A78)*('Supplemental intervention-level'!$A:$A="Deworming"),0))),"Not specified")</f>
        <v>0.09</v>
      </c>
      <c r="O78" s="117">
        <f t="array" ref="O78">iferror(if(isblank($A78),"",index('Supplemental intervention-level'!$M:$M,match(1,('Supplemental intervention-level'!$C:$C=$A78)*('Supplemental intervention-level'!$A:$A="Deworming"),0))),"Not specified")</f>
        <v>0.09</v>
      </c>
      <c r="P78" s="117">
        <f t="array" ref="P78">iferror(if(isblank($A78),"",index('Supplemental intervention-level'!$M:$M,match(1,('Supplemental intervention-level'!$C:$C=$A78)*('Supplemental intervention-level'!$A:$A="Deworming"),0))),"Not specified")</f>
        <v>0.09</v>
      </c>
    </row>
    <row r="79" outlineLevel="1">
      <c r="A79" s="55" t="str">
        <f>IFERROR(__xludf.DUMMYFUNCTION("""COMPUTED_VALUE"""),"Investment of income increases")</f>
        <v>Investment of income increases</v>
      </c>
      <c r="B79" s="117">
        <f t="array" ref="B79">iferror(if(isblank($A79),"",index('Supplemental intervention-level'!$M:$M,match(1,('Supplemental intervention-level'!$C:$C=$A79)*('Supplemental intervention-level'!$A:$A="Deworming"),0))),"Not specified")</f>
        <v>0.1</v>
      </c>
      <c r="C79" s="117">
        <f t="array" ref="C79">iferror(if(isblank($A79),"",index('Supplemental intervention-level'!$M:$M,match(1,('Supplemental intervention-level'!$C:$C=$A79)*('Supplemental intervention-level'!$A:$A="Deworming"),0))),"Not specified")</f>
        <v>0.1</v>
      </c>
      <c r="D79" s="117">
        <f t="array" ref="D79">iferror(if(isblank($A79),"",index('Supplemental intervention-level'!$M:$M,match(1,('Supplemental intervention-level'!$C:$C=$A79)*('Supplemental intervention-level'!$A:$A="Deworming"),0))),"Not specified")</f>
        <v>0.1</v>
      </c>
      <c r="E79" s="117">
        <f t="array" ref="E79">iferror(if(isblank($A79),"",index('Supplemental intervention-level'!$M:$M,match(1,('Supplemental intervention-level'!$C:$C=$A79)*('Supplemental intervention-level'!$A:$A="Deworming"),0))),"Not specified")</f>
        <v>0.1</v>
      </c>
      <c r="F79" s="117">
        <f t="array" ref="F79">iferror(if(isblank($A79),"",index('Supplemental intervention-level'!$M:$M,match(1,('Supplemental intervention-level'!$C:$C=$A79)*('Supplemental intervention-level'!$A:$A="Deworming"),0))),"Not specified")</f>
        <v>0.1</v>
      </c>
      <c r="G79" s="117">
        <f t="array" ref="G79">iferror(if(isblank($A79),"",index('Supplemental intervention-level'!$M:$M,match(1,('Supplemental intervention-level'!$C:$C=$A79)*('Supplemental intervention-level'!$A:$A="Deworming"),0))),"Not specified")</f>
        <v>0.1</v>
      </c>
      <c r="H79" s="117">
        <f t="array" ref="H79">iferror(if(isblank($A79),"",index('Supplemental intervention-level'!$M:$M,match(1,('Supplemental intervention-level'!$C:$C=$A79)*('Supplemental intervention-level'!$A:$A="Deworming"),0))),"Not specified")</f>
        <v>0.1</v>
      </c>
      <c r="I79" s="117">
        <f t="array" ref="I79">iferror(if(isblank($A79),"",index('Supplemental intervention-level'!$M:$M,match(1,('Supplemental intervention-level'!$C:$C=$A79)*('Supplemental intervention-level'!$A:$A="Deworming"),0))),"Not specified")</f>
        <v>0.1</v>
      </c>
      <c r="J79" s="117">
        <f t="array" ref="J79">iferror(if(isblank($A79),"",index('Supplemental intervention-level'!$M:$M,match(1,('Supplemental intervention-level'!$C:$C=$A79)*('Supplemental intervention-level'!$A:$A="Deworming"),0))),"Not specified")</f>
        <v>0.1</v>
      </c>
      <c r="K79" s="117">
        <f t="array" ref="K79">iferror(if(isblank($A79),"",index('Supplemental intervention-level'!$M:$M,match(1,('Supplemental intervention-level'!$C:$C=$A79)*('Supplemental intervention-level'!$A:$A="Deworming"),0))),"Not specified")</f>
        <v>0.1</v>
      </c>
      <c r="L79" s="117">
        <f t="array" ref="L79">iferror(if(isblank($A79),"",index('Supplemental intervention-level'!$M:$M,match(1,('Supplemental intervention-level'!$C:$C=$A79)*('Supplemental intervention-level'!$A:$A="Deworming"),0))),"Not specified")</f>
        <v>0.1</v>
      </c>
      <c r="M79" s="117">
        <f t="array" ref="M79">iferror(if(isblank($A79),"",index('Supplemental intervention-level'!$M:$M,match(1,('Supplemental intervention-level'!$C:$C=$A79)*('Supplemental intervention-level'!$A:$A="Deworming"),0))),"Not specified")</f>
        <v>0.1</v>
      </c>
      <c r="N79" s="117">
        <f t="array" ref="N79">iferror(if(isblank($A79),"",index('Supplemental intervention-level'!$M:$M,match(1,('Supplemental intervention-level'!$C:$C=$A79)*('Supplemental intervention-level'!$A:$A="Deworming"),0))),"Not specified")</f>
        <v>0.1</v>
      </c>
      <c r="O79" s="117">
        <f t="array" ref="O79">iferror(if(isblank($A79),"",index('Supplemental intervention-level'!$M:$M,match(1,('Supplemental intervention-level'!$C:$C=$A79)*('Supplemental intervention-level'!$A:$A="Deworming"),0))),"Not specified")</f>
        <v>0.1</v>
      </c>
      <c r="P79" s="117">
        <f t="array" ref="P79">iferror(if(isblank($A79),"",index('Supplemental intervention-level'!$M:$M,match(1,('Supplemental intervention-level'!$C:$C=$A79)*('Supplemental intervention-level'!$A:$A="Deworming"),0))),"Not specified")</f>
        <v>0.1</v>
      </c>
    </row>
    <row r="80" outlineLevel="1">
      <c r="A80" s="116" t="str">
        <f>IFERROR(__xludf.DUMMYFUNCTION("""COMPUTED_VALUE"""),"Non-income long-run benefits of deworming")</f>
        <v>Non-income long-run benefits of deworming</v>
      </c>
      <c r="B80" s="117">
        <f t="array" ref="B80">iferror(if(isblank($A80),"",index('Supplemental intervention-level'!$M:$M,match(1,('Supplemental intervention-level'!$C:$C=$A80)*('Supplemental intervention-level'!$A:$A="Deworming"),0))),"Not specified")</f>
        <v>0.04</v>
      </c>
      <c r="C80" s="117">
        <f t="array" ref="C80">iferror(if(isblank($A80),"",index('Supplemental intervention-level'!$M:$M,match(1,('Supplemental intervention-level'!$C:$C=$A80)*('Supplemental intervention-level'!$A:$A="Deworming"),0))),"Not specified")</f>
        <v>0.04</v>
      </c>
      <c r="D80" s="117">
        <f t="array" ref="D80">iferror(if(isblank($A80),"",index('Supplemental intervention-level'!$M:$M,match(1,('Supplemental intervention-level'!$C:$C=$A80)*('Supplemental intervention-level'!$A:$A="Deworming"),0))),"Not specified")</f>
        <v>0.04</v>
      </c>
      <c r="E80" s="117">
        <f t="array" ref="E80">iferror(if(isblank($A80),"",index('Supplemental intervention-level'!$M:$M,match(1,('Supplemental intervention-level'!$C:$C=$A80)*('Supplemental intervention-level'!$A:$A="Deworming"),0))),"Not specified")</f>
        <v>0.04</v>
      </c>
      <c r="F80" s="117">
        <f t="array" ref="F80">iferror(if(isblank($A80),"",index('Supplemental intervention-level'!$M:$M,match(1,('Supplemental intervention-level'!$C:$C=$A80)*('Supplemental intervention-level'!$A:$A="Deworming"),0))),"Not specified")</f>
        <v>0.04</v>
      </c>
      <c r="G80" s="117">
        <f t="array" ref="G80">iferror(if(isblank($A80),"",index('Supplemental intervention-level'!$M:$M,match(1,('Supplemental intervention-level'!$C:$C=$A80)*('Supplemental intervention-level'!$A:$A="Deworming"),0))),"Not specified")</f>
        <v>0.04</v>
      </c>
      <c r="H80" s="117">
        <f t="array" ref="H80">iferror(if(isblank($A80),"",index('Supplemental intervention-level'!$M:$M,match(1,('Supplemental intervention-level'!$C:$C=$A80)*('Supplemental intervention-level'!$A:$A="Deworming"),0))),"Not specified")</f>
        <v>0.04</v>
      </c>
      <c r="I80" s="117">
        <f t="array" ref="I80">iferror(if(isblank($A80),"",index('Supplemental intervention-level'!$M:$M,match(1,('Supplemental intervention-level'!$C:$C=$A80)*('Supplemental intervention-level'!$A:$A="Deworming"),0))),"Not specified")</f>
        <v>0.04</v>
      </c>
      <c r="J80" s="117">
        <f t="array" ref="J80">iferror(if(isblank($A80),"",index('Supplemental intervention-level'!$M:$M,match(1,('Supplemental intervention-level'!$C:$C=$A80)*('Supplemental intervention-level'!$A:$A="Deworming"),0))),"Not specified")</f>
        <v>0.04</v>
      </c>
      <c r="K80" s="117">
        <f t="array" ref="K80">iferror(if(isblank($A80),"",index('Supplemental intervention-level'!$M:$M,match(1,('Supplemental intervention-level'!$C:$C=$A80)*('Supplemental intervention-level'!$A:$A="Deworming"),0))),"Not specified")</f>
        <v>0.04</v>
      </c>
      <c r="L80" s="117">
        <f t="array" ref="L80">iferror(if(isblank($A80),"",index('Supplemental intervention-level'!$M:$M,match(1,('Supplemental intervention-level'!$C:$C=$A80)*('Supplemental intervention-level'!$A:$A="Deworming"),0))),"Not specified")</f>
        <v>0.04</v>
      </c>
      <c r="M80" s="117">
        <f t="array" ref="M80">iferror(if(isblank($A80),"",index('Supplemental intervention-level'!$M:$M,match(1,('Supplemental intervention-level'!$C:$C=$A80)*('Supplemental intervention-level'!$A:$A="Deworming"),0))),"Not specified")</f>
        <v>0.04</v>
      </c>
      <c r="N80" s="117">
        <f t="array" ref="N80">iferror(if(isblank($A80),"",index('Supplemental intervention-level'!$M:$M,match(1,('Supplemental intervention-level'!$C:$C=$A80)*('Supplemental intervention-level'!$A:$A="Deworming"),0))),"Not specified")</f>
        <v>0.04</v>
      </c>
      <c r="O80" s="117">
        <f t="array" ref="O80">iferror(if(isblank($A80),"",index('Supplemental intervention-level'!$M:$M,match(1,('Supplemental intervention-level'!$C:$C=$A80)*('Supplemental intervention-level'!$A:$A="Deworming"),0))),"Not specified")</f>
        <v>0.04</v>
      </c>
      <c r="P80" s="117">
        <f t="array" ref="P80">iferror(if(isblank($A80),"",index('Supplemental intervention-level'!$M:$M,match(1,('Supplemental intervention-level'!$C:$C=$A80)*('Supplemental intervention-level'!$A:$A="Deworming"),0))),"Not specified")</f>
        <v>0.04</v>
      </c>
    </row>
    <row r="81" outlineLevel="1">
      <c r="A81" s="116" t="str">
        <f>IFERROR(__xludf.DUMMYFUNCTION("""COMPUTED_VALUE"""),"Drug resistance")</f>
        <v>Drug resistance</v>
      </c>
      <c r="B81" s="117">
        <f t="array" ref="B81">iferror(if(isblank($A81),"",index('Supplemental intervention-level'!$M:$M,match(1,('Supplemental intervention-level'!$C:$C=$A81)*('Supplemental intervention-level'!$A:$A="Deworming"),0))),"Not specified")</f>
        <v>-0.04</v>
      </c>
      <c r="C81" s="117">
        <f t="array" ref="C81">iferror(if(isblank($A81),"",index('Supplemental intervention-level'!$M:$M,match(1,('Supplemental intervention-level'!$C:$C=$A81)*('Supplemental intervention-level'!$A:$A="Deworming"),0))),"Not specified")</f>
        <v>-0.04</v>
      </c>
      <c r="D81" s="117">
        <f t="array" ref="D81">iferror(if(isblank($A81),"",index('Supplemental intervention-level'!$M:$M,match(1,('Supplemental intervention-level'!$C:$C=$A81)*('Supplemental intervention-level'!$A:$A="Deworming"),0))),"Not specified")</f>
        <v>-0.04</v>
      </c>
      <c r="E81" s="117">
        <f t="array" ref="E81">iferror(if(isblank($A81),"",index('Supplemental intervention-level'!$M:$M,match(1,('Supplemental intervention-level'!$C:$C=$A81)*('Supplemental intervention-level'!$A:$A="Deworming"),0))),"Not specified")</f>
        <v>-0.04</v>
      </c>
      <c r="F81" s="117">
        <f t="array" ref="F81">iferror(if(isblank($A81),"",index('Supplemental intervention-level'!$M:$M,match(1,('Supplemental intervention-level'!$C:$C=$A81)*('Supplemental intervention-level'!$A:$A="Deworming"),0))),"Not specified")</f>
        <v>-0.04</v>
      </c>
      <c r="G81" s="117">
        <f t="array" ref="G81">iferror(if(isblank($A81),"",index('Supplemental intervention-level'!$M:$M,match(1,('Supplemental intervention-level'!$C:$C=$A81)*('Supplemental intervention-level'!$A:$A="Deworming"),0))),"Not specified")</f>
        <v>-0.04</v>
      </c>
      <c r="H81" s="117">
        <f t="array" ref="H81">iferror(if(isblank($A81),"",index('Supplemental intervention-level'!$M:$M,match(1,('Supplemental intervention-level'!$C:$C=$A81)*('Supplemental intervention-level'!$A:$A="Deworming"),0))),"Not specified")</f>
        <v>-0.04</v>
      </c>
      <c r="I81" s="117">
        <f t="array" ref="I81">iferror(if(isblank($A81),"",index('Supplemental intervention-level'!$M:$M,match(1,('Supplemental intervention-level'!$C:$C=$A81)*('Supplemental intervention-level'!$A:$A="Deworming"),0))),"Not specified")</f>
        <v>-0.04</v>
      </c>
      <c r="J81" s="117">
        <f t="array" ref="J81">iferror(if(isblank($A81),"",index('Supplemental intervention-level'!$M:$M,match(1,('Supplemental intervention-level'!$C:$C=$A81)*('Supplemental intervention-level'!$A:$A="Deworming"),0))),"Not specified")</f>
        <v>-0.04</v>
      </c>
      <c r="K81" s="117">
        <f t="array" ref="K81">iferror(if(isblank($A81),"",index('Supplemental intervention-level'!$M:$M,match(1,('Supplemental intervention-level'!$C:$C=$A81)*('Supplemental intervention-level'!$A:$A="Deworming"),0))),"Not specified")</f>
        <v>-0.04</v>
      </c>
      <c r="L81" s="117">
        <f t="array" ref="L81">iferror(if(isblank($A81),"",index('Supplemental intervention-level'!$M:$M,match(1,('Supplemental intervention-level'!$C:$C=$A81)*('Supplemental intervention-level'!$A:$A="Deworming"),0))),"Not specified")</f>
        <v>-0.04</v>
      </c>
      <c r="M81" s="117">
        <f t="array" ref="M81">iferror(if(isblank($A81),"",index('Supplemental intervention-level'!$M:$M,match(1,('Supplemental intervention-level'!$C:$C=$A81)*('Supplemental intervention-level'!$A:$A="Deworming"),0))),"Not specified")</f>
        <v>-0.04</v>
      </c>
      <c r="N81" s="117">
        <f t="array" ref="N81">iferror(if(isblank($A81),"",index('Supplemental intervention-level'!$M:$M,match(1,('Supplemental intervention-level'!$C:$C=$A81)*('Supplemental intervention-level'!$A:$A="Deworming"),0))),"Not specified")</f>
        <v>-0.04</v>
      </c>
      <c r="O81" s="117">
        <f t="array" ref="O81">iferror(if(isblank($A81),"",index('Supplemental intervention-level'!$M:$M,match(1,('Supplemental intervention-level'!$C:$C=$A81)*('Supplemental intervention-level'!$A:$A="Deworming"),0))),"Not specified")</f>
        <v>-0.04</v>
      </c>
      <c r="P81" s="117">
        <f t="array" ref="P81">iferror(if(isblank($A81),"",index('Supplemental intervention-level'!$M:$M,match(1,('Supplemental intervention-level'!$C:$C=$A81)*('Supplemental intervention-level'!$A:$A="Deworming"),0))),"Not specified")</f>
        <v>-0.04</v>
      </c>
    </row>
    <row r="82" outlineLevel="1">
      <c r="A82" s="116" t="str">
        <f>IFERROR(__xludf.DUMMYFUNCTION("""COMPUTED_VALUE"""),"Unprogrammed deworming")</f>
        <v>Unprogrammed deworming</v>
      </c>
      <c r="B82" s="117">
        <f t="array" ref="B82">iferror(if(isblank($A82),"",index('Supplemental intervention-level'!$M:$M,match(1,('Supplemental intervention-level'!$C:$C=$A82)*('Supplemental intervention-level'!$A:$A="Deworming"),0))),"Not specified")</f>
        <v>-0.14</v>
      </c>
      <c r="C82" s="117">
        <f t="array" ref="C82">iferror(if(isblank($A82),"",index('Supplemental intervention-level'!$M:$M,match(1,('Supplemental intervention-level'!$C:$C=$A82)*('Supplemental intervention-level'!$A:$A="Deworming"),0))),"Not specified")</f>
        <v>-0.14</v>
      </c>
      <c r="D82" s="117">
        <f t="array" ref="D82">iferror(if(isblank($A82),"",index('Supplemental intervention-level'!$M:$M,match(1,('Supplemental intervention-level'!$C:$C=$A82)*('Supplemental intervention-level'!$A:$A="Deworming"),0))),"Not specified")</f>
        <v>-0.14</v>
      </c>
      <c r="E82" s="117">
        <f t="array" ref="E82">iferror(if(isblank($A82),"",index('Supplemental intervention-level'!$M:$M,match(1,('Supplemental intervention-level'!$C:$C=$A82)*('Supplemental intervention-level'!$A:$A="Deworming"),0))),"Not specified")</f>
        <v>-0.14</v>
      </c>
      <c r="F82" s="117">
        <f t="array" ref="F82">iferror(if(isblank($A82),"",index('Supplemental intervention-level'!$M:$M,match(1,('Supplemental intervention-level'!$C:$C=$A82)*('Supplemental intervention-level'!$A:$A="Deworming"),0))),"Not specified")</f>
        <v>-0.14</v>
      </c>
      <c r="G82" s="117">
        <f t="array" ref="G82">iferror(if(isblank($A82),"",index('Supplemental intervention-level'!$M:$M,match(1,('Supplemental intervention-level'!$C:$C=$A82)*('Supplemental intervention-level'!$A:$A="Deworming"),0))),"Not specified")</f>
        <v>-0.14</v>
      </c>
      <c r="H82" s="117">
        <f t="array" ref="H82">iferror(if(isblank($A82),"",index('Supplemental intervention-level'!$M:$M,match(1,('Supplemental intervention-level'!$C:$C=$A82)*('Supplemental intervention-level'!$A:$A="Deworming"),0))),"Not specified")</f>
        <v>-0.14</v>
      </c>
      <c r="I82" s="117">
        <f t="array" ref="I82">iferror(if(isblank($A82),"",index('Supplemental intervention-level'!$M:$M,match(1,('Supplemental intervention-level'!$C:$C=$A82)*('Supplemental intervention-level'!$A:$A="Deworming"),0))),"Not specified")</f>
        <v>-0.14</v>
      </c>
      <c r="J82" s="117">
        <f t="array" ref="J82">iferror(if(isblank($A82),"",index('Supplemental intervention-level'!$M:$M,match(1,('Supplemental intervention-level'!$C:$C=$A82)*('Supplemental intervention-level'!$A:$A="Deworming"),0))),"Not specified")</f>
        <v>-0.14</v>
      </c>
      <c r="K82" s="117">
        <f t="array" ref="K82">iferror(if(isblank($A82),"",index('Supplemental intervention-level'!$M:$M,match(1,('Supplemental intervention-level'!$C:$C=$A82)*('Supplemental intervention-level'!$A:$A="Deworming"),0))),"Not specified")</f>
        <v>-0.14</v>
      </c>
      <c r="L82" s="117">
        <f t="array" ref="L82">iferror(if(isblank($A82),"",index('Supplemental intervention-level'!$M:$M,match(1,('Supplemental intervention-level'!$C:$C=$A82)*('Supplemental intervention-level'!$A:$A="Deworming"),0))),"Not specified")</f>
        <v>-0.14</v>
      </c>
      <c r="M82" s="117">
        <f t="array" ref="M82">iferror(if(isblank($A82),"",index('Supplemental intervention-level'!$M:$M,match(1,('Supplemental intervention-level'!$C:$C=$A82)*('Supplemental intervention-level'!$A:$A="Deworming"),0))),"Not specified")</f>
        <v>-0.14</v>
      </c>
      <c r="N82" s="117">
        <f t="array" ref="N82">iferror(if(isblank($A82),"",index('Supplemental intervention-level'!$M:$M,match(1,('Supplemental intervention-level'!$C:$C=$A82)*('Supplemental intervention-level'!$A:$A="Deworming"),0))),"Not specified")</f>
        <v>-0.14</v>
      </c>
      <c r="O82" s="117">
        <f t="array" ref="O82">iferror(if(isblank($A82),"",index('Supplemental intervention-level'!$M:$M,match(1,('Supplemental intervention-level'!$C:$C=$A82)*('Supplemental intervention-level'!$A:$A="Deworming"),0))),"Not specified")</f>
        <v>-0.14</v>
      </c>
      <c r="P82" s="117">
        <f t="array" ref="P82">iferror(if(isblank($A82),"",index('Supplemental intervention-level'!$M:$M,match(1,('Supplemental intervention-level'!$C:$C=$A82)*('Supplemental intervention-level'!$A:$A="Deworming"),0))),"Not specified")</f>
        <v>-0.14</v>
      </c>
    </row>
    <row r="83" outlineLevel="1">
      <c r="A83" s="116" t="str">
        <f>IFERROR(__xludf.DUMMYFUNCTION("""COMPUTED_VALUE"""),"Marginal funding goes to lower priority areas")</f>
        <v>Marginal funding goes to lower priority areas</v>
      </c>
      <c r="B83" s="117">
        <f t="array" ref="B83">iferror(if(isblank($A83),"",index('Supplemental intervention-level'!$M:$M,match(1,('Supplemental intervention-level'!$C:$C=$A83)*('Supplemental intervention-level'!$A:$A="Deworming"),0))),"Not specified")</f>
        <v>-0.025</v>
      </c>
      <c r="C83" s="117">
        <f t="array" ref="C83">iferror(if(isblank($A83),"",index('Supplemental intervention-level'!$M:$M,match(1,('Supplemental intervention-level'!$C:$C=$A83)*('Supplemental intervention-level'!$A:$A="Deworming"),0))),"Not specified")</f>
        <v>-0.025</v>
      </c>
      <c r="D83" s="117">
        <f t="array" ref="D83">iferror(if(isblank($A83),"",index('Supplemental intervention-level'!$M:$M,match(1,('Supplemental intervention-level'!$C:$C=$A83)*('Supplemental intervention-level'!$A:$A="Deworming"),0))),"Not specified")</f>
        <v>-0.025</v>
      </c>
      <c r="E83" s="117">
        <f t="array" ref="E83">iferror(if(isblank($A83),"",index('Supplemental intervention-level'!$M:$M,match(1,('Supplemental intervention-level'!$C:$C=$A83)*('Supplemental intervention-level'!$A:$A="Deworming"),0))),"Not specified")</f>
        <v>-0.025</v>
      </c>
      <c r="F83" s="117">
        <f t="array" ref="F83">iferror(if(isblank($A83),"",index('Supplemental intervention-level'!$M:$M,match(1,('Supplemental intervention-level'!$C:$C=$A83)*('Supplemental intervention-level'!$A:$A="Deworming"),0))),"Not specified")</f>
        <v>-0.025</v>
      </c>
      <c r="G83" s="117">
        <f t="array" ref="G83">iferror(if(isblank($A83),"",index('Supplemental intervention-level'!$M:$M,match(1,('Supplemental intervention-level'!$C:$C=$A83)*('Supplemental intervention-level'!$A:$A="Deworming"),0))),"Not specified")</f>
        <v>-0.025</v>
      </c>
      <c r="H83" s="117">
        <f t="array" ref="H83">iferror(if(isblank($A83),"",index('Supplemental intervention-level'!$M:$M,match(1,('Supplemental intervention-level'!$C:$C=$A83)*('Supplemental intervention-level'!$A:$A="Deworming"),0))),"Not specified")</f>
        <v>-0.025</v>
      </c>
      <c r="I83" s="117">
        <f t="array" ref="I83">iferror(if(isblank($A83),"",index('Supplemental intervention-level'!$M:$M,match(1,('Supplemental intervention-level'!$C:$C=$A83)*('Supplemental intervention-level'!$A:$A="Deworming"),0))),"Not specified")</f>
        <v>-0.025</v>
      </c>
      <c r="J83" s="117">
        <f t="array" ref="J83">iferror(if(isblank($A83),"",index('Supplemental intervention-level'!$M:$M,match(1,('Supplemental intervention-level'!$C:$C=$A83)*('Supplemental intervention-level'!$A:$A="Deworming"),0))),"Not specified")</f>
        <v>-0.025</v>
      </c>
      <c r="K83" s="117">
        <f t="array" ref="K83">iferror(if(isblank($A83),"",index('Supplemental intervention-level'!$M:$M,match(1,('Supplemental intervention-level'!$C:$C=$A83)*('Supplemental intervention-level'!$A:$A="Deworming"),0))),"Not specified")</f>
        <v>-0.025</v>
      </c>
      <c r="L83" s="117">
        <f t="array" ref="L83">iferror(if(isblank($A83),"",index('Supplemental intervention-level'!$M:$M,match(1,('Supplemental intervention-level'!$C:$C=$A83)*('Supplemental intervention-level'!$A:$A="Deworming"),0))),"Not specified")</f>
        <v>-0.025</v>
      </c>
      <c r="M83" s="117">
        <f t="array" ref="M83">iferror(if(isblank($A83),"",index('Supplemental intervention-level'!$M:$M,match(1,('Supplemental intervention-level'!$C:$C=$A83)*('Supplemental intervention-level'!$A:$A="Deworming"),0))),"Not specified")</f>
        <v>-0.025</v>
      </c>
      <c r="N83" s="117">
        <f t="array" ref="N83">iferror(if(isblank($A83),"",index('Supplemental intervention-level'!$M:$M,match(1,('Supplemental intervention-level'!$C:$C=$A83)*('Supplemental intervention-level'!$A:$A="Deworming"),0))),"Not specified")</f>
        <v>-0.025</v>
      </c>
      <c r="O83" s="117">
        <f t="array" ref="O83">iferror(if(isblank($A83),"",index('Supplemental intervention-level'!$M:$M,match(1,('Supplemental intervention-level'!$C:$C=$A83)*('Supplemental intervention-level'!$A:$A="Deworming"),0))),"Not specified")</f>
        <v>-0.025</v>
      </c>
      <c r="P83" s="117">
        <f t="array" ref="P83">iferror(if(isblank($A83),"",index('Supplemental intervention-level'!$M:$M,match(1,('Supplemental intervention-level'!$C:$C=$A83)*('Supplemental intervention-level'!$A:$A="Deworming"),0))),"Not specified")</f>
        <v>-0.025</v>
      </c>
    </row>
    <row r="84" outlineLevel="1">
      <c r="A84" s="55" t="str">
        <f>IFERROR(__xludf.DUMMYFUNCTION("""COMPUTED_VALUE"""),"General equilibrium effects")</f>
        <v>General equilibrium effects</v>
      </c>
      <c r="B84" s="117">
        <f t="array" ref="B84">iferror(if(isblank($A84),"",index('Supplemental intervention-level'!$M:$M,match(1,('Supplemental intervention-level'!$C:$C=$A84)*('Supplemental intervention-level'!$A:$A="Deworming"),0))),"Not specified")</f>
        <v>-0.03</v>
      </c>
      <c r="C84" s="117">
        <f t="array" ref="C84">iferror(if(isblank($A84),"",index('Supplemental intervention-level'!$M:$M,match(1,('Supplemental intervention-level'!$C:$C=$A84)*('Supplemental intervention-level'!$A:$A="Deworming"),0))),"Not specified")</f>
        <v>-0.03</v>
      </c>
      <c r="D84" s="117">
        <f t="array" ref="D84">iferror(if(isblank($A84),"",index('Supplemental intervention-level'!$M:$M,match(1,('Supplemental intervention-level'!$C:$C=$A84)*('Supplemental intervention-level'!$A:$A="Deworming"),0))),"Not specified")</f>
        <v>-0.03</v>
      </c>
      <c r="E84" s="117">
        <f t="array" ref="E84">iferror(if(isblank($A84),"",index('Supplemental intervention-level'!$M:$M,match(1,('Supplemental intervention-level'!$C:$C=$A84)*('Supplemental intervention-level'!$A:$A="Deworming"),0))),"Not specified")</f>
        <v>-0.03</v>
      </c>
      <c r="F84" s="117">
        <f t="array" ref="F84">iferror(if(isblank($A84),"",index('Supplemental intervention-level'!$M:$M,match(1,('Supplemental intervention-level'!$C:$C=$A84)*('Supplemental intervention-level'!$A:$A="Deworming"),0))),"Not specified")</f>
        <v>-0.03</v>
      </c>
      <c r="G84" s="117">
        <f t="array" ref="G84">iferror(if(isblank($A84),"",index('Supplemental intervention-level'!$M:$M,match(1,('Supplemental intervention-level'!$C:$C=$A84)*('Supplemental intervention-level'!$A:$A="Deworming"),0))),"Not specified")</f>
        <v>-0.03</v>
      </c>
      <c r="H84" s="117">
        <f t="array" ref="H84">iferror(if(isblank($A84),"",index('Supplemental intervention-level'!$M:$M,match(1,('Supplemental intervention-level'!$C:$C=$A84)*('Supplemental intervention-level'!$A:$A="Deworming"),0))),"Not specified")</f>
        <v>-0.03</v>
      </c>
      <c r="I84" s="117">
        <f t="array" ref="I84">iferror(if(isblank($A84),"",index('Supplemental intervention-level'!$M:$M,match(1,('Supplemental intervention-level'!$C:$C=$A84)*('Supplemental intervention-level'!$A:$A="Deworming"),0))),"Not specified")</f>
        <v>-0.03</v>
      </c>
      <c r="J84" s="117">
        <f t="array" ref="J84">iferror(if(isblank($A84),"",index('Supplemental intervention-level'!$M:$M,match(1,('Supplemental intervention-level'!$C:$C=$A84)*('Supplemental intervention-level'!$A:$A="Deworming"),0))),"Not specified")</f>
        <v>-0.03</v>
      </c>
      <c r="K84" s="117">
        <f t="array" ref="K84">iferror(if(isblank($A84),"",index('Supplemental intervention-level'!$M:$M,match(1,('Supplemental intervention-level'!$C:$C=$A84)*('Supplemental intervention-level'!$A:$A="Deworming"),0))),"Not specified")</f>
        <v>-0.03</v>
      </c>
      <c r="L84" s="117">
        <f t="array" ref="L84">iferror(if(isblank($A84),"",index('Supplemental intervention-level'!$M:$M,match(1,('Supplemental intervention-level'!$C:$C=$A84)*('Supplemental intervention-level'!$A:$A="Deworming"),0))),"Not specified")</f>
        <v>-0.03</v>
      </c>
      <c r="M84" s="117">
        <f t="array" ref="M84">iferror(if(isblank($A84),"",index('Supplemental intervention-level'!$M:$M,match(1,('Supplemental intervention-level'!$C:$C=$A84)*('Supplemental intervention-level'!$A:$A="Deworming"),0))),"Not specified")</f>
        <v>-0.03</v>
      </c>
      <c r="N84" s="117">
        <f t="array" ref="N84">iferror(if(isblank($A84),"",index('Supplemental intervention-level'!$M:$M,match(1,('Supplemental intervention-level'!$C:$C=$A84)*('Supplemental intervention-level'!$A:$A="Deworming"),0))),"Not specified")</f>
        <v>-0.03</v>
      </c>
      <c r="O84" s="117">
        <f t="array" ref="O84">iferror(if(isblank($A84),"",index('Supplemental intervention-level'!$M:$M,match(1,('Supplemental intervention-level'!$C:$C=$A84)*('Supplemental intervention-level'!$A:$A="Deworming"),0))),"Not specified")</f>
        <v>-0.03</v>
      </c>
      <c r="P84" s="117">
        <f t="array" ref="P84">iferror(if(isblank($A84),"",index('Supplemental intervention-level'!$M:$M,match(1,('Supplemental intervention-level'!$C:$C=$A84)*('Supplemental intervention-level'!$A:$A="Deworming"),0))),"Not specified")</f>
        <v>-0.03</v>
      </c>
    </row>
    <row r="85" outlineLevel="1">
      <c r="A85" s="55"/>
      <c r="B85" s="117" t="str">
        <f t="array" ref="B85">iferror(if(isblank($A85),"",index('Supplemental intervention-level'!$M:$M,match(1,('Supplemental intervention-level'!$C:$C=$A85)*('Supplemental intervention-level'!$A:$A="Deworming"),0))),"Not specified")</f>
        <v/>
      </c>
      <c r="C85" s="117" t="str">
        <f t="array" ref="C85">iferror(if(isblank($A85),"",index('Supplemental intervention-level'!$M:$M,match(1,('Supplemental intervention-level'!$C:$C=$A85)*('Supplemental intervention-level'!$A:$A="Deworming"),0))),"Not specified")</f>
        <v/>
      </c>
      <c r="D85" s="117" t="str">
        <f t="array" ref="D85">iferror(if(isblank($A85),"",index('Supplemental intervention-level'!$M:$M,match(1,('Supplemental intervention-level'!$C:$C=$A85)*('Supplemental intervention-level'!$A:$A="Deworming"),0))),"Not specified")</f>
        <v/>
      </c>
      <c r="E85" s="117" t="str">
        <f t="array" ref="E85">iferror(if(isblank($A85),"",index('Supplemental intervention-level'!$M:$M,match(1,('Supplemental intervention-level'!$C:$C=$A85)*('Supplemental intervention-level'!$A:$A="Deworming"),0))),"Not specified")</f>
        <v/>
      </c>
      <c r="F85" s="117" t="str">
        <f t="array" ref="F85">iferror(if(isblank($A85),"",index('Supplemental intervention-level'!$M:$M,match(1,('Supplemental intervention-level'!$C:$C=$A85)*('Supplemental intervention-level'!$A:$A="Deworming"),0))),"Not specified")</f>
        <v/>
      </c>
      <c r="G85" s="117" t="str">
        <f t="array" ref="G85">iferror(if(isblank($A85),"",index('Supplemental intervention-level'!$M:$M,match(1,('Supplemental intervention-level'!$C:$C=$A85)*('Supplemental intervention-level'!$A:$A="Deworming"),0))),"Not specified")</f>
        <v/>
      </c>
      <c r="H85" s="117" t="str">
        <f t="array" ref="H85">iferror(if(isblank($A85),"",index('Supplemental intervention-level'!$M:$M,match(1,('Supplemental intervention-level'!$C:$C=$A85)*('Supplemental intervention-level'!$A:$A="Deworming"),0))),"Not specified")</f>
        <v/>
      </c>
      <c r="I85" s="117" t="str">
        <f t="array" ref="I85">iferror(if(isblank($A85),"",index('Supplemental intervention-level'!$M:$M,match(1,('Supplemental intervention-level'!$C:$C=$A85)*('Supplemental intervention-level'!$A:$A="Deworming"),0))),"Not specified")</f>
        <v/>
      </c>
      <c r="J85" s="117" t="str">
        <f t="array" ref="J85">iferror(if(isblank($A85),"",index('Supplemental intervention-level'!$M:$M,match(1,('Supplemental intervention-level'!$C:$C=$A85)*('Supplemental intervention-level'!$A:$A="Deworming"),0))),"Not specified")</f>
        <v/>
      </c>
      <c r="K85" s="117" t="str">
        <f t="array" ref="K85">iferror(if(isblank($A85),"",index('Supplemental intervention-level'!$M:$M,match(1,('Supplemental intervention-level'!$C:$C=$A85)*('Supplemental intervention-level'!$A:$A="Deworming"),0))),"Not specified")</f>
        <v/>
      </c>
      <c r="L85" s="117" t="str">
        <f t="array" ref="L85">iferror(if(isblank($A85),"",index('Supplemental intervention-level'!$M:$M,match(1,('Supplemental intervention-level'!$C:$C=$A85)*('Supplemental intervention-level'!$A:$A="Deworming"),0))),"Not specified")</f>
        <v/>
      </c>
      <c r="M85" s="117" t="str">
        <f t="array" ref="M85">iferror(if(isblank($A85),"",index('Supplemental intervention-level'!$M:$M,match(1,('Supplemental intervention-level'!$C:$C=$A85)*('Supplemental intervention-level'!$A:$A="Deworming"),0))),"Not specified")</f>
        <v/>
      </c>
      <c r="N85" s="117" t="str">
        <f t="array" ref="N85">iferror(if(isblank($A85),"",index('Supplemental intervention-level'!$M:$M,match(1,('Supplemental intervention-level'!$C:$C=$A85)*('Supplemental intervention-level'!$A:$A="Deworming"),0))),"Not specified")</f>
        <v/>
      </c>
      <c r="O85" s="117" t="str">
        <f t="array" ref="O85">iferror(if(isblank($A85),"",index('Supplemental intervention-level'!$M:$M,match(1,('Supplemental intervention-level'!$C:$C=$A85)*('Supplemental intervention-level'!$A:$A="Deworming"),0))),"Not specified")</f>
        <v/>
      </c>
      <c r="P85" s="117" t="str">
        <f t="array" ref="P85">iferror(if(isblank($A85),"",index('Supplemental intervention-level'!$M:$M,match(1,('Supplemental intervention-level'!$C:$C=$A85)*('Supplemental intervention-level'!$A:$A="Deworming"),0))),"Not specified")</f>
        <v/>
      </c>
    </row>
    <row r="86" outlineLevel="1">
      <c r="A86" s="55"/>
      <c r="B86" s="117" t="str">
        <f t="array" ref="B86">iferror(if(isblank($A86),"",index('Supplemental intervention-level'!$M:$M,match(1,('Supplemental intervention-level'!$C:$C=$A86)*('Supplemental intervention-level'!$A:$A="Deworming"),0))),"Not specified")</f>
        <v/>
      </c>
      <c r="C86" s="117" t="str">
        <f t="array" ref="C86">iferror(if(isblank($A86),"",index('Supplemental intervention-level'!$M:$M,match(1,('Supplemental intervention-level'!$C:$C=$A86)*('Supplemental intervention-level'!$A:$A="Deworming"),0))),"Not specified")</f>
        <v/>
      </c>
      <c r="D86" s="117" t="str">
        <f t="array" ref="D86">iferror(if(isblank($A86),"",index('Supplemental intervention-level'!$M:$M,match(1,('Supplemental intervention-level'!$C:$C=$A86)*('Supplemental intervention-level'!$A:$A="Deworming"),0))),"Not specified")</f>
        <v/>
      </c>
      <c r="E86" s="117" t="str">
        <f t="array" ref="E86">iferror(if(isblank($A86),"",index('Supplemental intervention-level'!$M:$M,match(1,('Supplemental intervention-level'!$C:$C=$A86)*('Supplemental intervention-level'!$A:$A="Deworming"),0))),"Not specified")</f>
        <v/>
      </c>
      <c r="F86" s="117" t="str">
        <f t="array" ref="F86">iferror(if(isblank($A86),"",index('Supplemental intervention-level'!$M:$M,match(1,('Supplemental intervention-level'!$C:$C=$A86)*('Supplemental intervention-level'!$A:$A="Deworming"),0))),"Not specified")</f>
        <v/>
      </c>
      <c r="G86" s="117" t="str">
        <f t="array" ref="G86">iferror(if(isblank($A86),"",index('Supplemental intervention-level'!$M:$M,match(1,('Supplemental intervention-level'!$C:$C=$A86)*('Supplemental intervention-level'!$A:$A="Deworming"),0))),"Not specified")</f>
        <v/>
      </c>
      <c r="H86" s="117" t="str">
        <f t="array" ref="H86">iferror(if(isblank($A86),"",index('Supplemental intervention-level'!$M:$M,match(1,('Supplemental intervention-level'!$C:$C=$A86)*('Supplemental intervention-level'!$A:$A="Deworming"),0))),"Not specified")</f>
        <v/>
      </c>
      <c r="I86" s="117" t="str">
        <f t="array" ref="I86">iferror(if(isblank($A86),"",index('Supplemental intervention-level'!$M:$M,match(1,('Supplemental intervention-level'!$C:$C=$A86)*('Supplemental intervention-level'!$A:$A="Deworming"),0))),"Not specified")</f>
        <v/>
      </c>
      <c r="J86" s="117" t="str">
        <f t="array" ref="J86">iferror(if(isblank($A86),"",index('Supplemental intervention-level'!$M:$M,match(1,('Supplemental intervention-level'!$C:$C=$A86)*('Supplemental intervention-level'!$A:$A="Deworming"),0))),"Not specified")</f>
        <v/>
      </c>
      <c r="K86" s="117" t="str">
        <f t="array" ref="K86">iferror(if(isblank($A86),"",index('Supplemental intervention-level'!$M:$M,match(1,('Supplemental intervention-level'!$C:$C=$A86)*('Supplemental intervention-level'!$A:$A="Deworming"),0))),"Not specified")</f>
        <v/>
      </c>
      <c r="L86" s="117" t="str">
        <f t="array" ref="L86">iferror(if(isblank($A86),"",index('Supplemental intervention-level'!$M:$M,match(1,('Supplemental intervention-level'!$C:$C=$A86)*('Supplemental intervention-level'!$A:$A="Deworming"),0))),"Not specified")</f>
        <v/>
      </c>
      <c r="M86" s="117" t="str">
        <f t="array" ref="M86">iferror(if(isblank($A86),"",index('Supplemental intervention-level'!$M:$M,match(1,('Supplemental intervention-level'!$C:$C=$A86)*('Supplemental intervention-level'!$A:$A="Deworming"),0))),"Not specified")</f>
        <v/>
      </c>
      <c r="N86" s="117" t="str">
        <f t="array" ref="N86">iferror(if(isblank($A86),"",index('Supplemental intervention-level'!$M:$M,match(1,('Supplemental intervention-level'!$C:$C=$A86)*('Supplemental intervention-level'!$A:$A="Deworming"),0))),"Not specified")</f>
        <v/>
      </c>
      <c r="O86" s="117" t="str">
        <f t="array" ref="O86">iferror(if(isblank($A86),"",index('Supplemental intervention-level'!$M:$M,match(1,('Supplemental intervention-level'!$C:$C=$A86)*('Supplemental intervention-level'!$A:$A="Deworming"),0))),"Not specified")</f>
        <v/>
      </c>
      <c r="P86" s="117" t="str">
        <f t="array" ref="P86">iferror(if(isblank($A86),"",index('Supplemental intervention-level'!$M:$M,match(1,('Supplemental intervention-level'!$C:$C=$A86)*('Supplemental intervention-level'!$A:$A="Deworming"),0))),"Not specified")</f>
        <v/>
      </c>
    </row>
    <row r="87">
      <c r="A87" s="225" t="s">
        <v>203</v>
      </c>
      <c r="B87" s="124">
        <f t="shared" ref="B87:P87" si="20">1+sum(B73:B86)</f>
        <v>1.073</v>
      </c>
      <c r="C87" s="218">
        <f t="shared" si="20"/>
        <v>1.073</v>
      </c>
      <c r="D87" s="218">
        <f t="shared" si="20"/>
        <v>1.073</v>
      </c>
      <c r="E87" s="218">
        <f t="shared" si="20"/>
        <v>1.073</v>
      </c>
      <c r="F87" s="218">
        <f t="shared" si="20"/>
        <v>1.073</v>
      </c>
      <c r="G87" s="218">
        <f t="shared" si="20"/>
        <v>1.073</v>
      </c>
      <c r="H87" s="218">
        <f t="shared" si="20"/>
        <v>1.073</v>
      </c>
      <c r="I87" s="218">
        <f t="shared" si="20"/>
        <v>1.073</v>
      </c>
      <c r="J87" s="218">
        <f t="shared" si="20"/>
        <v>1.073</v>
      </c>
      <c r="K87" s="218">
        <f t="shared" si="20"/>
        <v>1.073</v>
      </c>
      <c r="L87" s="218">
        <f t="shared" si="20"/>
        <v>1.073</v>
      </c>
      <c r="M87" s="218">
        <f t="shared" si="20"/>
        <v>1.073</v>
      </c>
      <c r="N87" s="218">
        <f t="shared" si="20"/>
        <v>1.073</v>
      </c>
      <c r="O87" s="124">
        <f t="shared" si="20"/>
        <v>1.073</v>
      </c>
      <c r="P87" s="124">
        <f t="shared" si="20"/>
        <v>1.073</v>
      </c>
    </row>
    <row r="88">
      <c r="A88" s="43"/>
      <c r="B88" s="151"/>
      <c r="C88" s="291"/>
      <c r="D88" s="400"/>
      <c r="E88" s="291"/>
      <c r="F88" s="291"/>
      <c r="G88" s="291"/>
      <c r="H88" s="291"/>
      <c r="I88" s="291"/>
      <c r="J88" s="291"/>
      <c r="K88" s="291"/>
      <c r="L88" s="291"/>
      <c r="M88" s="291"/>
      <c r="N88" s="291"/>
      <c r="O88" s="151"/>
      <c r="P88" s="151"/>
    </row>
    <row r="89">
      <c r="A89" s="160" t="s">
        <v>212</v>
      </c>
      <c r="B89" s="161"/>
      <c r="C89" s="397"/>
      <c r="D89" s="397"/>
      <c r="E89" s="397"/>
      <c r="F89" s="397"/>
      <c r="G89" s="397"/>
      <c r="H89" s="397"/>
      <c r="I89" s="397"/>
      <c r="J89" s="397"/>
      <c r="K89" s="397"/>
      <c r="L89" s="397"/>
      <c r="M89" s="397"/>
      <c r="N89" s="397"/>
      <c r="O89" s="161"/>
      <c r="P89" s="161"/>
    </row>
    <row r="90">
      <c r="A90" s="400" t="s">
        <v>373</v>
      </c>
      <c r="B90" s="118">
        <f>sum(C90:P90)</f>
        <v>5568.357162</v>
      </c>
      <c r="C90" s="416">
        <f t="shared" ref="C90:P90" si="21">C65*C87</f>
        <v>657.6731262</v>
      </c>
      <c r="D90" s="416">
        <f t="shared" si="21"/>
        <v>954.7734447</v>
      </c>
      <c r="E90" s="416">
        <f t="shared" si="21"/>
        <v>1834.049335</v>
      </c>
      <c r="F90" s="416">
        <f t="shared" si="21"/>
        <v>711.7340818</v>
      </c>
      <c r="G90" s="416">
        <f t="shared" si="21"/>
        <v>369.6345243</v>
      </c>
      <c r="H90" s="416">
        <f t="shared" si="21"/>
        <v>36.48342004</v>
      </c>
      <c r="I90" s="416">
        <f t="shared" si="21"/>
        <v>100.6509984</v>
      </c>
      <c r="J90" s="416">
        <f t="shared" si="21"/>
        <v>321.929877</v>
      </c>
      <c r="K90" s="416">
        <f t="shared" si="21"/>
        <v>2.28673954</v>
      </c>
      <c r="L90" s="416">
        <f t="shared" si="21"/>
        <v>1.592130925</v>
      </c>
      <c r="M90" s="416">
        <f t="shared" si="21"/>
        <v>351.5928009</v>
      </c>
      <c r="N90" s="416">
        <f t="shared" si="21"/>
        <v>15.08057666</v>
      </c>
      <c r="O90" s="118">
        <f t="shared" si="21"/>
        <v>111.5260215</v>
      </c>
      <c r="P90" s="118">
        <f t="shared" si="21"/>
        <v>99.3500842</v>
      </c>
    </row>
    <row r="91">
      <c r="A91" s="202" t="s">
        <v>374</v>
      </c>
      <c r="B91" s="203">
        <f t="shared" ref="B91:P91" si="22">B90/B16</f>
        <v>0.02161253159</v>
      </c>
      <c r="C91" s="326">
        <f t="shared" si="22"/>
        <v>0.01090411626</v>
      </c>
      <c r="D91" s="326">
        <f t="shared" si="22"/>
        <v>0.05074171746</v>
      </c>
      <c r="E91" s="326">
        <f t="shared" si="22"/>
        <v>0.05413540491</v>
      </c>
      <c r="F91" s="326">
        <f t="shared" si="22"/>
        <v>0.0166344025</v>
      </c>
      <c r="G91" s="326">
        <f t="shared" si="22"/>
        <v>0.02443706223</v>
      </c>
      <c r="H91" s="326">
        <f t="shared" si="22"/>
        <v>0.001092181238</v>
      </c>
      <c r="I91" s="326">
        <f t="shared" si="22"/>
        <v>0.03119994653</v>
      </c>
      <c r="J91" s="326">
        <f t="shared" si="22"/>
        <v>0.03320072243</v>
      </c>
      <c r="K91" s="326">
        <f t="shared" si="22"/>
        <v>0.002229596145</v>
      </c>
      <c r="L91" s="326">
        <f t="shared" si="22"/>
        <v>0.000412888175</v>
      </c>
      <c r="M91" s="326">
        <f t="shared" si="22"/>
        <v>0.01433679152</v>
      </c>
      <c r="N91" s="326">
        <f t="shared" si="22"/>
        <v>0.004406984256</v>
      </c>
      <c r="O91" s="203">
        <f t="shared" si="22"/>
        <v>0.05413540491</v>
      </c>
      <c r="P91" s="203">
        <f t="shared" si="22"/>
        <v>0.01803666871</v>
      </c>
    </row>
    <row r="92">
      <c r="A92" s="398"/>
      <c r="B92" s="84"/>
      <c r="C92" s="417"/>
      <c r="D92" s="417"/>
      <c r="E92" s="417"/>
      <c r="F92" s="417"/>
      <c r="G92" s="417"/>
      <c r="H92" s="417"/>
      <c r="I92" s="417"/>
      <c r="J92" s="417"/>
      <c r="K92" s="417"/>
      <c r="L92" s="417"/>
      <c r="M92" s="417"/>
      <c r="N92" s="417"/>
      <c r="O92" s="84"/>
      <c r="P92" s="84"/>
    </row>
    <row r="93">
      <c r="A93" s="221" t="s">
        <v>214</v>
      </c>
      <c r="B93" s="206">
        <f t="array" ref="B93">B91/index(GiveDirectly!$B:$B,match("Units of value generated per philanthropic dollar spent, after accounting for all adjustments",GiveDirectly!$A:$A,0))</f>
        <v>6.442782211</v>
      </c>
      <c r="C93" s="206">
        <f t="array" ref="C93">C91/index(GiveDirectly!$B:$B,match("Units of value generated per philanthropic dollar spent, after accounting for all adjustments",GiveDirectly!$A:$A,0))</f>
        <v>3.250560722</v>
      </c>
      <c r="D93" s="206">
        <f t="array" ref="D93">D91/index(GiveDirectly!$B:$B,match("Units of value generated per philanthropic dollar spent, after accounting for all adjustments",GiveDirectly!$A:$A,0))</f>
        <v>15.12630916</v>
      </c>
      <c r="E93" s="206">
        <f t="array" ref="E93">E91/index(GiveDirectly!$B:$B,match("Units of value generated per philanthropic dollar spent, after accounting for all adjustments",GiveDirectly!$A:$A,0))</f>
        <v>16.13798098</v>
      </c>
      <c r="F93" s="206">
        <f t="array" ref="F93">F91/index(GiveDirectly!$B:$B,match("Units of value generated per philanthropic dollar spent, after accounting for all adjustments",GiveDirectly!$A:$A,0))</f>
        <v>4.958781995</v>
      </c>
      <c r="G93" s="206">
        <f t="array" ref="G93">G91/index(GiveDirectly!$B:$B,match("Units of value generated per philanthropic dollar spent, after accounting for all adjustments",GiveDirectly!$A:$A,0))</f>
        <v>7.284786105</v>
      </c>
      <c r="H93" s="206">
        <f t="array" ref="H93">H91/index(GiveDirectly!$B:$B,match("Units of value generated per philanthropic dollar spent, after accounting for all adjustments",GiveDirectly!$A:$A,0))</f>
        <v>0.3255836005</v>
      </c>
      <c r="I93" s="206">
        <f t="array" ref="I93">I91/index(GiveDirectly!$B:$B,match("Units of value generated per philanthropic dollar spent, after accounting for all adjustments",GiveDirectly!$A:$A,0))</f>
        <v>9.300828994</v>
      </c>
      <c r="J93" s="206">
        <f t="array" ref="J93">J91/index(GiveDirectly!$B:$B,match("Units of value generated per philanthropic dollar spent, after accounting for all adjustments",GiveDirectly!$A:$A,0))</f>
        <v>9.897268301</v>
      </c>
      <c r="K93" s="206">
        <f t="array" ref="K93">K91/index(GiveDirectly!$B:$B,match("Units of value generated per philanthropic dollar spent, after accounting for all adjustments",GiveDirectly!$A:$A,0))</f>
        <v>0.6646515388</v>
      </c>
      <c r="L93" s="206">
        <f t="array" ref="L93">L91/index(GiveDirectly!$B:$B,match("Units of value generated per philanthropic dollar spent, after accounting for all adjustments",GiveDirectly!$A:$A,0))</f>
        <v>0.1230836183</v>
      </c>
      <c r="M93" s="206">
        <f t="array" ref="M93">M91/index(GiveDirectly!$B:$B,match("Units of value generated per philanthropic dollar spent, after accounting for all adjustments",GiveDirectly!$A:$A,0))</f>
        <v>4.273854962</v>
      </c>
      <c r="N93" s="206">
        <f t="array" ref="N93">N91/index(GiveDirectly!$B:$B,match("Units of value generated per philanthropic dollar spent, after accounting for all adjustments",GiveDirectly!$A:$A,0))</f>
        <v>1.313739654</v>
      </c>
      <c r="O93" s="206">
        <f t="array" ref="O93">O91/index(GiveDirectly!$B:$B,match("Units of value generated per philanthropic dollar spent, after accounting for all adjustments",GiveDirectly!$A:$A,0))</f>
        <v>16.13798098</v>
      </c>
      <c r="P93" s="206">
        <f t="array" ref="P93">P91/index(GiveDirectly!$B:$B,match("Units of value generated per philanthropic dollar spent, after accounting for all adjustments",GiveDirectly!$A:$A,0))</f>
        <v>5.376803165</v>
      </c>
    </row>
    <row r="94">
      <c r="A94" s="291"/>
      <c r="B94" s="151"/>
      <c r="C94" s="291"/>
      <c r="D94" s="291"/>
      <c r="E94" s="291"/>
      <c r="F94" s="291"/>
      <c r="G94" s="291"/>
      <c r="H94" s="291"/>
      <c r="I94" s="291"/>
      <c r="J94" s="291"/>
      <c r="K94" s="291"/>
      <c r="L94" s="291"/>
      <c r="M94" s="291"/>
      <c r="N94" s="291"/>
      <c r="O94" s="151"/>
      <c r="P94" s="151"/>
    </row>
    <row r="95">
      <c r="A95" s="160" t="s">
        <v>215</v>
      </c>
      <c r="B95" s="161"/>
      <c r="C95" s="397"/>
      <c r="D95" s="397"/>
      <c r="E95" s="397"/>
      <c r="F95" s="397"/>
      <c r="G95" s="397"/>
      <c r="H95" s="397"/>
      <c r="I95" s="397"/>
      <c r="J95" s="397"/>
      <c r="K95" s="397"/>
      <c r="L95" s="397"/>
      <c r="M95" s="397"/>
      <c r="N95" s="397"/>
      <c r="O95" s="161"/>
      <c r="P95" s="161"/>
    </row>
    <row r="96" outlineLevel="1">
      <c r="A96" s="195"/>
      <c r="B96" s="151"/>
      <c r="C96" s="291"/>
      <c r="D96" s="291"/>
      <c r="E96" s="291"/>
      <c r="F96" s="291"/>
      <c r="G96" s="291"/>
      <c r="H96" s="291"/>
      <c r="I96" s="291"/>
      <c r="J96" s="291"/>
      <c r="K96" s="291"/>
      <c r="L96" s="291"/>
      <c r="M96" s="291"/>
      <c r="N96" s="291"/>
      <c r="O96" s="151"/>
      <c r="P96" s="151"/>
    </row>
    <row r="97" outlineLevel="1">
      <c r="A97" s="418" t="s">
        <v>377</v>
      </c>
      <c r="B97" s="151"/>
      <c r="C97" s="291"/>
      <c r="D97" s="291"/>
      <c r="E97" s="291"/>
      <c r="F97" s="291"/>
      <c r="G97" s="291"/>
      <c r="H97" s="291"/>
      <c r="I97" s="291"/>
      <c r="J97" s="291"/>
      <c r="K97" s="291"/>
      <c r="L97" s="291"/>
      <c r="M97" s="291"/>
      <c r="N97" s="291"/>
      <c r="O97" s="151"/>
      <c r="P97" s="151"/>
    </row>
    <row r="98" outlineLevel="1">
      <c r="A98" s="367" t="s">
        <v>378</v>
      </c>
      <c r="B98" s="419">
        <f t="shared" ref="B98:P98" si="23">B8*B$23</f>
        <v>0.3993738984</v>
      </c>
      <c r="C98" s="419">
        <f t="shared" si="23"/>
        <v>0.3993738984</v>
      </c>
      <c r="D98" s="419">
        <f t="shared" si="23"/>
        <v>0.3993738984</v>
      </c>
      <c r="E98" s="419">
        <f t="shared" si="23"/>
        <v>0.3993738984</v>
      </c>
      <c r="F98" s="419">
        <f t="shared" si="23"/>
        <v>0.3993738984</v>
      </c>
      <c r="G98" s="419">
        <f t="shared" si="23"/>
        <v>0.3993738984</v>
      </c>
      <c r="H98" s="419">
        <f t="shared" si="23"/>
        <v>0.3993738984</v>
      </c>
      <c r="I98" s="419">
        <f t="shared" si="23"/>
        <v>0.3993738984</v>
      </c>
      <c r="J98" s="419">
        <f t="shared" si="23"/>
        <v>0.3993738984</v>
      </c>
      <c r="K98" s="419">
        <f t="shared" si="23"/>
        <v>0.3993738984</v>
      </c>
      <c r="L98" s="419">
        <f t="shared" si="23"/>
        <v>0.3993738984</v>
      </c>
      <c r="M98" s="419">
        <f t="shared" si="23"/>
        <v>0.3993738984</v>
      </c>
      <c r="N98" s="419">
        <f t="shared" si="23"/>
        <v>0.3993738984</v>
      </c>
      <c r="O98" s="419">
        <f t="shared" si="23"/>
        <v>0.3993738984</v>
      </c>
      <c r="P98" s="419">
        <f t="shared" si="23"/>
        <v>0.3993738984</v>
      </c>
    </row>
    <row r="99" outlineLevel="1">
      <c r="A99" s="367" t="s">
        <v>318</v>
      </c>
      <c r="B99" s="419">
        <f t="shared" ref="B99:P99" si="24">B9*B$23</f>
        <v>0</v>
      </c>
      <c r="C99" s="419">
        <f t="shared" si="24"/>
        <v>0</v>
      </c>
      <c r="D99" s="419">
        <f t="shared" si="24"/>
        <v>0</v>
      </c>
      <c r="E99" s="419">
        <f t="shared" si="24"/>
        <v>0</v>
      </c>
      <c r="F99" s="419">
        <f t="shared" si="24"/>
        <v>0</v>
      </c>
      <c r="G99" s="419">
        <f t="shared" si="24"/>
        <v>0</v>
      </c>
      <c r="H99" s="419">
        <f t="shared" si="24"/>
        <v>0</v>
      </c>
      <c r="I99" s="419">
        <f t="shared" si="24"/>
        <v>0</v>
      </c>
      <c r="J99" s="419">
        <f t="shared" si="24"/>
        <v>0</v>
      </c>
      <c r="K99" s="419">
        <f t="shared" si="24"/>
        <v>0</v>
      </c>
      <c r="L99" s="419">
        <f t="shared" si="24"/>
        <v>0</v>
      </c>
      <c r="M99" s="419">
        <f t="shared" si="24"/>
        <v>0</v>
      </c>
      <c r="N99" s="419">
        <f t="shared" si="24"/>
        <v>0</v>
      </c>
      <c r="O99" s="419">
        <f t="shared" si="24"/>
        <v>0</v>
      </c>
      <c r="P99" s="419">
        <f t="shared" si="24"/>
        <v>0</v>
      </c>
    </row>
    <row r="100" outlineLevel="1">
      <c r="A100" s="367" t="s">
        <v>319</v>
      </c>
      <c r="B100" s="419">
        <f t="shared" ref="B100:P100" si="25">B10*B$23</f>
        <v>0.3086898679</v>
      </c>
      <c r="C100" s="419">
        <f t="shared" si="25"/>
        <v>0.3086898679</v>
      </c>
      <c r="D100" s="419">
        <f t="shared" si="25"/>
        <v>0.3086898679</v>
      </c>
      <c r="E100" s="419">
        <f t="shared" si="25"/>
        <v>0.3086898679</v>
      </c>
      <c r="F100" s="419">
        <f t="shared" si="25"/>
        <v>0.3086898679</v>
      </c>
      <c r="G100" s="419">
        <f t="shared" si="25"/>
        <v>0.3086898679</v>
      </c>
      <c r="H100" s="419">
        <f t="shared" si="25"/>
        <v>0.3086898679</v>
      </c>
      <c r="I100" s="419">
        <f t="shared" si="25"/>
        <v>0.3086898679</v>
      </c>
      <c r="J100" s="419">
        <f t="shared" si="25"/>
        <v>0.3086898679</v>
      </c>
      <c r="K100" s="419">
        <f t="shared" si="25"/>
        <v>0.3086898679</v>
      </c>
      <c r="L100" s="419">
        <f t="shared" si="25"/>
        <v>0.3086898679</v>
      </c>
      <c r="M100" s="419">
        <f t="shared" si="25"/>
        <v>0.3086898679</v>
      </c>
      <c r="N100" s="419">
        <f t="shared" si="25"/>
        <v>0.3086898679</v>
      </c>
      <c r="O100" s="419">
        <f t="shared" si="25"/>
        <v>0.3086898679</v>
      </c>
      <c r="P100" s="419">
        <f t="shared" si="25"/>
        <v>0.3086898679</v>
      </c>
    </row>
    <row r="101" outlineLevel="1">
      <c r="A101" s="367" t="s">
        <v>331</v>
      </c>
      <c r="B101" s="420">
        <f t="shared" ref="B101:P101" si="26">B11*B$23</f>
        <v>0.32090246</v>
      </c>
      <c r="C101" s="419">
        <f t="shared" si="26"/>
        <v>0.32090246</v>
      </c>
      <c r="D101" s="419">
        <f t="shared" si="26"/>
        <v>0.32090246</v>
      </c>
      <c r="E101" s="419">
        <f t="shared" si="26"/>
        <v>0.32090246</v>
      </c>
      <c r="F101" s="419">
        <f t="shared" si="26"/>
        <v>0.32090246</v>
      </c>
      <c r="G101" s="419">
        <f t="shared" si="26"/>
        <v>0.32090246</v>
      </c>
      <c r="H101" s="419">
        <f t="shared" si="26"/>
        <v>0.32090246</v>
      </c>
      <c r="I101" s="419">
        <f t="shared" si="26"/>
        <v>0.32090246</v>
      </c>
      <c r="J101" s="419">
        <f t="shared" si="26"/>
        <v>0.32090246</v>
      </c>
      <c r="K101" s="419">
        <f t="shared" si="26"/>
        <v>0.32090246</v>
      </c>
      <c r="L101" s="419">
        <f t="shared" si="26"/>
        <v>0.32090246</v>
      </c>
      <c r="M101" s="419">
        <f t="shared" si="26"/>
        <v>0.32090246</v>
      </c>
      <c r="N101" s="419">
        <f t="shared" si="26"/>
        <v>0.32090246</v>
      </c>
      <c r="O101" s="420">
        <f t="shared" si="26"/>
        <v>0.32090246</v>
      </c>
      <c r="P101" s="420">
        <f t="shared" si="26"/>
        <v>0.32090246</v>
      </c>
    </row>
    <row r="102" outlineLevel="1">
      <c r="A102" s="421" t="s">
        <v>321</v>
      </c>
      <c r="B102" s="422">
        <f t="shared" ref="B102:P102" si="27">sum(B98:B101)</f>
        <v>1.028966226</v>
      </c>
      <c r="C102" s="423">
        <f t="shared" si="27"/>
        <v>1.028966226</v>
      </c>
      <c r="D102" s="423">
        <f t="shared" si="27"/>
        <v>1.028966226</v>
      </c>
      <c r="E102" s="423">
        <f t="shared" si="27"/>
        <v>1.028966226</v>
      </c>
      <c r="F102" s="423">
        <f t="shared" si="27"/>
        <v>1.028966226</v>
      </c>
      <c r="G102" s="423">
        <f t="shared" si="27"/>
        <v>1.028966226</v>
      </c>
      <c r="H102" s="423">
        <f t="shared" si="27"/>
        <v>1.028966226</v>
      </c>
      <c r="I102" s="423">
        <f t="shared" si="27"/>
        <v>1.028966226</v>
      </c>
      <c r="J102" s="423">
        <f t="shared" si="27"/>
        <v>1.028966226</v>
      </c>
      <c r="K102" s="423">
        <f t="shared" si="27"/>
        <v>1.028966226</v>
      </c>
      <c r="L102" s="423">
        <f t="shared" si="27"/>
        <v>1.028966226</v>
      </c>
      <c r="M102" s="423">
        <f t="shared" si="27"/>
        <v>1.028966226</v>
      </c>
      <c r="N102" s="423">
        <f t="shared" si="27"/>
        <v>1.028966226</v>
      </c>
      <c r="O102" s="424">
        <f t="shared" si="27"/>
        <v>1.028966226</v>
      </c>
      <c r="P102" s="424">
        <f t="shared" si="27"/>
        <v>1.028966226</v>
      </c>
    </row>
    <row r="103" outlineLevel="1">
      <c r="A103" s="425" t="s">
        <v>322</v>
      </c>
      <c r="B103" s="361">
        <f t="shared" ref="B103:P103" si="28">(B102-B23)/B102</f>
        <v>0</v>
      </c>
      <c r="C103" s="426">
        <f t="shared" si="28"/>
        <v>0</v>
      </c>
      <c r="D103" s="426">
        <f t="shared" si="28"/>
        <v>0</v>
      </c>
      <c r="E103" s="426">
        <f t="shared" si="28"/>
        <v>0</v>
      </c>
      <c r="F103" s="426">
        <f t="shared" si="28"/>
        <v>0</v>
      </c>
      <c r="G103" s="426">
        <f t="shared" si="28"/>
        <v>0</v>
      </c>
      <c r="H103" s="426">
        <f t="shared" si="28"/>
        <v>0</v>
      </c>
      <c r="I103" s="426">
        <f t="shared" si="28"/>
        <v>0</v>
      </c>
      <c r="J103" s="426">
        <f t="shared" si="28"/>
        <v>0</v>
      </c>
      <c r="K103" s="426">
        <f t="shared" si="28"/>
        <v>0</v>
      </c>
      <c r="L103" s="426">
        <f t="shared" si="28"/>
        <v>0</v>
      </c>
      <c r="M103" s="426">
        <f t="shared" si="28"/>
        <v>0</v>
      </c>
      <c r="N103" s="426">
        <f t="shared" si="28"/>
        <v>0</v>
      </c>
      <c r="O103" s="361">
        <f t="shared" si="28"/>
        <v>0</v>
      </c>
      <c r="P103" s="361">
        <f t="shared" si="28"/>
        <v>0</v>
      </c>
    </row>
    <row r="104" outlineLevel="1">
      <c r="A104" s="195"/>
      <c r="B104" s="151"/>
      <c r="C104" s="291"/>
      <c r="D104" s="291"/>
      <c r="E104" s="291"/>
      <c r="F104" s="291"/>
      <c r="G104" s="291"/>
      <c r="H104" s="291"/>
      <c r="I104" s="291"/>
      <c r="J104" s="291"/>
      <c r="K104" s="291"/>
      <c r="L104" s="291"/>
      <c r="M104" s="291"/>
      <c r="N104" s="291"/>
      <c r="O104" s="151"/>
      <c r="P104" s="151"/>
    </row>
    <row r="105" outlineLevel="1">
      <c r="A105" s="186" t="s">
        <v>323</v>
      </c>
      <c r="B105" s="151"/>
      <c r="C105" s="291"/>
      <c r="D105" s="291"/>
      <c r="E105" s="291"/>
      <c r="F105" s="291"/>
      <c r="G105" s="291"/>
      <c r="H105" s="291"/>
      <c r="I105" s="291"/>
      <c r="J105" s="291"/>
      <c r="K105" s="291"/>
      <c r="L105" s="291"/>
      <c r="M105" s="291"/>
      <c r="N105" s="291"/>
      <c r="O105" s="151"/>
      <c r="P105" s="151"/>
    </row>
    <row r="106" outlineLevel="1">
      <c r="A106" s="183" t="s">
        <v>378</v>
      </c>
      <c r="B106" s="427">
        <f t="shared" ref="B106:P106" si="29">B15</f>
        <v>100000</v>
      </c>
      <c r="C106" s="428">
        <f t="shared" si="29"/>
        <v>23409.8257</v>
      </c>
      <c r="D106" s="428">
        <f t="shared" si="29"/>
        <v>7303.208945</v>
      </c>
      <c r="E106" s="428">
        <f t="shared" si="29"/>
        <v>13149.46798</v>
      </c>
      <c r="F106" s="428">
        <f t="shared" si="29"/>
        <v>16606.9208</v>
      </c>
      <c r="G106" s="428">
        <f t="shared" si="29"/>
        <v>5870.864955</v>
      </c>
      <c r="H106" s="428">
        <f t="shared" si="29"/>
        <v>12965.20503</v>
      </c>
      <c r="I106" s="428">
        <f t="shared" si="29"/>
        <v>1252.110897</v>
      </c>
      <c r="J106" s="428">
        <f t="shared" si="29"/>
        <v>3763.503353</v>
      </c>
      <c r="K106" s="428">
        <f t="shared" si="29"/>
        <v>398.078804</v>
      </c>
      <c r="L106" s="428">
        <f t="shared" si="29"/>
        <v>1496.665991</v>
      </c>
      <c r="M106" s="428">
        <f t="shared" si="29"/>
        <v>9518.457198</v>
      </c>
      <c r="N106" s="428">
        <f t="shared" si="29"/>
        <v>1328.1741</v>
      </c>
      <c r="O106" s="427">
        <f t="shared" si="29"/>
        <v>799.6010904</v>
      </c>
      <c r="P106" s="427">
        <f t="shared" si="29"/>
        <v>2137.915168</v>
      </c>
    </row>
    <row r="107" outlineLevel="1">
      <c r="A107" s="367" t="s">
        <v>318</v>
      </c>
      <c r="B107" s="101">
        <f t="shared" ref="B107:B109" si="31">sum(C107:P107)</f>
        <v>0</v>
      </c>
      <c r="C107" s="429">
        <f t="shared" ref="C107:P107" si="30">C9*C$16</f>
        <v>0</v>
      </c>
      <c r="D107" s="429">
        <f t="shared" si="30"/>
        <v>0</v>
      </c>
      <c r="E107" s="429">
        <f t="shared" si="30"/>
        <v>0</v>
      </c>
      <c r="F107" s="429">
        <f t="shared" si="30"/>
        <v>0</v>
      </c>
      <c r="G107" s="429">
        <f t="shared" si="30"/>
        <v>0</v>
      </c>
      <c r="H107" s="429">
        <f t="shared" si="30"/>
        <v>0</v>
      </c>
      <c r="I107" s="429">
        <f t="shared" si="30"/>
        <v>0</v>
      </c>
      <c r="J107" s="429">
        <f t="shared" si="30"/>
        <v>0</v>
      </c>
      <c r="K107" s="429">
        <f t="shared" si="30"/>
        <v>0</v>
      </c>
      <c r="L107" s="429">
        <f t="shared" si="30"/>
        <v>0</v>
      </c>
      <c r="M107" s="429">
        <f t="shared" si="30"/>
        <v>0</v>
      </c>
      <c r="N107" s="429">
        <f t="shared" si="30"/>
        <v>0</v>
      </c>
      <c r="O107" s="101">
        <f t="shared" si="30"/>
        <v>0</v>
      </c>
      <c r="P107" s="101">
        <f t="shared" si="30"/>
        <v>0</v>
      </c>
    </row>
    <row r="108" outlineLevel="1">
      <c r="A108" s="367" t="s">
        <v>319</v>
      </c>
      <c r="B108" s="101">
        <f t="shared" si="31"/>
        <v>77293.45085</v>
      </c>
      <c r="C108" s="429">
        <f t="shared" ref="C108:P108" si="32">C10*C$16</f>
        <v>18094.26212</v>
      </c>
      <c r="D108" s="429">
        <f t="shared" si="32"/>
        <v>5644.902217</v>
      </c>
      <c r="E108" s="429">
        <f t="shared" si="32"/>
        <v>10163.67757</v>
      </c>
      <c r="F108" s="429">
        <f t="shared" si="32"/>
        <v>12836.06216</v>
      </c>
      <c r="G108" s="429">
        <f t="shared" si="32"/>
        <v>4537.794118</v>
      </c>
      <c r="H108" s="429">
        <f t="shared" si="32"/>
        <v>10021.25438</v>
      </c>
      <c r="I108" s="429">
        <f t="shared" si="32"/>
        <v>967.7997206</v>
      </c>
      <c r="J108" s="429">
        <f t="shared" si="32"/>
        <v>2908.941615</v>
      </c>
      <c r="K108" s="429">
        <f t="shared" si="32"/>
        <v>307.6888447</v>
      </c>
      <c r="L108" s="429">
        <f t="shared" si="32"/>
        <v>1156.824793</v>
      </c>
      <c r="M108" s="429">
        <f t="shared" si="32"/>
        <v>7357.144036</v>
      </c>
      <c r="N108" s="429">
        <f t="shared" si="32"/>
        <v>1026.591596</v>
      </c>
      <c r="O108" s="101">
        <f t="shared" si="32"/>
        <v>618.0392758</v>
      </c>
      <c r="P108" s="101">
        <f t="shared" si="32"/>
        <v>1652.46841</v>
      </c>
    </row>
    <row r="109" outlineLevel="1">
      <c r="A109" s="430" t="s">
        <v>331</v>
      </c>
      <c r="B109" s="431">
        <f t="shared" si="31"/>
        <v>80351.38533</v>
      </c>
      <c r="C109" s="429">
        <f t="shared" ref="C109:P109" si="33">C11*C$16</f>
        <v>18810.11925</v>
      </c>
      <c r="D109" s="429">
        <f t="shared" si="33"/>
        <v>5868.229561</v>
      </c>
      <c r="E109" s="429">
        <f t="shared" si="33"/>
        <v>10565.77968</v>
      </c>
      <c r="F109" s="429">
        <f t="shared" si="33"/>
        <v>13343.89092</v>
      </c>
      <c r="G109" s="429">
        <f t="shared" si="33"/>
        <v>4717.321322</v>
      </c>
      <c r="H109" s="429">
        <f t="shared" si="33"/>
        <v>10417.72185</v>
      </c>
      <c r="I109" s="429">
        <f t="shared" si="33"/>
        <v>1006.088451</v>
      </c>
      <c r="J109" s="429">
        <f t="shared" si="33"/>
        <v>3024.027081</v>
      </c>
      <c r="K109" s="429">
        <f t="shared" si="33"/>
        <v>319.8618337</v>
      </c>
      <c r="L109" s="429">
        <f t="shared" si="33"/>
        <v>1202.591858</v>
      </c>
      <c r="M109" s="429">
        <f t="shared" si="33"/>
        <v>7648.21222</v>
      </c>
      <c r="N109" s="429">
        <f t="shared" si="33"/>
        <v>1067.206289</v>
      </c>
      <c r="O109" s="431">
        <f t="shared" si="33"/>
        <v>642.4905532</v>
      </c>
      <c r="P109" s="431">
        <f t="shared" si="33"/>
        <v>1717.844455</v>
      </c>
    </row>
    <row r="110" outlineLevel="1">
      <c r="A110" s="432" t="s">
        <v>324</v>
      </c>
      <c r="B110" s="101">
        <f t="shared" ref="B110:P110" si="34">sum(B106:B109)</f>
        <v>257644.8362</v>
      </c>
      <c r="C110" s="433">
        <f t="shared" si="34"/>
        <v>60314.20707</v>
      </c>
      <c r="D110" s="433">
        <f t="shared" si="34"/>
        <v>18816.34072</v>
      </c>
      <c r="E110" s="433">
        <f t="shared" si="34"/>
        <v>33878.92523</v>
      </c>
      <c r="F110" s="433">
        <f t="shared" si="34"/>
        <v>42786.87388</v>
      </c>
      <c r="G110" s="433">
        <f t="shared" si="34"/>
        <v>15125.98039</v>
      </c>
      <c r="H110" s="433">
        <f t="shared" si="34"/>
        <v>33404.18126</v>
      </c>
      <c r="I110" s="433">
        <f t="shared" si="34"/>
        <v>3225.999069</v>
      </c>
      <c r="J110" s="433">
        <f t="shared" si="34"/>
        <v>9696.472049</v>
      </c>
      <c r="K110" s="433">
        <f t="shared" si="34"/>
        <v>1025.629482</v>
      </c>
      <c r="L110" s="433">
        <f t="shared" si="34"/>
        <v>3856.082642</v>
      </c>
      <c r="M110" s="433">
        <f t="shared" si="34"/>
        <v>24523.81345</v>
      </c>
      <c r="N110" s="433">
        <f t="shared" si="34"/>
        <v>3421.971985</v>
      </c>
      <c r="O110" s="101">
        <f t="shared" si="34"/>
        <v>2060.130919</v>
      </c>
      <c r="P110" s="101">
        <f t="shared" si="34"/>
        <v>5508.228034</v>
      </c>
    </row>
    <row r="111" outlineLevel="1">
      <c r="A111" s="195"/>
      <c r="B111" s="151"/>
      <c r="C111" s="291"/>
      <c r="D111" s="291"/>
      <c r="E111" s="291"/>
      <c r="F111" s="291"/>
      <c r="G111" s="291"/>
      <c r="H111" s="291"/>
      <c r="I111" s="291"/>
      <c r="J111" s="291"/>
      <c r="K111" s="291"/>
      <c r="L111" s="291"/>
      <c r="M111" s="291"/>
      <c r="N111" s="291"/>
      <c r="O111" s="151"/>
      <c r="P111" s="151"/>
    </row>
    <row r="112" outlineLevel="1">
      <c r="A112" s="186" t="s">
        <v>325</v>
      </c>
      <c r="B112" s="151"/>
      <c r="C112" s="291"/>
      <c r="D112" s="291"/>
      <c r="E112" s="291"/>
      <c r="F112" s="291"/>
      <c r="G112" s="291"/>
      <c r="H112" s="291"/>
      <c r="I112" s="291"/>
      <c r="J112" s="291"/>
      <c r="K112" s="291"/>
      <c r="L112" s="291"/>
      <c r="M112" s="291"/>
      <c r="N112" s="291"/>
      <c r="O112" s="151"/>
      <c r="P112" s="151"/>
    </row>
    <row r="113" outlineLevel="1">
      <c r="A113" s="183" t="s">
        <v>326</v>
      </c>
      <c r="B113" s="101">
        <f t="shared" ref="B113:P113" si="35">B106+B107</f>
        <v>100000</v>
      </c>
      <c r="C113" s="429">
        <f t="shared" si="35"/>
        <v>23409.8257</v>
      </c>
      <c r="D113" s="429">
        <f t="shared" si="35"/>
        <v>7303.208945</v>
      </c>
      <c r="E113" s="429">
        <f t="shared" si="35"/>
        <v>13149.46798</v>
      </c>
      <c r="F113" s="429">
        <f t="shared" si="35"/>
        <v>16606.9208</v>
      </c>
      <c r="G113" s="429">
        <f t="shared" si="35"/>
        <v>5870.864955</v>
      </c>
      <c r="H113" s="429">
        <f t="shared" si="35"/>
        <v>12965.20503</v>
      </c>
      <c r="I113" s="429">
        <f t="shared" si="35"/>
        <v>1252.110897</v>
      </c>
      <c r="J113" s="429">
        <f t="shared" si="35"/>
        <v>3763.503353</v>
      </c>
      <c r="K113" s="429">
        <f t="shared" si="35"/>
        <v>398.078804</v>
      </c>
      <c r="L113" s="429">
        <f t="shared" si="35"/>
        <v>1496.665991</v>
      </c>
      <c r="M113" s="429">
        <f t="shared" si="35"/>
        <v>9518.457198</v>
      </c>
      <c r="N113" s="429">
        <f t="shared" si="35"/>
        <v>1328.1741</v>
      </c>
      <c r="O113" s="101">
        <f t="shared" si="35"/>
        <v>799.6010904</v>
      </c>
      <c r="P113" s="101">
        <f t="shared" si="35"/>
        <v>2137.915168</v>
      </c>
    </row>
    <row r="114" outlineLevel="1">
      <c r="A114" s="183" t="s">
        <v>327</v>
      </c>
      <c r="B114" s="101">
        <f t="shared" ref="B114:P114" si="36">B108+B109</f>
        <v>157644.8362</v>
      </c>
      <c r="C114" s="429">
        <f t="shared" si="36"/>
        <v>36904.38137</v>
      </c>
      <c r="D114" s="429">
        <f t="shared" si="36"/>
        <v>11513.13178</v>
      </c>
      <c r="E114" s="429">
        <f t="shared" si="36"/>
        <v>20729.45725</v>
      </c>
      <c r="F114" s="429">
        <f t="shared" si="36"/>
        <v>26179.95308</v>
      </c>
      <c r="G114" s="429">
        <f t="shared" si="36"/>
        <v>9255.11544</v>
      </c>
      <c r="H114" s="429">
        <f t="shared" si="36"/>
        <v>20438.97623</v>
      </c>
      <c r="I114" s="429">
        <f t="shared" si="36"/>
        <v>1973.888172</v>
      </c>
      <c r="J114" s="429">
        <f t="shared" si="36"/>
        <v>5932.968696</v>
      </c>
      <c r="K114" s="429">
        <f t="shared" si="36"/>
        <v>627.5506784</v>
      </c>
      <c r="L114" s="429">
        <f t="shared" si="36"/>
        <v>2359.41665</v>
      </c>
      <c r="M114" s="429">
        <f t="shared" si="36"/>
        <v>15005.35626</v>
      </c>
      <c r="N114" s="429">
        <f t="shared" si="36"/>
        <v>2093.797885</v>
      </c>
      <c r="O114" s="101">
        <f t="shared" si="36"/>
        <v>1260.529829</v>
      </c>
      <c r="P114" s="101">
        <f t="shared" si="36"/>
        <v>3370.312865</v>
      </c>
    </row>
    <row r="115" outlineLevel="1">
      <c r="A115" s="195"/>
      <c r="B115" s="151"/>
      <c r="C115" s="291"/>
      <c r="D115" s="291"/>
      <c r="E115" s="291"/>
      <c r="F115" s="291"/>
      <c r="G115" s="291"/>
      <c r="H115" s="291"/>
      <c r="I115" s="291"/>
      <c r="J115" s="291"/>
      <c r="K115" s="291"/>
      <c r="L115" s="291"/>
      <c r="M115" s="291"/>
      <c r="N115" s="291"/>
      <c r="O115" s="151"/>
      <c r="P115" s="151"/>
    </row>
    <row r="116" outlineLevel="1">
      <c r="A116" s="365" t="s">
        <v>328</v>
      </c>
      <c r="B116" s="142"/>
      <c r="C116" s="142"/>
      <c r="D116" s="142"/>
      <c r="E116" s="142"/>
      <c r="F116" s="142"/>
      <c r="G116" s="142"/>
      <c r="H116" s="142"/>
      <c r="I116" s="142"/>
      <c r="J116" s="142"/>
      <c r="K116" s="142"/>
      <c r="L116" s="142"/>
      <c r="M116" s="142"/>
      <c r="N116" s="142"/>
      <c r="O116" s="142"/>
      <c r="P116" s="142"/>
    </row>
    <row r="117" outlineLevel="1">
      <c r="A117" s="356" t="s">
        <v>329</v>
      </c>
      <c r="B117" s="366">
        <f>'Value of counterfactual spendin'!$B$41</f>
        <v>0.003578712176</v>
      </c>
      <c r="C117" s="366">
        <f>'Value of counterfactual spendin'!$B$41</f>
        <v>0.003578712176</v>
      </c>
      <c r="D117" s="366">
        <f>'Value of counterfactual spendin'!$B$41</f>
        <v>0.003578712176</v>
      </c>
      <c r="E117" s="366">
        <f>'Value of counterfactual spendin'!$B$41</f>
        <v>0.003578712176</v>
      </c>
      <c r="F117" s="366">
        <f>'Value of counterfactual spendin'!$B$41</f>
        <v>0.003578712176</v>
      </c>
      <c r="G117" s="366">
        <f>'Value of counterfactual spendin'!$B$41</f>
        <v>0.003578712176</v>
      </c>
      <c r="H117" s="366">
        <f>'Value of counterfactual spendin'!$B$41</f>
        <v>0.003578712176</v>
      </c>
      <c r="I117" s="366">
        <f>'Value of counterfactual spendin'!$B$41</f>
        <v>0.003578712176</v>
      </c>
      <c r="J117" s="366">
        <f>'Value of counterfactual spendin'!$B$41</f>
        <v>0.003578712176</v>
      </c>
      <c r="K117" s="366">
        <f>'Value of counterfactual spendin'!$B$41</f>
        <v>0.003578712176</v>
      </c>
      <c r="L117" s="366">
        <f>'Value of counterfactual spendin'!$B$41</f>
        <v>0.003578712176</v>
      </c>
      <c r="M117" s="366">
        <f>'Value of counterfactual spendin'!$B$41</f>
        <v>0.003578712176</v>
      </c>
      <c r="N117" s="366">
        <f>'Value of counterfactual spendin'!$B$41</f>
        <v>0.003578712176</v>
      </c>
      <c r="O117" s="366">
        <f>'Value of counterfactual spendin'!$B$41</f>
        <v>0.003578712176</v>
      </c>
      <c r="P117" s="366">
        <f>'Value of counterfactual spendin'!$B$41</f>
        <v>0.003578712176</v>
      </c>
    </row>
    <row r="118" outlineLevel="1">
      <c r="A118" s="356" t="s">
        <v>330</v>
      </c>
      <c r="B118" s="366">
        <f>'Value of counterfactual spendin'!$B$41</f>
        <v>0.003578712176</v>
      </c>
      <c r="C118" s="366">
        <f>'Value of counterfactual spendin'!$B$41</f>
        <v>0.003578712176</v>
      </c>
      <c r="D118" s="366">
        <f>'Value of counterfactual spendin'!$B$41</f>
        <v>0.003578712176</v>
      </c>
      <c r="E118" s="366">
        <f>'Value of counterfactual spendin'!$B$41</f>
        <v>0.003578712176</v>
      </c>
      <c r="F118" s="366">
        <f>'Value of counterfactual spendin'!$B$41</f>
        <v>0.003578712176</v>
      </c>
      <c r="G118" s="366">
        <f>'Value of counterfactual spendin'!$B$41</f>
        <v>0.003578712176</v>
      </c>
      <c r="H118" s="366">
        <f>'Value of counterfactual spendin'!$B$41</f>
        <v>0.003578712176</v>
      </c>
      <c r="I118" s="366">
        <f>'Value of counterfactual spendin'!$B$41</f>
        <v>0.003578712176</v>
      </c>
      <c r="J118" s="366">
        <f>'Value of counterfactual spendin'!$B$41</f>
        <v>0.003578712176</v>
      </c>
      <c r="K118" s="366">
        <f>'Value of counterfactual spendin'!$B$41</f>
        <v>0.003578712176</v>
      </c>
      <c r="L118" s="366">
        <f>'Value of counterfactual spendin'!$B$41</f>
        <v>0.003578712176</v>
      </c>
      <c r="M118" s="366">
        <f>'Value of counterfactual spendin'!$B$41</f>
        <v>0.003578712176</v>
      </c>
      <c r="N118" s="366">
        <f>'Value of counterfactual spendin'!$B$41</f>
        <v>0.003578712176</v>
      </c>
      <c r="O118" s="366">
        <f>'Value of counterfactual spendin'!$B$41</f>
        <v>0.003578712176</v>
      </c>
      <c r="P118" s="366">
        <f>'Value of counterfactual spendin'!$B$41</f>
        <v>0.003578712176</v>
      </c>
    </row>
    <row r="119" outlineLevel="1">
      <c r="A119" s="142" t="s">
        <v>331</v>
      </c>
      <c r="B119" s="322">
        <f>'Value of counterfactual spendin'!$B$43</f>
        <v>0.003931830274</v>
      </c>
      <c r="C119" s="322">
        <f>'Value of counterfactual spendin'!$B$43</f>
        <v>0.003931830274</v>
      </c>
      <c r="D119" s="322">
        <f>'Value of counterfactual spendin'!$B$43</f>
        <v>0.003931830274</v>
      </c>
      <c r="E119" s="322">
        <f>'Value of counterfactual spendin'!$B$43</f>
        <v>0.003931830274</v>
      </c>
      <c r="F119" s="322">
        <f>'Value of counterfactual spendin'!$B$43</f>
        <v>0.003931830274</v>
      </c>
      <c r="G119" s="322">
        <f>'Value of counterfactual spendin'!$B$43</f>
        <v>0.003931830274</v>
      </c>
      <c r="H119" s="322">
        <f>'Value of counterfactual spendin'!$B$43</f>
        <v>0.003931830274</v>
      </c>
      <c r="I119" s="322">
        <f>'Value of counterfactual spendin'!$B$43</f>
        <v>0.003931830274</v>
      </c>
      <c r="J119" s="322">
        <f>'Value of counterfactual spendin'!$B$43</f>
        <v>0.003931830274</v>
      </c>
      <c r="K119" s="322">
        <f>'Value of counterfactual spendin'!$B$43</f>
        <v>0.003931830274</v>
      </c>
      <c r="L119" s="322">
        <f>'Value of counterfactual spendin'!$B$43</f>
        <v>0.003931830274</v>
      </c>
      <c r="M119" s="322">
        <f>'Value of counterfactual spendin'!$B$43</f>
        <v>0.003931830274</v>
      </c>
      <c r="N119" s="322">
        <f>'Value of counterfactual spendin'!$B$43</f>
        <v>0.003931830274</v>
      </c>
      <c r="O119" s="322">
        <f>'Value of counterfactual spendin'!$B$43</f>
        <v>0.003931830274</v>
      </c>
      <c r="P119" s="322">
        <f>'Value of counterfactual spendin'!$B$43</f>
        <v>0.003931830274</v>
      </c>
    </row>
    <row r="120" outlineLevel="1">
      <c r="A120" s="367"/>
      <c r="B120" s="242"/>
      <c r="C120" s="242"/>
      <c r="D120" s="242"/>
      <c r="E120" s="242"/>
      <c r="F120" s="242"/>
      <c r="G120" s="242"/>
      <c r="H120" s="242"/>
      <c r="I120" s="242"/>
      <c r="J120" s="242"/>
      <c r="K120" s="242"/>
      <c r="L120" s="242"/>
      <c r="M120" s="242"/>
      <c r="N120" s="242"/>
      <c r="O120" s="242"/>
      <c r="P120" s="242"/>
    </row>
    <row r="121" outlineLevel="1">
      <c r="A121" s="365" t="s">
        <v>332</v>
      </c>
      <c r="B121" s="242"/>
      <c r="C121" s="242"/>
      <c r="D121" s="242"/>
      <c r="E121" s="242"/>
      <c r="F121" s="242"/>
      <c r="G121" s="242"/>
      <c r="H121" s="242"/>
      <c r="I121" s="242"/>
      <c r="J121" s="242"/>
      <c r="K121" s="242"/>
      <c r="L121" s="242"/>
      <c r="M121" s="242"/>
      <c r="N121" s="242"/>
      <c r="O121" s="242"/>
      <c r="P121" s="242"/>
    </row>
    <row r="122" outlineLevel="1">
      <c r="A122" s="367" t="s">
        <v>217</v>
      </c>
      <c r="B122" s="127">
        <v>0.2</v>
      </c>
      <c r="C122" s="127">
        <v>0.2</v>
      </c>
      <c r="D122" s="127">
        <v>0.2</v>
      </c>
      <c r="E122" s="127">
        <v>0.2</v>
      </c>
      <c r="F122" s="127">
        <v>0.2</v>
      </c>
      <c r="G122" s="127">
        <v>0.2</v>
      </c>
      <c r="H122" s="127">
        <v>0.2</v>
      </c>
      <c r="I122" s="127">
        <v>0.2</v>
      </c>
      <c r="J122" s="127">
        <v>0.2</v>
      </c>
      <c r="K122" s="127">
        <v>0.2</v>
      </c>
      <c r="L122" s="127">
        <v>0.2</v>
      </c>
      <c r="M122" s="127">
        <v>0.2</v>
      </c>
      <c r="N122" s="127">
        <v>0.2</v>
      </c>
      <c r="O122" s="127">
        <v>0.2</v>
      </c>
      <c r="P122" s="127">
        <v>0.2</v>
      </c>
    </row>
    <row r="123" outlineLevel="1">
      <c r="A123" s="367" t="s">
        <v>333</v>
      </c>
      <c r="B123" s="127">
        <v>0.0</v>
      </c>
      <c r="C123" s="127">
        <v>0.0</v>
      </c>
      <c r="D123" s="127">
        <v>0.0</v>
      </c>
      <c r="E123" s="127">
        <v>0.0</v>
      </c>
      <c r="F123" s="127">
        <v>0.0</v>
      </c>
      <c r="G123" s="127">
        <v>0.0</v>
      </c>
      <c r="H123" s="127">
        <v>0.0</v>
      </c>
      <c r="I123" s="127">
        <v>0.0</v>
      </c>
      <c r="J123" s="127">
        <v>0.0</v>
      </c>
      <c r="K123" s="127">
        <v>0.0</v>
      </c>
      <c r="L123" s="127">
        <v>0.0</v>
      </c>
      <c r="M123" s="127">
        <v>0.0</v>
      </c>
      <c r="N123" s="127">
        <v>0.0</v>
      </c>
      <c r="O123" s="127">
        <v>0.0</v>
      </c>
      <c r="P123" s="127">
        <v>0.0</v>
      </c>
    </row>
    <row r="124" outlineLevel="1">
      <c r="A124" s="367" t="s">
        <v>220</v>
      </c>
      <c r="B124" s="127">
        <v>0.8</v>
      </c>
      <c r="C124" s="127">
        <v>0.8</v>
      </c>
      <c r="D124" s="127">
        <v>0.8</v>
      </c>
      <c r="E124" s="127">
        <v>0.8</v>
      </c>
      <c r="F124" s="127">
        <v>0.8</v>
      </c>
      <c r="G124" s="127">
        <v>0.8</v>
      </c>
      <c r="H124" s="127">
        <v>0.8</v>
      </c>
      <c r="I124" s="127">
        <v>0.8</v>
      </c>
      <c r="J124" s="127">
        <v>0.8</v>
      </c>
      <c r="K124" s="127">
        <v>0.8</v>
      </c>
      <c r="L124" s="127">
        <v>0.8</v>
      </c>
      <c r="M124" s="127">
        <v>0.8</v>
      </c>
      <c r="N124" s="127">
        <v>0.8</v>
      </c>
      <c r="O124" s="127">
        <v>0.8</v>
      </c>
      <c r="P124" s="127">
        <v>0.8</v>
      </c>
    </row>
    <row r="125" outlineLevel="1">
      <c r="A125" s="142"/>
      <c r="B125" s="242"/>
      <c r="C125" s="242"/>
      <c r="D125" s="242"/>
      <c r="E125" s="242"/>
      <c r="F125" s="242"/>
      <c r="G125" s="242"/>
      <c r="H125" s="242"/>
      <c r="I125" s="242"/>
      <c r="J125" s="242"/>
      <c r="K125" s="242"/>
      <c r="L125" s="242"/>
      <c r="M125" s="242"/>
      <c r="N125" s="242"/>
      <c r="O125" s="242"/>
      <c r="P125" s="242"/>
    </row>
    <row r="126" outlineLevel="1">
      <c r="A126" s="365" t="s">
        <v>334</v>
      </c>
      <c r="B126" s="242"/>
      <c r="C126" s="242"/>
      <c r="D126" s="242"/>
      <c r="E126" s="242"/>
      <c r="F126" s="242"/>
      <c r="G126" s="242"/>
      <c r="H126" s="242"/>
      <c r="I126" s="242"/>
      <c r="J126" s="242"/>
      <c r="K126" s="242"/>
      <c r="L126" s="242"/>
      <c r="M126" s="242"/>
      <c r="N126" s="242"/>
      <c r="O126" s="242"/>
      <c r="P126" s="242"/>
    </row>
    <row r="127" outlineLevel="1">
      <c r="A127" s="367" t="s">
        <v>217</v>
      </c>
      <c r="B127" s="124">
        <f t="shared" ref="B127:P127" si="37">1</f>
        <v>1</v>
      </c>
      <c r="C127" s="89">
        <f t="shared" si="37"/>
        <v>1</v>
      </c>
      <c r="D127" s="89">
        <f t="shared" si="37"/>
        <v>1</v>
      </c>
      <c r="E127" s="89">
        <f t="shared" si="37"/>
        <v>1</v>
      </c>
      <c r="F127" s="89">
        <f t="shared" si="37"/>
        <v>1</v>
      </c>
      <c r="G127" s="89">
        <f t="shared" si="37"/>
        <v>1</v>
      </c>
      <c r="H127" s="89">
        <f t="shared" si="37"/>
        <v>1</v>
      </c>
      <c r="I127" s="89">
        <f t="shared" si="37"/>
        <v>1</v>
      </c>
      <c r="J127" s="89">
        <f t="shared" si="37"/>
        <v>1</v>
      </c>
      <c r="K127" s="89">
        <f t="shared" si="37"/>
        <v>1</v>
      </c>
      <c r="L127" s="89">
        <f t="shared" si="37"/>
        <v>1</v>
      </c>
      <c r="M127" s="89">
        <f t="shared" si="37"/>
        <v>1</v>
      </c>
      <c r="N127" s="89">
        <f t="shared" si="37"/>
        <v>1</v>
      </c>
      <c r="O127" s="124">
        <f t="shared" si="37"/>
        <v>1</v>
      </c>
      <c r="P127" s="124">
        <f t="shared" si="37"/>
        <v>1</v>
      </c>
    </row>
    <row r="128" outlineLevel="1">
      <c r="A128" s="367" t="s">
        <v>333</v>
      </c>
      <c r="B128" s="124">
        <f t="shared" ref="B128:P128" si="38">B107/B113</f>
        <v>0</v>
      </c>
      <c r="C128" s="89">
        <f t="shared" si="38"/>
        <v>0</v>
      </c>
      <c r="D128" s="89">
        <f t="shared" si="38"/>
        <v>0</v>
      </c>
      <c r="E128" s="89">
        <f t="shared" si="38"/>
        <v>0</v>
      </c>
      <c r="F128" s="89">
        <f t="shared" si="38"/>
        <v>0</v>
      </c>
      <c r="G128" s="89">
        <f t="shared" si="38"/>
        <v>0</v>
      </c>
      <c r="H128" s="89">
        <f t="shared" si="38"/>
        <v>0</v>
      </c>
      <c r="I128" s="89">
        <f t="shared" si="38"/>
        <v>0</v>
      </c>
      <c r="J128" s="89">
        <f t="shared" si="38"/>
        <v>0</v>
      </c>
      <c r="K128" s="89">
        <f t="shared" si="38"/>
        <v>0</v>
      </c>
      <c r="L128" s="89">
        <f t="shared" si="38"/>
        <v>0</v>
      </c>
      <c r="M128" s="89">
        <f t="shared" si="38"/>
        <v>0</v>
      </c>
      <c r="N128" s="89">
        <f t="shared" si="38"/>
        <v>0</v>
      </c>
      <c r="O128" s="124">
        <f t="shared" si="38"/>
        <v>0</v>
      </c>
      <c r="P128" s="124">
        <f t="shared" si="38"/>
        <v>0</v>
      </c>
    </row>
    <row r="129" outlineLevel="1">
      <c r="A129" s="367" t="s">
        <v>220</v>
      </c>
      <c r="B129" s="124">
        <v>0.0</v>
      </c>
      <c r="C129" s="434">
        <v>0.0</v>
      </c>
      <c r="D129" s="434">
        <v>0.0</v>
      </c>
      <c r="E129" s="434">
        <v>0.0</v>
      </c>
      <c r="F129" s="434">
        <v>0.0</v>
      </c>
      <c r="G129" s="434">
        <v>0.0</v>
      </c>
      <c r="H129" s="434">
        <v>0.0</v>
      </c>
      <c r="I129" s="434">
        <v>0.0</v>
      </c>
      <c r="J129" s="434">
        <v>0.0</v>
      </c>
      <c r="K129" s="434">
        <v>0.0</v>
      </c>
      <c r="L129" s="434">
        <v>0.0</v>
      </c>
      <c r="M129" s="434">
        <v>0.0</v>
      </c>
      <c r="N129" s="434">
        <v>0.0</v>
      </c>
      <c r="O129" s="124">
        <v>0.0</v>
      </c>
      <c r="P129" s="124">
        <v>0.0</v>
      </c>
    </row>
    <row r="130" outlineLevel="1">
      <c r="B130" s="242"/>
      <c r="C130" s="242"/>
      <c r="D130" s="242"/>
      <c r="E130" s="242"/>
      <c r="F130" s="242"/>
      <c r="G130" s="242"/>
      <c r="H130" s="242"/>
      <c r="I130" s="242"/>
      <c r="J130" s="242"/>
      <c r="K130" s="242"/>
      <c r="L130" s="242"/>
      <c r="M130" s="242"/>
      <c r="N130" s="242"/>
      <c r="O130" s="242"/>
      <c r="P130" s="242"/>
    </row>
    <row r="131" outlineLevel="1">
      <c r="A131" s="369" t="s">
        <v>335</v>
      </c>
      <c r="B131" s="242"/>
      <c r="C131" s="242"/>
      <c r="D131" s="242"/>
      <c r="E131" s="242"/>
      <c r="F131" s="242"/>
      <c r="G131" s="242"/>
      <c r="H131" s="242"/>
      <c r="I131" s="242"/>
      <c r="J131" s="242"/>
      <c r="K131" s="242"/>
      <c r="L131" s="242"/>
      <c r="M131" s="242"/>
      <c r="N131" s="242"/>
      <c r="O131" s="242"/>
      <c r="P131" s="242"/>
    </row>
    <row r="132" outlineLevel="1">
      <c r="A132" s="356" t="s">
        <v>217</v>
      </c>
      <c r="B132" s="84"/>
      <c r="O132" s="151"/>
      <c r="P132" s="151"/>
    </row>
    <row r="133" outlineLevel="1">
      <c r="A133" s="356" t="s">
        <v>336</v>
      </c>
      <c r="B133" s="248">
        <f t="shared" ref="B133:B135" si="40">sumif(C133:X133,"&lt;&gt;#DIV/0!")</f>
        <v>100000</v>
      </c>
      <c r="C133" s="248">
        <f t="shared" ref="C133:P133" si="39">C106</f>
        <v>23409.8257</v>
      </c>
      <c r="D133" s="248">
        <f t="shared" si="39"/>
        <v>7303.208945</v>
      </c>
      <c r="E133" s="248">
        <f t="shared" si="39"/>
        <v>13149.46798</v>
      </c>
      <c r="F133" s="248">
        <f t="shared" si="39"/>
        <v>16606.9208</v>
      </c>
      <c r="G133" s="248">
        <f t="shared" si="39"/>
        <v>5870.864955</v>
      </c>
      <c r="H133" s="248">
        <f t="shared" si="39"/>
        <v>12965.20503</v>
      </c>
      <c r="I133" s="248">
        <f t="shared" si="39"/>
        <v>1252.110897</v>
      </c>
      <c r="J133" s="248">
        <f t="shared" si="39"/>
        <v>3763.503353</v>
      </c>
      <c r="K133" s="248">
        <f t="shared" si="39"/>
        <v>398.078804</v>
      </c>
      <c r="L133" s="248">
        <f t="shared" si="39"/>
        <v>1496.665991</v>
      </c>
      <c r="M133" s="248">
        <f t="shared" si="39"/>
        <v>9518.457198</v>
      </c>
      <c r="N133" s="248">
        <f t="shared" si="39"/>
        <v>1328.1741</v>
      </c>
      <c r="O133" s="248">
        <f t="shared" si="39"/>
        <v>799.6010904</v>
      </c>
      <c r="P133" s="248">
        <f t="shared" si="39"/>
        <v>2137.915168</v>
      </c>
    </row>
    <row r="134" outlineLevel="1">
      <c r="A134" s="356" t="s">
        <v>337</v>
      </c>
      <c r="B134" s="248">
        <f t="shared" si="40"/>
        <v>0</v>
      </c>
      <c r="C134" s="100">
        <v>0.0</v>
      </c>
      <c r="D134" s="100">
        <v>0.0</v>
      </c>
      <c r="E134" s="100">
        <v>0.0</v>
      </c>
      <c r="F134" s="100">
        <v>0.0</v>
      </c>
      <c r="G134" s="100">
        <v>0.0</v>
      </c>
      <c r="H134" s="100">
        <v>0.0</v>
      </c>
      <c r="I134" s="100">
        <v>0.0</v>
      </c>
      <c r="J134" s="100">
        <v>0.0</v>
      </c>
      <c r="K134" s="100">
        <v>0.0</v>
      </c>
      <c r="L134" s="100">
        <v>0.0</v>
      </c>
      <c r="M134" s="100">
        <v>0.0</v>
      </c>
      <c r="N134" s="100">
        <v>0.0</v>
      </c>
      <c r="O134" s="370">
        <v>0.0</v>
      </c>
      <c r="P134" s="370">
        <v>0.0</v>
      </c>
    </row>
    <row r="135" outlineLevel="1">
      <c r="A135" s="356" t="s">
        <v>338</v>
      </c>
      <c r="B135" s="248">
        <f t="shared" si="40"/>
        <v>0</v>
      </c>
      <c r="C135" s="100">
        <v>0.0</v>
      </c>
      <c r="D135" s="100">
        <v>0.0</v>
      </c>
      <c r="E135" s="100">
        <v>0.0</v>
      </c>
      <c r="F135" s="100">
        <v>0.0</v>
      </c>
      <c r="G135" s="100">
        <v>0.0</v>
      </c>
      <c r="H135" s="100">
        <v>0.0</v>
      </c>
      <c r="I135" s="100">
        <v>0.0</v>
      </c>
      <c r="J135" s="100">
        <v>0.0</v>
      </c>
      <c r="K135" s="100">
        <v>0.0</v>
      </c>
      <c r="L135" s="100">
        <v>0.0</v>
      </c>
      <c r="M135" s="100">
        <v>0.0</v>
      </c>
      <c r="N135" s="100">
        <v>0.0</v>
      </c>
      <c r="O135" s="370">
        <v>0.0</v>
      </c>
      <c r="P135" s="370">
        <v>0.0</v>
      </c>
    </row>
    <row r="136" outlineLevel="1">
      <c r="A136" s="356"/>
      <c r="B136" s="84"/>
      <c r="C136" s="166"/>
      <c r="D136" s="166"/>
      <c r="E136" s="166"/>
      <c r="F136" s="166"/>
      <c r="G136" s="166"/>
      <c r="H136" s="166"/>
      <c r="I136" s="166"/>
      <c r="J136" s="166"/>
      <c r="K136" s="166"/>
      <c r="L136" s="166"/>
      <c r="M136" s="166"/>
      <c r="N136" s="166"/>
      <c r="O136" s="84"/>
      <c r="P136" s="84"/>
    </row>
    <row r="137" outlineLevel="1">
      <c r="A137" s="356" t="s">
        <v>333</v>
      </c>
      <c r="B137" s="84"/>
      <c r="C137" s="146"/>
      <c r="D137" s="146"/>
      <c r="E137" s="146"/>
      <c r="F137" s="146"/>
      <c r="G137" s="146"/>
      <c r="H137" s="146"/>
      <c r="I137" s="146"/>
      <c r="J137" s="146"/>
      <c r="K137" s="146"/>
      <c r="L137" s="146"/>
      <c r="M137" s="146"/>
      <c r="N137" s="146"/>
      <c r="O137" s="242"/>
      <c r="P137" s="242"/>
    </row>
    <row r="138" outlineLevel="1">
      <c r="A138" s="142" t="s">
        <v>336</v>
      </c>
      <c r="B138" s="248">
        <f t="shared" ref="B138:B140" si="41">sumif(C138:X138,"&lt;&gt;#DIV/0!")</f>
        <v>0</v>
      </c>
      <c r="C138" s="100">
        <v>0.0</v>
      </c>
      <c r="D138" s="100">
        <v>0.0</v>
      </c>
      <c r="E138" s="100">
        <v>0.0</v>
      </c>
      <c r="F138" s="100">
        <v>0.0</v>
      </c>
      <c r="G138" s="100">
        <v>0.0</v>
      </c>
      <c r="H138" s="100">
        <v>0.0</v>
      </c>
      <c r="I138" s="100">
        <v>0.0</v>
      </c>
      <c r="J138" s="100">
        <v>0.0</v>
      </c>
      <c r="K138" s="100">
        <v>0.0</v>
      </c>
      <c r="L138" s="100">
        <v>0.0</v>
      </c>
      <c r="M138" s="100">
        <v>0.0</v>
      </c>
      <c r="N138" s="100">
        <v>0.0</v>
      </c>
      <c r="O138" s="370">
        <v>0.0</v>
      </c>
      <c r="P138" s="370">
        <v>0.0</v>
      </c>
    </row>
    <row r="139" outlineLevel="1">
      <c r="A139" s="356" t="s">
        <v>337</v>
      </c>
      <c r="B139" s="248">
        <f t="shared" si="41"/>
        <v>-77293.45085</v>
      </c>
      <c r="C139" s="248">
        <f t="shared" ref="C139:P139" si="42">(C108-C128*C108)*-1</f>
        <v>-18094.26212</v>
      </c>
      <c r="D139" s="248">
        <f t="shared" si="42"/>
        <v>-5644.902217</v>
      </c>
      <c r="E139" s="248">
        <f t="shared" si="42"/>
        <v>-10163.67757</v>
      </c>
      <c r="F139" s="248">
        <f t="shared" si="42"/>
        <v>-12836.06216</v>
      </c>
      <c r="G139" s="248">
        <f t="shared" si="42"/>
        <v>-4537.794118</v>
      </c>
      <c r="H139" s="248">
        <f t="shared" si="42"/>
        <v>-10021.25438</v>
      </c>
      <c r="I139" s="248">
        <f t="shared" si="42"/>
        <v>-967.7997206</v>
      </c>
      <c r="J139" s="248">
        <f t="shared" si="42"/>
        <v>-2908.941615</v>
      </c>
      <c r="K139" s="248">
        <f t="shared" si="42"/>
        <v>-307.6888447</v>
      </c>
      <c r="L139" s="248">
        <f t="shared" si="42"/>
        <v>-1156.824793</v>
      </c>
      <c r="M139" s="248">
        <f t="shared" si="42"/>
        <v>-7357.144036</v>
      </c>
      <c r="N139" s="248">
        <f t="shared" si="42"/>
        <v>-1026.591596</v>
      </c>
      <c r="O139" s="248">
        <f t="shared" si="42"/>
        <v>-618.0392758</v>
      </c>
      <c r="P139" s="248">
        <f t="shared" si="42"/>
        <v>-1652.46841</v>
      </c>
    </row>
    <row r="140" outlineLevel="1">
      <c r="A140" s="142" t="s">
        <v>338</v>
      </c>
      <c r="B140" s="248">
        <f t="shared" si="41"/>
        <v>-80351.38533</v>
      </c>
      <c r="C140" s="248">
        <f t="shared" ref="C140:P140" si="43">(C109-C109*C128)*-1</f>
        <v>-18810.11925</v>
      </c>
      <c r="D140" s="248">
        <f t="shared" si="43"/>
        <v>-5868.229561</v>
      </c>
      <c r="E140" s="248">
        <f t="shared" si="43"/>
        <v>-10565.77968</v>
      </c>
      <c r="F140" s="248">
        <f t="shared" si="43"/>
        <v>-13343.89092</v>
      </c>
      <c r="G140" s="248">
        <f t="shared" si="43"/>
        <v>-4717.321322</v>
      </c>
      <c r="H140" s="248">
        <f t="shared" si="43"/>
        <v>-10417.72185</v>
      </c>
      <c r="I140" s="248">
        <f t="shared" si="43"/>
        <v>-1006.088451</v>
      </c>
      <c r="J140" s="248">
        <f t="shared" si="43"/>
        <v>-3024.027081</v>
      </c>
      <c r="K140" s="248">
        <f t="shared" si="43"/>
        <v>-319.8618337</v>
      </c>
      <c r="L140" s="248">
        <f t="shared" si="43"/>
        <v>-1202.591858</v>
      </c>
      <c r="M140" s="248">
        <f t="shared" si="43"/>
        <v>-7648.21222</v>
      </c>
      <c r="N140" s="248">
        <f t="shared" si="43"/>
        <v>-1067.206289</v>
      </c>
      <c r="O140" s="248">
        <f t="shared" si="43"/>
        <v>-642.4905532</v>
      </c>
      <c r="P140" s="248">
        <f t="shared" si="43"/>
        <v>-1717.844455</v>
      </c>
    </row>
    <row r="141" outlineLevel="1">
      <c r="A141" s="356"/>
      <c r="B141" s="84"/>
      <c r="C141" s="166"/>
      <c r="D141" s="166"/>
      <c r="E141" s="166"/>
      <c r="F141" s="166"/>
      <c r="G141" s="166"/>
      <c r="H141" s="166"/>
      <c r="I141" s="166"/>
      <c r="J141" s="166"/>
      <c r="K141" s="166"/>
      <c r="L141" s="166"/>
      <c r="M141" s="166"/>
      <c r="N141" s="166"/>
      <c r="O141" s="84"/>
      <c r="P141" s="84"/>
    </row>
    <row r="142" outlineLevel="1">
      <c r="A142" s="367" t="s">
        <v>220</v>
      </c>
      <c r="B142" s="84"/>
      <c r="C142" s="199"/>
      <c r="D142" s="199"/>
      <c r="E142" s="199"/>
      <c r="F142" s="199"/>
      <c r="G142" s="199"/>
      <c r="H142" s="199"/>
      <c r="I142" s="199"/>
      <c r="J142" s="199"/>
      <c r="K142" s="199"/>
      <c r="L142" s="199"/>
      <c r="M142" s="199"/>
      <c r="N142" s="199"/>
      <c r="O142" s="84"/>
      <c r="P142" s="84"/>
    </row>
    <row r="143" outlineLevel="1">
      <c r="A143" s="142" t="s">
        <v>336</v>
      </c>
      <c r="B143" s="248">
        <f t="shared" ref="B143:B145" si="45">sumif(C143:X143,"&lt;&gt;#DIV/0!")</f>
        <v>0</v>
      </c>
      <c r="C143" s="95">
        <f t="shared" ref="C143:P143" si="44">-C107</f>
        <v>0</v>
      </c>
      <c r="D143" s="95">
        <f t="shared" si="44"/>
        <v>0</v>
      </c>
      <c r="E143" s="95">
        <f t="shared" si="44"/>
        <v>0</v>
      </c>
      <c r="F143" s="95">
        <f t="shared" si="44"/>
        <v>0</v>
      </c>
      <c r="G143" s="95">
        <f t="shared" si="44"/>
        <v>0</v>
      </c>
      <c r="H143" s="95">
        <f t="shared" si="44"/>
        <v>0</v>
      </c>
      <c r="I143" s="95">
        <f t="shared" si="44"/>
        <v>0</v>
      </c>
      <c r="J143" s="95">
        <f t="shared" si="44"/>
        <v>0</v>
      </c>
      <c r="K143" s="95">
        <f t="shared" si="44"/>
        <v>0</v>
      </c>
      <c r="L143" s="95">
        <f t="shared" si="44"/>
        <v>0</v>
      </c>
      <c r="M143" s="95">
        <f t="shared" si="44"/>
        <v>0</v>
      </c>
      <c r="N143" s="95">
        <f t="shared" si="44"/>
        <v>0</v>
      </c>
      <c r="O143" s="101">
        <f t="shared" si="44"/>
        <v>0</v>
      </c>
      <c r="P143" s="101">
        <f t="shared" si="44"/>
        <v>0</v>
      </c>
    </row>
    <row r="144" outlineLevel="1">
      <c r="A144" s="356" t="s">
        <v>337</v>
      </c>
      <c r="B144" s="248">
        <f t="shared" si="45"/>
        <v>-77293.45085</v>
      </c>
      <c r="C144" s="95">
        <f t="shared" ref="C144:P144" si="46">-C108</f>
        <v>-18094.26212</v>
      </c>
      <c r="D144" s="95">
        <f t="shared" si="46"/>
        <v>-5644.902217</v>
      </c>
      <c r="E144" s="95">
        <f t="shared" si="46"/>
        <v>-10163.67757</v>
      </c>
      <c r="F144" s="95">
        <f t="shared" si="46"/>
        <v>-12836.06216</v>
      </c>
      <c r="G144" s="95">
        <f t="shared" si="46"/>
        <v>-4537.794118</v>
      </c>
      <c r="H144" s="95">
        <f t="shared" si="46"/>
        <v>-10021.25438</v>
      </c>
      <c r="I144" s="95">
        <f t="shared" si="46"/>
        <v>-967.7997206</v>
      </c>
      <c r="J144" s="95">
        <f t="shared" si="46"/>
        <v>-2908.941615</v>
      </c>
      <c r="K144" s="95">
        <f t="shared" si="46"/>
        <v>-307.6888447</v>
      </c>
      <c r="L144" s="95">
        <f t="shared" si="46"/>
        <v>-1156.824793</v>
      </c>
      <c r="M144" s="95">
        <f t="shared" si="46"/>
        <v>-7357.144036</v>
      </c>
      <c r="N144" s="95">
        <f t="shared" si="46"/>
        <v>-1026.591596</v>
      </c>
      <c r="O144" s="101">
        <f t="shared" si="46"/>
        <v>-618.0392758</v>
      </c>
      <c r="P144" s="101">
        <f t="shared" si="46"/>
        <v>-1652.46841</v>
      </c>
    </row>
    <row r="145" outlineLevel="1">
      <c r="A145" s="142" t="s">
        <v>338</v>
      </c>
      <c r="B145" s="248">
        <f t="shared" si="45"/>
        <v>-80351.38533</v>
      </c>
      <c r="C145" s="95">
        <f t="shared" ref="C145:P145" si="47">-C109</f>
        <v>-18810.11925</v>
      </c>
      <c r="D145" s="95">
        <f t="shared" si="47"/>
        <v>-5868.229561</v>
      </c>
      <c r="E145" s="95">
        <f t="shared" si="47"/>
        <v>-10565.77968</v>
      </c>
      <c r="F145" s="95">
        <f t="shared" si="47"/>
        <v>-13343.89092</v>
      </c>
      <c r="G145" s="95">
        <f t="shared" si="47"/>
        <v>-4717.321322</v>
      </c>
      <c r="H145" s="95">
        <f t="shared" si="47"/>
        <v>-10417.72185</v>
      </c>
      <c r="I145" s="95">
        <f t="shared" si="47"/>
        <v>-1006.088451</v>
      </c>
      <c r="J145" s="95">
        <f t="shared" si="47"/>
        <v>-3024.027081</v>
      </c>
      <c r="K145" s="95">
        <f t="shared" si="47"/>
        <v>-319.8618337</v>
      </c>
      <c r="L145" s="95">
        <f t="shared" si="47"/>
        <v>-1202.591858</v>
      </c>
      <c r="M145" s="95">
        <f t="shared" si="47"/>
        <v>-7648.21222</v>
      </c>
      <c r="N145" s="95">
        <f t="shared" si="47"/>
        <v>-1067.206289</v>
      </c>
      <c r="O145" s="101">
        <f t="shared" si="47"/>
        <v>-642.4905532</v>
      </c>
      <c r="P145" s="101">
        <f t="shared" si="47"/>
        <v>-1717.844455</v>
      </c>
    </row>
    <row r="146" outlineLevel="1">
      <c r="A146" s="142"/>
      <c r="B146" s="242"/>
      <c r="C146" s="242"/>
      <c r="D146" s="242"/>
      <c r="E146" s="242"/>
      <c r="F146" s="242"/>
      <c r="G146" s="242"/>
      <c r="H146" s="242"/>
      <c r="I146" s="242"/>
      <c r="J146" s="242"/>
      <c r="K146" s="242"/>
      <c r="L146" s="242"/>
      <c r="M146" s="242"/>
      <c r="N146" s="242"/>
      <c r="O146" s="242"/>
      <c r="P146" s="242"/>
    </row>
    <row r="147" outlineLevel="1">
      <c r="A147" s="371" t="s">
        <v>339</v>
      </c>
      <c r="B147" s="242"/>
      <c r="C147" s="242"/>
      <c r="D147" s="242"/>
      <c r="E147" s="242"/>
      <c r="F147" s="242"/>
      <c r="G147" s="242"/>
      <c r="H147" s="242"/>
      <c r="I147" s="242"/>
      <c r="J147" s="242"/>
      <c r="K147" s="242"/>
      <c r="L147" s="242"/>
      <c r="M147" s="242"/>
      <c r="N147" s="242"/>
      <c r="O147" s="242"/>
      <c r="P147" s="242"/>
    </row>
    <row r="148" outlineLevel="1">
      <c r="A148" s="356" t="s">
        <v>217</v>
      </c>
      <c r="B148" s="84"/>
      <c r="C148" s="168"/>
      <c r="D148" s="168"/>
      <c r="E148" s="168"/>
      <c r="F148" s="168"/>
      <c r="G148" s="168"/>
      <c r="H148" s="168"/>
      <c r="I148" s="168"/>
      <c r="J148" s="168"/>
      <c r="K148" s="168"/>
      <c r="L148" s="168"/>
      <c r="M148" s="168"/>
      <c r="N148" s="168"/>
      <c r="O148" s="84"/>
      <c r="P148" s="84"/>
    </row>
    <row r="149" outlineLevel="1">
      <c r="A149" s="142" t="s">
        <v>336</v>
      </c>
      <c r="B149" s="118">
        <f t="shared" ref="B149:B151" si="49">sumif(C149:X149,"&lt;&gt;#DIV/0!")</f>
        <v>2161.253159</v>
      </c>
      <c r="C149" s="168">
        <f t="shared" ref="C149:P149" si="48">C133*C$91</f>
        <v>255.2634611</v>
      </c>
      <c r="D149" s="168">
        <f t="shared" si="48"/>
        <v>370.5773649</v>
      </c>
      <c r="E149" s="168">
        <f t="shared" si="48"/>
        <v>711.8517734</v>
      </c>
      <c r="F149" s="168">
        <f t="shared" si="48"/>
        <v>276.2462048</v>
      </c>
      <c r="G149" s="168">
        <f t="shared" si="48"/>
        <v>143.4666923</v>
      </c>
      <c r="H149" s="168">
        <f t="shared" si="48"/>
        <v>14.16035368</v>
      </c>
      <c r="I149" s="168">
        <f t="shared" si="48"/>
        <v>39.06579303</v>
      </c>
      <c r="J149" s="168">
        <f t="shared" si="48"/>
        <v>124.9510302</v>
      </c>
      <c r="K149" s="168">
        <f t="shared" si="48"/>
        <v>0.8875549667</v>
      </c>
      <c r="L149" s="168">
        <f t="shared" si="48"/>
        <v>0.6179556898</v>
      </c>
      <c r="M149" s="168">
        <f t="shared" si="48"/>
        <v>136.4641365</v>
      </c>
      <c r="N149" s="168">
        <f t="shared" si="48"/>
        <v>5.85324235</v>
      </c>
      <c r="O149" s="118">
        <f t="shared" si="48"/>
        <v>43.2867288</v>
      </c>
      <c r="P149" s="118">
        <f t="shared" si="48"/>
        <v>38.56086762</v>
      </c>
    </row>
    <row r="150" outlineLevel="1">
      <c r="A150" s="356" t="s">
        <v>337</v>
      </c>
      <c r="B150" s="118">
        <f t="shared" si="49"/>
        <v>0</v>
      </c>
      <c r="C150" s="168">
        <f t="shared" ref="C150:P150" si="50">C134*C$91</f>
        <v>0</v>
      </c>
      <c r="D150" s="168">
        <f t="shared" si="50"/>
        <v>0</v>
      </c>
      <c r="E150" s="168">
        <f t="shared" si="50"/>
        <v>0</v>
      </c>
      <c r="F150" s="168">
        <f t="shared" si="50"/>
        <v>0</v>
      </c>
      <c r="G150" s="168">
        <f t="shared" si="50"/>
        <v>0</v>
      </c>
      <c r="H150" s="168">
        <f t="shared" si="50"/>
        <v>0</v>
      </c>
      <c r="I150" s="168">
        <f t="shared" si="50"/>
        <v>0</v>
      </c>
      <c r="J150" s="168">
        <f t="shared" si="50"/>
        <v>0</v>
      </c>
      <c r="K150" s="168">
        <f t="shared" si="50"/>
        <v>0</v>
      </c>
      <c r="L150" s="168">
        <f t="shared" si="50"/>
        <v>0</v>
      </c>
      <c r="M150" s="168">
        <f t="shared" si="50"/>
        <v>0</v>
      </c>
      <c r="N150" s="168">
        <f t="shared" si="50"/>
        <v>0</v>
      </c>
      <c r="O150" s="118">
        <f t="shared" si="50"/>
        <v>0</v>
      </c>
      <c r="P150" s="118">
        <f t="shared" si="50"/>
        <v>0</v>
      </c>
    </row>
    <row r="151" outlineLevel="1">
      <c r="A151" s="142" t="s">
        <v>338</v>
      </c>
      <c r="B151" s="118">
        <f t="shared" si="49"/>
        <v>0</v>
      </c>
      <c r="C151" s="168">
        <f t="shared" ref="C151:P151" si="51">C135*C$91</f>
        <v>0</v>
      </c>
      <c r="D151" s="168">
        <f t="shared" si="51"/>
        <v>0</v>
      </c>
      <c r="E151" s="168">
        <f t="shared" si="51"/>
        <v>0</v>
      </c>
      <c r="F151" s="168">
        <f t="shared" si="51"/>
        <v>0</v>
      </c>
      <c r="G151" s="168">
        <f t="shared" si="51"/>
        <v>0</v>
      </c>
      <c r="H151" s="168">
        <f t="shared" si="51"/>
        <v>0</v>
      </c>
      <c r="I151" s="168">
        <f t="shared" si="51"/>
        <v>0</v>
      </c>
      <c r="J151" s="168">
        <f t="shared" si="51"/>
        <v>0</v>
      </c>
      <c r="K151" s="168">
        <f t="shared" si="51"/>
        <v>0</v>
      </c>
      <c r="L151" s="168">
        <f t="shared" si="51"/>
        <v>0</v>
      </c>
      <c r="M151" s="168">
        <f t="shared" si="51"/>
        <v>0</v>
      </c>
      <c r="N151" s="168">
        <f t="shared" si="51"/>
        <v>0</v>
      </c>
      <c r="O151" s="118">
        <f t="shared" si="51"/>
        <v>0</v>
      </c>
      <c r="P151" s="118">
        <f t="shared" si="51"/>
        <v>0</v>
      </c>
    </row>
    <row r="152" outlineLevel="1">
      <c r="A152" s="356"/>
      <c r="B152" s="84"/>
      <c r="C152" s="168"/>
      <c r="D152" s="168"/>
      <c r="E152" s="168"/>
      <c r="F152" s="168"/>
      <c r="G152" s="168"/>
      <c r="H152" s="168"/>
      <c r="I152" s="168"/>
      <c r="J152" s="168"/>
      <c r="K152" s="168"/>
      <c r="L152" s="168"/>
      <c r="M152" s="168"/>
      <c r="N152" s="168"/>
      <c r="O152" s="84"/>
      <c r="P152" s="84"/>
    </row>
    <row r="153" outlineLevel="1">
      <c r="A153" s="356" t="s">
        <v>333</v>
      </c>
      <c r="B153" s="84"/>
      <c r="C153" s="168"/>
      <c r="D153" s="168"/>
      <c r="E153" s="168"/>
      <c r="F153" s="168"/>
      <c r="G153" s="168"/>
      <c r="H153" s="168"/>
      <c r="I153" s="168"/>
      <c r="J153" s="168"/>
      <c r="K153" s="168"/>
      <c r="L153" s="168"/>
      <c r="M153" s="168"/>
      <c r="N153" s="168"/>
      <c r="O153" s="84"/>
      <c r="P153" s="84"/>
    </row>
    <row r="154" outlineLevel="1">
      <c r="A154" s="142" t="s">
        <v>336</v>
      </c>
      <c r="B154" s="118">
        <f t="shared" ref="B154:B156" si="53">sumif(C154:X154,"&lt;&gt;#DIV/0!")</f>
        <v>0</v>
      </c>
      <c r="C154" s="168">
        <f t="shared" ref="C154:P154" si="52">C138*C$91</f>
        <v>0</v>
      </c>
      <c r="D154" s="168">
        <f t="shared" si="52"/>
        <v>0</v>
      </c>
      <c r="E154" s="168">
        <f t="shared" si="52"/>
        <v>0</v>
      </c>
      <c r="F154" s="168">
        <f t="shared" si="52"/>
        <v>0</v>
      </c>
      <c r="G154" s="168">
        <f t="shared" si="52"/>
        <v>0</v>
      </c>
      <c r="H154" s="168">
        <f t="shared" si="52"/>
        <v>0</v>
      </c>
      <c r="I154" s="168">
        <f t="shared" si="52"/>
        <v>0</v>
      </c>
      <c r="J154" s="168">
        <f t="shared" si="52"/>
        <v>0</v>
      </c>
      <c r="K154" s="168">
        <f t="shared" si="52"/>
        <v>0</v>
      </c>
      <c r="L154" s="168">
        <f t="shared" si="52"/>
        <v>0</v>
      </c>
      <c r="M154" s="168">
        <f t="shared" si="52"/>
        <v>0</v>
      </c>
      <c r="N154" s="168">
        <f t="shared" si="52"/>
        <v>0</v>
      </c>
      <c r="O154" s="118">
        <f t="shared" si="52"/>
        <v>0</v>
      </c>
      <c r="P154" s="118">
        <f t="shared" si="52"/>
        <v>0</v>
      </c>
    </row>
    <row r="155" outlineLevel="1">
      <c r="A155" s="356" t="s">
        <v>337</v>
      </c>
      <c r="B155" s="118">
        <f t="shared" si="53"/>
        <v>-1670.507148</v>
      </c>
      <c r="C155" s="168">
        <f t="shared" ref="C155:P155" si="54">C139*C$91</f>
        <v>-197.3019379</v>
      </c>
      <c r="D155" s="168">
        <f t="shared" si="54"/>
        <v>-286.4320334</v>
      </c>
      <c r="E155" s="168">
        <f t="shared" si="54"/>
        <v>-550.2148006</v>
      </c>
      <c r="F155" s="168">
        <f t="shared" si="54"/>
        <v>-213.5202246</v>
      </c>
      <c r="G155" s="168">
        <f t="shared" si="54"/>
        <v>-110.8903573</v>
      </c>
      <c r="H155" s="168">
        <f t="shared" si="54"/>
        <v>-10.94502601</v>
      </c>
      <c r="I155" s="168">
        <f t="shared" si="54"/>
        <v>-30.19529953</v>
      </c>
      <c r="J155" s="168">
        <f t="shared" si="54"/>
        <v>-96.57896311</v>
      </c>
      <c r="K155" s="168">
        <f t="shared" si="54"/>
        <v>-0.686021862</v>
      </c>
      <c r="L155" s="168">
        <f t="shared" si="54"/>
        <v>-0.4776392774</v>
      </c>
      <c r="M155" s="168">
        <f t="shared" si="54"/>
        <v>-105.4778403</v>
      </c>
      <c r="N155" s="168">
        <f t="shared" si="54"/>
        <v>-4.524172999</v>
      </c>
      <c r="O155" s="118">
        <f t="shared" si="54"/>
        <v>-33.45780645</v>
      </c>
      <c r="P155" s="118">
        <f t="shared" si="54"/>
        <v>-29.80502526</v>
      </c>
    </row>
    <row r="156" outlineLevel="1">
      <c r="A156" s="142" t="s">
        <v>338</v>
      </c>
      <c r="B156" s="118">
        <f t="shared" si="53"/>
        <v>-1736.596854</v>
      </c>
      <c r="C156" s="168">
        <f t="shared" ref="C156:P156" si="55">C140*C$91</f>
        <v>-205.1077272</v>
      </c>
      <c r="D156" s="168">
        <f t="shared" si="55"/>
        <v>-297.7640464</v>
      </c>
      <c r="E156" s="168">
        <f t="shared" si="55"/>
        <v>-571.9827614</v>
      </c>
      <c r="F156" s="168">
        <f t="shared" si="55"/>
        <v>-221.9676525</v>
      </c>
      <c r="G156" s="168">
        <f t="shared" si="55"/>
        <v>-115.2774747</v>
      </c>
      <c r="H156" s="168">
        <f t="shared" si="55"/>
        <v>-11.37804035</v>
      </c>
      <c r="I156" s="168">
        <f t="shared" si="55"/>
        <v>-31.38990589</v>
      </c>
      <c r="J156" s="168">
        <f t="shared" si="55"/>
        <v>-100.3998837</v>
      </c>
      <c r="K156" s="168">
        <f t="shared" si="55"/>
        <v>-0.7131627113</v>
      </c>
      <c r="L156" s="168">
        <f t="shared" si="55"/>
        <v>-0.4965359574</v>
      </c>
      <c r="M156" s="168">
        <f t="shared" si="55"/>
        <v>-109.6508241</v>
      </c>
      <c r="N156" s="168">
        <f t="shared" si="55"/>
        <v>-4.703161315</v>
      </c>
      <c r="O156" s="118">
        <f t="shared" si="55"/>
        <v>-34.78148625</v>
      </c>
      <c r="P156" s="118">
        <f t="shared" si="55"/>
        <v>-30.98419132</v>
      </c>
    </row>
    <row r="157" outlineLevel="1">
      <c r="A157" s="356"/>
      <c r="B157" s="84"/>
      <c r="C157" s="168"/>
      <c r="D157" s="168"/>
      <c r="E157" s="168"/>
      <c r="F157" s="168"/>
      <c r="G157" s="168"/>
      <c r="H157" s="168"/>
      <c r="I157" s="168"/>
      <c r="J157" s="168"/>
      <c r="K157" s="168"/>
      <c r="L157" s="168"/>
      <c r="M157" s="168"/>
      <c r="N157" s="168"/>
      <c r="O157" s="84"/>
      <c r="P157" s="84"/>
    </row>
    <row r="158" outlineLevel="1">
      <c r="A158" s="367" t="s">
        <v>220</v>
      </c>
      <c r="B158" s="84"/>
      <c r="C158" s="168"/>
      <c r="D158" s="168"/>
      <c r="E158" s="168"/>
      <c r="F158" s="168"/>
      <c r="G158" s="168"/>
      <c r="H158" s="168"/>
      <c r="I158" s="168"/>
      <c r="J158" s="168"/>
      <c r="K158" s="168"/>
      <c r="L158" s="168"/>
      <c r="M158" s="168"/>
      <c r="N158" s="168"/>
      <c r="O158" s="84"/>
      <c r="P158" s="84"/>
    </row>
    <row r="159" outlineLevel="1">
      <c r="A159" s="142" t="s">
        <v>336</v>
      </c>
      <c r="B159" s="118">
        <f t="shared" ref="B159:B161" si="57">sumif(C159:X159,"&lt;&gt;#DIV/0!")</f>
        <v>0</v>
      </c>
      <c r="C159" s="168">
        <f t="shared" ref="C159:P159" si="56">C143*C$91</f>
        <v>0</v>
      </c>
      <c r="D159" s="168">
        <f t="shared" si="56"/>
        <v>0</v>
      </c>
      <c r="E159" s="168">
        <f t="shared" si="56"/>
        <v>0</v>
      </c>
      <c r="F159" s="168">
        <f t="shared" si="56"/>
        <v>0</v>
      </c>
      <c r="G159" s="168">
        <f t="shared" si="56"/>
        <v>0</v>
      </c>
      <c r="H159" s="168">
        <f t="shared" si="56"/>
        <v>0</v>
      </c>
      <c r="I159" s="168">
        <f t="shared" si="56"/>
        <v>0</v>
      </c>
      <c r="J159" s="168">
        <f t="shared" si="56"/>
        <v>0</v>
      </c>
      <c r="K159" s="168">
        <f t="shared" si="56"/>
        <v>0</v>
      </c>
      <c r="L159" s="168">
        <f t="shared" si="56"/>
        <v>0</v>
      </c>
      <c r="M159" s="168">
        <f t="shared" si="56"/>
        <v>0</v>
      </c>
      <c r="N159" s="168">
        <f t="shared" si="56"/>
        <v>0</v>
      </c>
      <c r="O159" s="118">
        <f t="shared" si="56"/>
        <v>0</v>
      </c>
      <c r="P159" s="118">
        <f t="shared" si="56"/>
        <v>0</v>
      </c>
    </row>
    <row r="160" outlineLevel="1">
      <c r="A160" s="356" t="s">
        <v>337</v>
      </c>
      <c r="B160" s="118">
        <f t="shared" si="57"/>
        <v>-1670.507148</v>
      </c>
      <c r="C160" s="168">
        <f t="shared" ref="C160:P160" si="58">C144*C$91</f>
        <v>-197.3019379</v>
      </c>
      <c r="D160" s="168">
        <f t="shared" si="58"/>
        <v>-286.4320334</v>
      </c>
      <c r="E160" s="168">
        <f t="shared" si="58"/>
        <v>-550.2148006</v>
      </c>
      <c r="F160" s="168">
        <f t="shared" si="58"/>
        <v>-213.5202246</v>
      </c>
      <c r="G160" s="168">
        <f t="shared" si="58"/>
        <v>-110.8903573</v>
      </c>
      <c r="H160" s="168">
        <f t="shared" si="58"/>
        <v>-10.94502601</v>
      </c>
      <c r="I160" s="168">
        <f t="shared" si="58"/>
        <v>-30.19529953</v>
      </c>
      <c r="J160" s="168">
        <f t="shared" si="58"/>
        <v>-96.57896311</v>
      </c>
      <c r="K160" s="168">
        <f t="shared" si="58"/>
        <v>-0.686021862</v>
      </c>
      <c r="L160" s="168">
        <f t="shared" si="58"/>
        <v>-0.4776392774</v>
      </c>
      <c r="M160" s="168">
        <f t="shared" si="58"/>
        <v>-105.4778403</v>
      </c>
      <c r="N160" s="168">
        <f t="shared" si="58"/>
        <v>-4.524172999</v>
      </c>
      <c r="O160" s="118">
        <f t="shared" si="58"/>
        <v>-33.45780645</v>
      </c>
      <c r="P160" s="118">
        <f t="shared" si="58"/>
        <v>-29.80502526</v>
      </c>
    </row>
    <row r="161" outlineLevel="1">
      <c r="A161" s="142" t="s">
        <v>338</v>
      </c>
      <c r="B161" s="118">
        <f t="shared" si="57"/>
        <v>-1736.596854</v>
      </c>
      <c r="C161" s="168">
        <f t="shared" ref="C161:P161" si="59">C145*C$91</f>
        <v>-205.1077272</v>
      </c>
      <c r="D161" s="168">
        <f t="shared" si="59"/>
        <v>-297.7640464</v>
      </c>
      <c r="E161" s="168">
        <f t="shared" si="59"/>
        <v>-571.9827614</v>
      </c>
      <c r="F161" s="168">
        <f t="shared" si="59"/>
        <v>-221.9676525</v>
      </c>
      <c r="G161" s="168">
        <f t="shared" si="59"/>
        <v>-115.2774747</v>
      </c>
      <c r="H161" s="168">
        <f t="shared" si="59"/>
        <v>-11.37804035</v>
      </c>
      <c r="I161" s="168">
        <f t="shared" si="59"/>
        <v>-31.38990589</v>
      </c>
      <c r="J161" s="168">
        <f t="shared" si="59"/>
        <v>-100.3998837</v>
      </c>
      <c r="K161" s="168">
        <f t="shared" si="59"/>
        <v>-0.7131627113</v>
      </c>
      <c r="L161" s="168">
        <f t="shared" si="59"/>
        <v>-0.4965359574</v>
      </c>
      <c r="M161" s="168">
        <f t="shared" si="59"/>
        <v>-109.6508241</v>
      </c>
      <c r="N161" s="168">
        <f t="shared" si="59"/>
        <v>-4.703161315</v>
      </c>
      <c r="O161" s="118">
        <f t="shared" si="59"/>
        <v>-34.78148625</v>
      </c>
      <c r="P161" s="118">
        <f t="shared" si="59"/>
        <v>-30.98419132</v>
      </c>
    </row>
    <row r="162" outlineLevel="1">
      <c r="A162" s="435"/>
      <c r="B162" s="242"/>
      <c r="C162" s="242"/>
      <c r="D162" s="242"/>
      <c r="E162" s="242"/>
      <c r="F162" s="242"/>
      <c r="G162" s="242"/>
      <c r="H162" s="242"/>
      <c r="I162" s="242"/>
      <c r="J162" s="242"/>
      <c r="K162" s="242"/>
      <c r="L162" s="242"/>
      <c r="M162" s="242"/>
      <c r="N162" s="242"/>
      <c r="O162" s="242"/>
      <c r="P162" s="242"/>
    </row>
    <row r="163" outlineLevel="1">
      <c r="A163" s="435"/>
      <c r="B163" s="242"/>
      <c r="C163" s="242"/>
      <c r="D163" s="242"/>
      <c r="E163" s="242"/>
      <c r="F163" s="242"/>
      <c r="G163" s="242"/>
      <c r="H163" s="242"/>
      <c r="I163" s="242"/>
      <c r="J163" s="242"/>
      <c r="K163" s="242"/>
      <c r="L163" s="242"/>
      <c r="M163" s="242"/>
      <c r="N163" s="242"/>
      <c r="O163" s="242"/>
      <c r="P163" s="242"/>
    </row>
    <row r="164" outlineLevel="1">
      <c r="A164" s="372" t="s">
        <v>340</v>
      </c>
      <c r="B164" s="242"/>
      <c r="C164" s="242"/>
      <c r="D164" s="242"/>
      <c r="E164" s="242"/>
      <c r="F164" s="242"/>
      <c r="G164" s="242"/>
      <c r="H164" s="242"/>
      <c r="I164" s="242"/>
      <c r="J164" s="242"/>
      <c r="K164" s="242"/>
      <c r="L164" s="242"/>
      <c r="M164" s="242"/>
      <c r="N164" s="242"/>
      <c r="O164" s="242"/>
      <c r="P164" s="242"/>
    </row>
    <row r="165" outlineLevel="1">
      <c r="A165" s="356" t="s">
        <v>217</v>
      </c>
      <c r="B165" s="84"/>
      <c r="C165" s="168"/>
      <c r="D165" s="168"/>
      <c r="E165" s="168"/>
      <c r="F165" s="168"/>
      <c r="G165" s="168"/>
      <c r="H165" s="168"/>
      <c r="I165" s="168"/>
      <c r="J165" s="168"/>
      <c r="K165" s="168"/>
      <c r="L165" s="168"/>
      <c r="M165" s="168"/>
      <c r="N165" s="168"/>
      <c r="O165" s="84"/>
      <c r="P165" s="84"/>
    </row>
    <row r="166" outlineLevel="1">
      <c r="A166" s="142" t="s">
        <v>336</v>
      </c>
      <c r="B166" s="118">
        <f t="shared" ref="B166:B168" si="61">sumif(C166:X166,"&lt;&gt;#DIV/0!")</f>
        <v>-357.8712176</v>
      </c>
      <c r="C166" s="168">
        <f t="shared" ref="C166:P166" si="60">-C133*C117</f>
        <v>-83.77702825</v>
      </c>
      <c r="D166" s="168">
        <f t="shared" si="60"/>
        <v>-26.13608277</v>
      </c>
      <c r="E166" s="168">
        <f t="shared" si="60"/>
        <v>-47.05816116</v>
      </c>
      <c r="F166" s="168">
        <f t="shared" si="60"/>
        <v>-59.43138965</v>
      </c>
      <c r="G166" s="168">
        <f t="shared" si="60"/>
        <v>-21.01013589</v>
      </c>
      <c r="H166" s="168">
        <f t="shared" si="60"/>
        <v>-46.3987371</v>
      </c>
      <c r="I166" s="168">
        <f t="shared" si="60"/>
        <v>-4.480944511</v>
      </c>
      <c r="J166" s="168">
        <f t="shared" si="60"/>
        <v>-13.46849527</v>
      </c>
      <c r="K166" s="168">
        <f t="shared" si="60"/>
        <v>-1.424609463</v>
      </c>
      <c r="L166" s="168">
        <f t="shared" si="60"/>
        <v>-5.356136806</v>
      </c>
      <c r="M166" s="168">
        <f t="shared" si="60"/>
        <v>-34.06381867</v>
      </c>
      <c r="N166" s="168">
        <f t="shared" si="60"/>
        <v>-4.753152825</v>
      </c>
      <c r="O166" s="118">
        <f t="shared" si="60"/>
        <v>-2.861542158</v>
      </c>
      <c r="P166" s="118">
        <f t="shared" si="60"/>
        <v>-7.650983044</v>
      </c>
    </row>
    <row r="167" outlineLevel="1">
      <c r="A167" s="356" t="s">
        <v>337</v>
      </c>
      <c r="B167" s="118">
        <f t="shared" si="61"/>
        <v>0</v>
      </c>
      <c r="C167" s="168">
        <f t="shared" ref="C167:P167" si="62">-C134*C118</f>
        <v>0</v>
      </c>
      <c r="D167" s="168">
        <f t="shared" si="62"/>
        <v>0</v>
      </c>
      <c r="E167" s="168">
        <f t="shared" si="62"/>
        <v>0</v>
      </c>
      <c r="F167" s="168">
        <f t="shared" si="62"/>
        <v>0</v>
      </c>
      <c r="G167" s="168">
        <f t="shared" si="62"/>
        <v>0</v>
      </c>
      <c r="H167" s="168">
        <f t="shared" si="62"/>
        <v>0</v>
      </c>
      <c r="I167" s="168">
        <f t="shared" si="62"/>
        <v>0</v>
      </c>
      <c r="J167" s="168">
        <f t="shared" si="62"/>
        <v>0</v>
      </c>
      <c r="K167" s="168">
        <f t="shared" si="62"/>
        <v>0</v>
      </c>
      <c r="L167" s="168">
        <f t="shared" si="62"/>
        <v>0</v>
      </c>
      <c r="M167" s="168">
        <f t="shared" si="62"/>
        <v>0</v>
      </c>
      <c r="N167" s="168">
        <f t="shared" si="62"/>
        <v>0</v>
      </c>
      <c r="O167" s="118">
        <f t="shared" si="62"/>
        <v>0</v>
      </c>
      <c r="P167" s="118">
        <f t="shared" si="62"/>
        <v>0</v>
      </c>
    </row>
    <row r="168" outlineLevel="1">
      <c r="A168" s="142" t="s">
        <v>338</v>
      </c>
      <c r="B168" s="118">
        <f t="shared" si="61"/>
        <v>0</v>
      </c>
      <c r="C168" s="168">
        <f t="shared" ref="C168:P168" si="63">-C135*C119</f>
        <v>0</v>
      </c>
      <c r="D168" s="168">
        <f t="shared" si="63"/>
        <v>0</v>
      </c>
      <c r="E168" s="168">
        <f t="shared" si="63"/>
        <v>0</v>
      </c>
      <c r="F168" s="168">
        <f t="shared" si="63"/>
        <v>0</v>
      </c>
      <c r="G168" s="168">
        <f t="shared" si="63"/>
        <v>0</v>
      </c>
      <c r="H168" s="168">
        <f t="shared" si="63"/>
        <v>0</v>
      </c>
      <c r="I168" s="168">
        <f t="shared" si="63"/>
        <v>0</v>
      </c>
      <c r="J168" s="168">
        <f t="shared" si="63"/>
        <v>0</v>
      </c>
      <c r="K168" s="168">
        <f t="shared" si="63"/>
        <v>0</v>
      </c>
      <c r="L168" s="168">
        <f t="shared" si="63"/>
        <v>0</v>
      </c>
      <c r="M168" s="168">
        <f t="shared" si="63"/>
        <v>0</v>
      </c>
      <c r="N168" s="168">
        <f t="shared" si="63"/>
        <v>0</v>
      </c>
      <c r="O168" s="118">
        <f t="shared" si="63"/>
        <v>0</v>
      </c>
      <c r="P168" s="118">
        <f t="shared" si="63"/>
        <v>0</v>
      </c>
    </row>
    <row r="169" outlineLevel="1">
      <c r="A169" s="142"/>
      <c r="B169" s="84"/>
      <c r="C169" s="168"/>
      <c r="D169" s="168"/>
      <c r="E169" s="168"/>
      <c r="F169" s="168"/>
      <c r="G169" s="168"/>
      <c r="H169" s="168"/>
      <c r="I169" s="168"/>
      <c r="J169" s="168"/>
      <c r="K169" s="168"/>
      <c r="L169" s="168"/>
      <c r="M169" s="168"/>
      <c r="N169" s="168"/>
      <c r="O169" s="84"/>
      <c r="P169" s="84"/>
    </row>
    <row r="170" outlineLevel="1">
      <c r="A170" s="356" t="s">
        <v>333</v>
      </c>
      <c r="B170" s="84"/>
      <c r="C170" s="168"/>
      <c r="D170" s="168"/>
      <c r="E170" s="168"/>
      <c r="F170" s="168"/>
      <c r="G170" s="168"/>
      <c r="H170" s="168"/>
      <c r="I170" s="168"/>
      <c r="J170" s="168"/>
      <c r="K170" s="168"/>
      <c r="L170" s="168"/>
      <c r="M170" s="168"/>
      <c r="N170" s="168"/>
      <c r="O170" s="84"/>
      <c r="P170" s="84"/>
    </row>
    <row r="171" outlineLevel="1">
      <c r="A171" s="142" t="s">
        <v>336</v>
      </c>
      <c r="B171" s="118">
        <f t="shared" ref="B171:B173" si="65">sumif(C171:X171,"&lt;&gt;#DIV/0!")</f>
        <v>0</v>
      </c>
      <c r="C171" s="168">
        <f t="shared" ref="C171:P171" si="64">-C138*C117</f>
        <v>0</v>
      </c>
      <c r="D171" s="168">
        <f t="shared" si="64"/>
        <v>0</v>
      </c>
      <c r="E171" s="168">
        <f t="shared" si="64"/>
        <v>0</v>
      </c>
      <c r="F171" s="168">
        <f t="shared" si="64"/>
        <v>0</v>
      </c>
      <c r="G171" s="168">
        <f t="shared" si="64"/>
        <v>0</v>
      </c>
      <c r="H171" s="168">
        <f t="shared" si="64"/>
        <v>0</v>
      </c>
      <c r="I171" s="168">
        <f t="shared" si="64"/>
        <v>0</v>
      </c>
      <c r="J171" s="168">
        <f t="shared" si="64"/>
        <v>0</v>
      </c>
      <c r="K171" s="168">
        <f t="shared" si="64"/>
        <v>0</v>
      </c>
      <c r="L171" s="168">
        <f t="shared" si="64"/>
        <v>0</v>
      </c>
      <c r="M171" s="168">
        <f t="shared" si="64"/>
        <v>0</v>
      </c>
      <c r="N171" s="168">
        <f t="shared" si="64"/>
        <v>0</v>
      </c>
      <c r="O171" s="118">
        <f t="shared" si="64"/>
        <v>0</v>
      </c>
      <c r="P171" s="118">
        <f t="shared" si="64"/>
        <v>0</v>
      </c>
    </row>
    <row r="172" outlineLevel="1">
      <c r="A172" s="356" t="s">
        <v>337</v>
      </c>
      <c r="B172" s="118">
        <f t="shared" si="65"/>
        <v>276.6110137</v>
      </c>
      <c r="C172" s="168">
        <f t="shared" ref="C172:P172" si="66">-C139*C118</f>
        <v>64.75415616</v>
      </c>
      <c r="D172" s="168">
        <f t="shared" si="66"/>
        <v>20.20148029</v>
      </c>
      <c r="E172" s="168">
        <f t="shared" si="66"/>
        <v>36.37287667</v>
      </c>
      <c r="F172" s="168">
        <f t="shared" si="66"/>
        <v>45.93657195</v>
      </c>
      <c r="G172" s="168">
        <f t="shared" si="66"/>
        <v>16.23945906</v>
      </c>
      <c r="H172" s="168">
        <f t="shared" si="66"/>
        <v>35.86318505</v>
      </c>
      <c r="I172" s="168">
        <f t="shared" si="66"/>
        <v>3.463476644</v>
      </c>
      <c r="J172" s="168">
        <f t="shared" si="66"/>
        <v>10.41026477</v>
      </c>
      <c r="K172" s="168">
        <f t="shared" si="66"/>
        <v>1.101129815</v>
      </c>
      <c r="L172" s="168">
        <f t="shared" si="66"/>
        <v>4.13994297</v>
      </c>
      <c r="M172" s="168">
        <f t="shared" si="66"/>
        <v>26.32910094</v>
      </c>
      <c r="N172" s="168">
        <f t="shared" si="66"/>
        <v>3.673875843</v>
      </c>
      <c r="O172" s="118">
        <f t="shared" si="66"/>
        <v>2.211784681</v>
      </c>
      <c r="P172" s="118">
        <f t="shared" si="66"/>
        <v>5.913708819</v>
      </c>
    </row>
    <row r="173" outlineLevel="1">
      <c r="A173" s="142" t="s">
        <v>338</v>
      </c>
      <c r="B173" s="118">
        <f t="shared" si="65"/>
        <v>315.9280094</v>
      </c>
      <c r="C173" s="168">
        <f t="shared" ref="C173:P173" si="67">-C140*C119</f>
        <v>73.95819633</v>
      </c>
      <c r="D173" s="168">
        <f t="shared" si="67"/>
        <v>23.07288264</v>
      </c>
      <c r="E173" s="168">
        <f t="shared" si="67"/>
        <v>41.54285243</v>
      </c>
      <c r="F173" s="168">
        <f t="shared" si="67"/>
        <v>52.46591429</v>
      </c>
      <c r="G173" s="168">
        <f t="shared" si="67"/>
        <v>18.54770679</v>
      </c>
      <c r="H173" s="168">
        <f t="shared" si="67"/>
        <v>40.96071416</v>
      </c>
      <c r="I173" s="168">
        <f t="shared" si="67"/>
        <v>3.955769031</v>
      </c>
      <c r="J173" s="168">
        <f t="shared" si="67"/>
        <v>11.88996123</v>
      </c>
      <c r="K173" s="168">
        <f t="shared" si="67"/>
        <v>1.257642441</v>
      </c>
      <c r="L173" s="168">
        <f t="shared" si="67"/>
        <v>4.728387074</v>
      </c>
      <c r="M173" s="168">
        <f t="shared" si="67"/>
        <v>30.07147235</v>
      </c>
      <c r="N173" s="168">
        <f t="shared" si="67"/>
        <v>4.196073997</v>
      </c>
      <c r="O173" s="118">
        <f t="shared" si="67"/>
        <v>2.526163808</v>
      </c>
      <c r="P173" s="118">
        <f t="shared" si="67"/>
        <v>6.754272834</v>
      </c>
    </row>
    <row r="174" outlineLevel="1">
      <c r="A174" s="356"/>
      <c r="B174" s="84"/>
      <c r="C174" s="168"/>
      <c r="D174" s="168"/>
      <c r="E174" s="168"/>
      <c r="F174" s="168"/>
      <c r="G174" s="168"/>
      <c r="H174" s="168"/>
      <c r="I174" s="168"/>
      <c r="J174" s="168"/>
      <c r="K174" s="168"/>
      <c r="L174" s="168"/>
      <c r="M174" s="168"/>
      <c r="N174" s="168"/>
      <c r="O174" s="84"/>
      <c r="P174" s="84"/>
    </row>
    <row r="175" outlineLevel="1">
      <c r="A175" s="367" t="s">
        <v>220</v>
      </c>
      <c r="B175" s="84"/>
      <c r="C175" s="168"/>
      <c r="D175" s="168"/>
      <c r="E175" s="168"/>
      <c r="F175" s="168"/>
      <c r="G175" s="168"/>
      <c r="H175" s="168"/>
      <c r="I175" s="168"/>
      <c r="J175" s="168"/>
      <c r="K175" s="168"/>
      <c r="L175" s="168"/>
      <c r="M175" s="168"/>
      <c r="N175" s="168"/>
      <c r="O175" s="84"/>
      <c r="P175" s="84"/>
    </row>
    <row r="176" outlineLevel="1">
      <c r="A176" s="142" t="s">
        <v>336</v>
      </c>
      <c r="B176" s="118">
        <f t="shared" ref="B176:B178" si="69">sumif(C176:X176,"&lt;&gt;#DIV/0!")</f>
        <v>0</v>
      </c>
      <c r="C176" s="168">
        <f t="shared" ref="C176:P176" si="68">-C143*C117</f>
        <v>0</v>
      </c>
      <c r="D176" s="168">
        <f t="shared" si="68"/>
        <v>0</v>
      </c>
      <c r="E176" s="168">
        <f t="shared" si="68"/>
        <v>0</v>
      </c>
      <c r="F176" s="168">
        <f t="shared" si="68"/>
        <v>0</v>
      </c>
      <c r="G176" s="168">
        <f t="shared" si="68"/>
        <v>0</v>
      </c>
      <c r="H176" s="168">
        <f t="shared" si="68"/>
        <v>0</v>
      </c>
      <c r="I176" s="168">
        <f t="shared" si="68"/>
        <v>0</v>
      </c>
      <c r="J176" s="168">
        <f t="shared" si="68"/>
        <v>0</v>
      </c>
      <c r="K176" s="168">
        <f t="shared" si="68"/>
        <v>0</v>
      </c>
      <c r="L176" s="168">
        <f t="shared" si="68"/>
        <v>0</v>
      </c>
      <c r="M176" s="168">
        <f t="shared" si="68"/>
        <v>0</v>
      </c>
      <c r="N176" s="168">
        <f t="shared" si="68"/>
        <v>0</v>
      </c>
      <c r="O176" s="118">
        <f t="shared" si="68"/>
        <v>0</v>
      </c>
      <c r="P176" s="118">
        <f t="shared" si="68"/>
        <v>0</v>
      </c>
    </row>
    <row r="177" outlineLevel="1">
      <c r="A177" s="356" t="s">
        <v>337</v>
      </c>
      <c r="B177" s="118">
        <f t="shared" si="69"/>
        <v>276.6110137</v>
      </c>
      <c r="C177" s="168">
        <f t="shared" ref="C177:P177" si="70">-C144*C118</f>
        <v>64.75415616</v>
      </c>
      <c r="D177" s="168">
        <f t="shared" si="70"/>
        <v>20.20148029</v>
      </c>
      <c r="E177" s="168">
        <f t="shared" si="70"/>
        <v>36.37287667</v>
      </c>
      <c r="F177" s="168">
        <f t="shared" si="70"/>
        <v>45.93657195</v>
      </c>
      <c r="G177" s="168">
        <f t="shared" si="70"/>
        <v>16.23945906</v>
      </c>
      <c r="H177" s="168">
        <f t="shared" si="70"/>
        <v>35.86318505</v>
      </c>
      <c r="I177" s="168">
        <f t="shared" si="70"/>
        <v>3.463476644</v>
      </c>
      <c r="J177" s="168">
        <f t="shared" si="70"/>
        <v>10.41026477</v>
      </c>
      <c r="K177" s="168">
        <f t="shared" si="70"/>
        <v>1.101129815</v>
      </c>
      <c r="L177" s="168">
        <f t="shared" si="70"/>
        <v>4.13994297</v>
      </c>
      <c r="M177" s="168">
        <f t="shared" si="70"/>
        <v>26.32910094</v>
      </c>
      <c r="N177" s="168">
        <f t="shared" si="70"/>
        <v>3.673875843</v>
      </c>
      <c r="O177" s="118">
        <f t="shared" si="70"/>
        <v>2.211784681</v>
      </c>
      <c r="P177" s="118">
        <f t="shared" si="70"/>
        <v>5.913708819</v>
      </c>
    </row>
    <row r="178" outlineLevel="1">
      <c r="A178" s="142" t="s">
        <v>338</v>
      </c>
      <c r="B178" s="118">
        <f t="shared" si="69"/>
        <v>315.9280094</v>
      </c>
      <c r="C178" s="168">
        <f t="shared" ref="C178:P178" si="71">-C145*C119</f>
        <v>73.95819633</v>
      </c>
      <c r="D178" s="168">
        <f t="shared" si="71"/>
        <v>23.07288264</v>
      </c>
      <c r="E178" s="168">
        <f t="shared" si="71"/>
        <v>41.54285243</v>
      </c>
      <c r="F178" s="168">
        <f t="shared" si="71"/>
        <v>52.46591429</v>
      </c>
      <c r="G178" s="168">
        <f t="shared" si="71"/>
        <v>18.54770679</v>
      </c>
      <c r="H178" s="168">
        <f t="shared" si="71"/>
        <v>40.96071416</v>
      </c>
      <c r="I178" s="168">
        <f t="shared" si="71"/>
        <v>3.955769031</v>
      </c>
      <c r="J178" s="168">
        <f t="shared" si="71"/>
        <v>11.88996123</v>
      </c>
      <c r="K178" s="168">
        <f t="shared" si="71"/>
        <v>1.257642441</v>
      </c>
      <c r="L178" s="168">
        <f t="shared" si="71"/>
        <v>4.728387074</v>
      </c>
      <c r="M178" s="168">
        <f t="shared" si="71"/>
        <v>30.07147235</v>
      </c>
      <c r="N178" s="168">
        <f t="shared" si="71"/>
        <v>4.196073997</v>
      </c>
      <c r="O178" s="118">
        <f t="shared" si="71"/>
        <v>2.526163808</v>
      </c>
      <c r="P178" s="118">
        <f t="shared" si="71"/>
        <v>6.754272834</v>
      </c>
    </row>
    <row r="179" outlineLevel="1">
      <c r="A179" s="356"/>
      <c r="B179" s="84"/>
      <c r="C179" s="168"/>
      <c r="D179" s="168"/>
      <c r="E179" s="168"/>
      <c r="F179" s="168"/>
      <c r="G179" s="168"/>
      <c r="H179" s="168"/>
      <c r="I179" s="168"/>
      <c r="J179" s="168"/>
      <c r="K179" s="168"/>
      <c r="L179" s="168"/>
      <c r="M179" s="168"/>
      <c r="N179" s="168"/>
      <c r="O179" s="84"/>
      <c r="P179" s="84"/>
    </row>
    <row r="180" outlineLevel="1">
      <c r="A180" s="142"/>
      <c r="B180" s="242"/>
      <c r="C180" s="91"/>
      <c r="D180" s="91"/>
      <c r="E180" s="91"/>
      <c r="F180" s="91"/>
      <c r="G180" s="91"/>
      <c r="H180" s="91"/>
      <c r="I180" s="91"/>
      <c r="J180" s="91"/>
      <c r="K180" s="91"/>
      <c r="L180" s="91"/>
      <c r="M180" s="91"/>
      <c r="N180" s="91"/>
      <c r="O180" s="55"/>
      <c r="P180" s="55"/>
    </row>
    <row r="181" outlineLevel="1">
      <c r="A181" s="372" t="s">
        <v>341</v>
      </c>
      <c r="B181" s="242"/>
      <c r="C181" s="242"/>
      <c r="D181" s="242"/>
      <c r="E181" s="242"/>
      <c r="F181" s="242"/>
      <c r="G181" s="242"/>
      <c r="H181" s="242"/>
      <c r="I181" s="242"/>
      <c r="J181" s="242"/>
      <c r="K181" s="242"/>
      <c r="L181" s="242"/>
      <c r="M181" s="242"/>
      <c r="N181" s="242"/>
      <c r="O181" s="242"/>
      <c r="P181" s="242"/>
    </row>
    <row r="182" outlineLevel="1">
      <c r="A182" s="367" t="s">
        <v>217</v>
      </c>
      <c r="B182" s="118">
        <f t="shared" ref="B182:B184" si="73">sumif(C182:X182,"&lt;&gt;#DIV/0!")</f>
        <v>1803.381942</v>
      </c>
      <c r="C182" s="168">
        <f t="shared" ref="C182:P182" si="72">SUM(C149:C151,C166:C168)</f>
        <v>171.4864329</v>
      </c>
      <c r="D182" s="168">
        <f t="shared" si="72"/>
        <v>344.4412821</v>
      </c>
      <c r="E182" s="168">
        <f t="shared" si="72"/>
        <v>664.7936122</v>
      </c>
      <c r="F182" s="168">
        <f t="shared" si="72"/>
        <v>216.8148152</v>
      </c>
      <c r="G182" s="168">
        <f t="shared" si="72"/>
        <v>122.4565564</v>
      </c>
      <c r="H182" s="168">
        <f t="shared" si="72"/>
        <v>-32.23838342</v>
      </c>
      <c r="I182" s="168">
        <f t="shared" si="72"/>
        <v>34.58484852</v>
      </c>
      <c r="J182" s="168">
        <f t="shared" si="72"/>
        <v>111.4825349</v>
      </c>
      <c r="K182" s="168">
        <f t="shared" si="72"/>
        <v>-0.5370544959</v>
      </c>
      <c r="L182" s="168">
        <f t="shared" si="72"/>
        <v>-4.738181117</v>
      </c>
      <c r="M182" s="168">
        <f t="shared" si="72"/>
        <v>102.4003178</v>
      </c>
      <c r="N182" s="168">
        <f t="shared" si="72"/>
        <v>1.100089525</v>
      </c>
      <c r="O182" s="118">
        <f t="shared" si="72"/>
        <v>40.42518664</v>
      </c>
      <c r="P182" s="118">
        <f t="shared" si="72"/>
        <v>30.90988457</v>
      </c>
    </row>
    <row r="183" outlineLevel="1">
      <c r="A183" s="367" t="s">
        <v>333</v>
      </c>
      <c r="B183" s="118">
        <f t="shared" si="73"/>
        <v>-2814.564979</v>
      </c>
      <c r="C183" s="168">
        <f t="shared" ref="C183:P183" si="74">SUM(C154:C156,C171:C173)</f>
        <v>-263.6973126</v>
      </c>
      <c r="D183" s="168">
        <f t="shared" si="74"/>
        <v>-540.9217169</v>
      </c>
      <c r="E183" s="168">
        <f t="shared" si="74"/>
        <v>-1044.281833</v>
      </c>
      <c r="F183" s="168">
        <f t="shared" si="74"/>
        <v>-337.0853908</v>
      </c>
      <c r="G183" s="168">
        <f t="shared" si="74"/>
        <v>-191.3806661</v>
      </c>
      <c r="H183" s="168">
        <f t="shared" si="74"/>
        <v>54.50083285</v>
      </c>
      <c r="I183" s="168">
        <f t="shared" si="74"/>
        <v>-54.16595974</v>
      </c>
      <c r="J183" s="168">
        <f t="shared" si="74"/>
        <v>-174.6786208</v>
      </c>
      <c r="K183" s="168">
        <f t="shared" si="74"/>
        <v>0.9595876828</v>
      </c>
      <c r="L183" s="168">
        <f t="shared" si="74"/>
        <v>7.894154809</v>
      </c>
      <c r="M183" s="168">
        <f t="shared" si="74"/>
        <v>-158.7280911</v>
      </c>
      <c r="N183" s="168">
        <f t="shared" si="74"/>
        <v>-1.357384474</v>
      </c>
      <c r="O183" s="118">
        <f t="shared" si="74"/>
        <v>-63.50134421</v>
      </c>
      <c r="P183" s="118">
        <f t="shared" si="74"/>
        <v>-48.12123493</v>
      </c>
    </row>
    <row r="184" outlineLevel="1">
      <c r="A184" s="367" t="s">
        <v>220</v>
      </c>
      <c r="B184" s="118">
        <f t="shared" si="73"/>
        <v>-2814.564979</v>
      </c>
      <c r="C184" s="168">
        <f t="shared" ref="C184:P184" si="75">SUM(C159:C161,C176:C178)</f>
        <v>-263.6973126</v>
      </c>
      <c r="D184" s="168">
        <f t="shared" si="75"/>
        <v>-540.9217169</v>
      </c>
      <c r="E184" s="168">
        <f t="shared" si="75"/>
        <v>-1044.281833</v>
      </c>
      <c r="F184" s="168">
        <f t="shared" si="75"/>
        <v>-337.0853908</v>
      </c>
      <c r="G184" s="168">
        <f t="shared" si="75"/>
        <v>-191.3806661</v>
      </c>
      <c r="H184" s="168">
        <f t="shared" si="75"/>
        <v>54.50083285</v>
      </c>
      <c r="I184" s="168">
        <f t="shared" si="75"/>
        <v>-54.16595974</v>
      </c>
      <c r="J184" s="168">
        <f t="shared" si="75"/>
        <v>-174.6786208</v>
      </c>
      <c r="K184" s="168">
        <f t="shared" si="75"/>
        <v>0.9595876828</v>
      </c>
      <c r="L184" s="168">
        <f t="shared" si="75"/>
        <v>7.894154809</v>
      </c>
      <c r="M184" s="168">
        <f t="shared" si="75"/>
        <v>-158.7280911</v>
      </c>
      <c r="N184" s="168">
        <f t="shared" si="75"/>
        <v>-1.357384474</v>
      </c>
      <c r="O184" s="118">
        <f t="shared" si="75"/>
        <v>-63.50134421</v>
      </c>
      <c r="P184" s="118">
        <f t="shared" si="75"/>
        <v>-48.12123493</v>
      </c>
    </row>
    <row r="185" outlineLevel="1">
      <c r="A185" s="142"/>
      <c r="B185" s="242"/>
      <c r="C185" s="84"/>
      <c r="D185" s="84"/>
      <c r="E185" s="84"/>
      <c r="F185" s="84"/>
      <c r="G185" s="84"/>
      <c r="H185" s="84"/>
      <c r="I185" s="84"/>
      <c r="J185" s="84"/>
      <c r="K185" s="84"/>
      <c r="L185" s="84"/>
      <c r="M185" s="84"/>
      <c r="N185" s="84"/>
      <c r="O185" s="84"/>
      <c r="P185" s="84"/>
    </row>
    <row r="186" outlineLevel="1">
      <c r="A186" s="372" t="s">
        <v>342</v>
      </c>
      <c r="B186" s="242"/>
      <c r="C186" s="242"/>
      <c r="D186" s="242"/>
      <c r="E186" s="242"/>
      <c r="F186" s="242"/>
      <c r="G186" s="242"/>
      <c r="H186" s="242"/>
      <c r="I186" s="242"/>
      <c r="J186" s="242"/>
      <c r="K186" s="242"/>
      <c r="L186" s="242"/>
      <c r="M186" s="242"/>
      <c r="N186" s="242"/>
      <c r="O186" s="242"/>
      <c r="P186" s="242"/>
    </row>
    <row r="187" outlineLevel="1">
      <c r="A187" s="367" t="s">
        <v>217</v>
      </c>
      <c r="B187" s="118">
        <f t="shared" ref="B187:B189" si="77">sumif(C187:X187,"&lt;&gt;#DIV/0!")</f>
        <v>357.8712176</v>
      </c>
      <c r="C187" s="168">
        <f t="shared" ref="C187:P187" si="76">C$8*C$90-C182</f>
        <v>83.77702825</v>
      </c>
      <c r="D187" s="168">
        <f t="shared" si="76"/>
        <v>26.13608277</v>
      </c>
      <c r="E187" s="168">
        <f t="shared" si="76"/>
        <v>47.05816116</v>
      </c>
      <c r="F187" s="168">
        <f t="shared" si="76"/>
        <v>59.43138965</v>
      </c>
      <c r="G187" s="168">
        <f t="shared" si="76"/>
        <v>21.01013589</v>
      </c>
      <c r="H187" s="168">
        <f t="shared" si="76"/>
        <v>46.3987371</v>
      </c>
      <c r="I187" s="168">
        <f t="shared" si="76"/>
        <v>4.480944511</v>
      </c>
      <c r="J187" s="168">
        <f t="shared" si="76"/>
        <v>13.46849527</v>
      </c>
      <c r="K187" s="168">
        <f t="shared" si="76"/>
        <v>1.424609463</v>
      </c>
      <c r="L187" s="168">
        <f t="shared" si="76"/>
        <v>5.356136806</v>
      </c>
      <c r="M187" s="168">
        <f t="shared" si="76"/>
        <v>34.06381867</v>
      </c>
      <c r="N187" s="168">
        <f t="shared" si="76"/>
        <v>4.753152825</v>
      </c>
      <c r="O187" s="118">
        <f t="shared" si="76"/>
        <v>2.861542158</v>
      </c>
      <c r="P187" s="118">
        <f t="shared" si="76"/>
        <v>7.650983044</v>
      </c>
    </row>
    <row r="188" outlineLevel="1">
      <c r="A188" s="367" t="s">
        <v>333</v>
      </c>
      <c r="B188" s="118">
        <f t="shared" si="77"/>
        <v>4975.818139</v>
      </c>
      <c r="C188" s="168">
        <f t="shared" ref="C188:P188" si="78">C$8*C$90-C183</f>
        <v>518.9607737</v>
      </c>
      <c r="D188" s="168">
        <f t="shared" si="78"/>
        <v>911.4990817</v>
      </c>
      <c r="E188" s="168">
        <f t="shared" si="78"/>
        <v>1756.133606</v>
      </c>
      <c r="F188" s="168">
        <f t="shared" si="78"/>
        <v>613.3315956</v>
      </c>
      <c r="G188" s="168">
        <f t="shared" si="78"/>
        <v>334.8473584</v>
      </c>
      <c r="H188" s="168">
        <f t="shared" si="78"/>
        <v>-40.34047917</v>
      </c>
      <c r="I188" s="168">
        <f t="shared" si="78"/>
        <v>93.23175277</v>
      </c>
      <c r="J188" s="168">
        <f t="shared" si="78"/>
        <v>299.629651</v>
      </c>
      <c r="K188" s="168">
        <f t="shared" si="78"/>
        <v>-0.07203271605</v>
      </c>
      <c r="L188" s="168">
        <f t="shared" si="78"/>
        <v>-7.27619912</v>
      </c>
      <c r="M188" s="168">
        <f t="shared" si="78"/>
        <v>295.1922276</v>
      </c>
      <c r="N188" s="168">
        <f t="shared" si="78"/>
        <v>7.210626824</v>
      </c>
      <c r="O188" s="118">
        <f t="shared" si="78"/>
        <v>106.788073</v>
      </c>
      <c r="P188" s="118">
        <f t="shared" si="78"/>
        <v>86.68210254</v>
      </c>
    </row>
    <row r="189" outlineLevel="1">
      <c r="A189" s="367" t="s">
        <v>220</v>
      </c>
      <c r="B189" s="436">
        <f t="shared" si="77"/>
        <v>4975.818139</v>
      </c>
      <c r="C189" s="168">
        <f t="shared" ref="C189:P189" si="79">C$8*C$90-C184</f>
        <v>518.9607737</v>
      </c>
      <c r="D189" s="168">
        <f t="shared" si="79"/>
        <v>911.4990817</v>
      </c>
      <c r="E189" s="168">
        <f t="shared" si="79"/>
        <v>1756.133606</v>
      </c>
      <c r="F189" s="168">
        <f t="shared" si="79"/>
        <v>613.3315956</v>
      </c>
      <c r="G189" s="168">
        <f t="shared" si="79"/>
        <v>334.8473584</v>
      </c>
      <c r="H189" s="168">
        <f t="shared" si="79"/>
        <v>-40.34047917</v>
      </c>
      <c r="I189" s="168">
        <f t="shared" si="79"/>
        <v>93.23175277</v>
      </c>
      <c r="J189" s="168">
        <f t="shared" si="79"/>
        <v>299.629651</v>
      </c>
      <c r="K189" s="168">
        <f t="shared" si="79"/>
        <v>-0.07203271605</v>
      </c>
      <c r="L189" s="168">
        <f t="shared" si="79"/>
        <v>-7.27619912</v>
      </c>
      <c r="M189" s="168">
        <f t="shared" si="79"/>
        <v>295.1922276</v>
      </c>
      <c r="N189" s="168">
        <f t="shared" si="79"/>
        <v>7.210626824</v>
      </c>
      <c r="O189" s="118">
        <f t="shared" si="79"/>
        <v>106.788073</v>
      </c>
      <c r="P189" s="118">
        <f t="shared" si="79"/>
        <v>86.68210254</v>
      </c>
    </row>
    <row r="190" outlineLevel="1">
      <c r="A190" s="358" t="s">
        <v>232</v>
      </c>
      <c r="B190" s="168">
        <f>sum(C190:P190)</f>
        <v>4052.228754</v>
      </c>
      <c r="C190" s="373">
        <f t="shared" ref="C190:P190" si="80">SUMPRODUCT(C187:C189,C122:C124)</f>
        <v>431.9240246</v>
      </c>
      <c r="D190" s="373">
        <f t="shared" si="80"/>
        <v>734.426482</v>
      </c>
      <c r="E190" s="373">
        <f t="shared" si="80"/>
        <v>1414.318517</v>
      </c>
      <c r="F190" s="373">
        <f t="shared" si="80"/>
        <v>502.5515544</v>
      </c>
      <c r="G190" s="373">
        <f t="shared" si="80"/>
        <v>272.0799139</v>
      </c>
      <c r="H190" s="373">
        <f t="shared" si="80"/>
        <v>-22.99263592</v>
      </c>
      <c r="I190" s="373">
        <f t="shared" si="80"/>
        <v>75.48159112</v>
      </c>
      <c r="J190" s="373">
        <f t="shared" si="80"/>
        <v>242.3974199</v>
      </c>
      <c r="K190" s="373">
        <f t="shared" si="80"/>
        <v>0.2272957197</v>
      </c>
      <c r="L190" s="373">
        <f t="shared" si="80"/>
        <v>-4.749731934</v>
      </c>
      <c r="M190" s="373">
        <f t="shared" si="80"/>
        <v>242.9665458</v>
      </c>
      <c r="N190" s="373">
        <f t="shared" si="80"/>
        <v>6.719132024</v>
      </c>
      <c r="O190" s="168">
        <f t="shared" si="80"/>
        <v>86.00276684</v>
      </c>
      <c r="P190" s="168">
        <f t="shared" si="80"/>
        <v>70.87587864</v>
      </c>
    </row>
    <row r="191" outlineLevel="1">
      <c r="A191" s="142"/>
      <c r="B191" s="89"/>
      <c r="C191" s="89"/>
      <c r="D191" s="89"/>
      <c r="E191" s="89"/>
      <c r="F191" s="89"/>
      <c r="G191" s="89"/>
      <c r="H191" s="89"/>
      <c r="I191" s="89"/>
      <c r="J191" s="89"/>
      <c r="K191" s="89"/>
      <c r="L191" s="89"/>
      <c r="M191" s="89"/>
      <c r="N191" s="89"/>
      <c r="O191" s="89"/>
      <c r="P191" s="89"/>
    </row>
    <row r="192">
      <c r="A192" s="356"/>
      <c r="B192" s="89"/>
      <c r="C192" s="437"/>
      <c r="D192" s="437"/>
      <c r="E192" s="437"/>
      <c r="F192" s="437"/>
      <c r="G192" s="437"/>
      <c r="H192" s="437"/>
      <c r="I192" s="437"/>
      <c r="J192" s="437"/>
      <c r="K192" s="437"/>
      <c r="L192" s="437"/>
      <c r="M192" s="437"/>
      <c r="N192" s="437"/>
      <c r="O192" s="89"/>
      <c r="P192" s="89"/>
    </row>
    <row r="193">
      <c r="A193" s="401" t="s">
        <v>379</v>
      </c>
      <c r="B193" s="26"/>
      <c r="C193" s="401"/>
      <c r="D193" s="401"/>
      <c r="E193" s="401"/>
      <c r="F193" s="401"/>
      <c r="G193" s="401"/>
      <c r="H193" s="401"/>
      <c r="I193" s="401"/>
      <c r="J193" s="401"/>
      <c r="K193" s="401"/>
      <c r="L193" s="401"/>
      <c r="M193" s="401"/>
      <c r="N193" s="401"/>
      <c r="O193" s="26"/>
      <c r="P193" s="26"/>
    </row>
    <row r="194">
      <c r="A194" s="28"/>
      <c r="B194" s="89"/>
      <c r="C194" s="437"/>
      <c r="D194" s="437"/>
      <c r="E194" s="437"/>
      <c r="F194" s="437"/>
      <c r="G194" s="437"/>
      <c r="H194" s="437"/>
      <c r="I194" s="437"/>
      <c r="J194" s="437"/>
      <c r="K194" s="437"/>
      <c r="L194" s="437"/>
      <c r="M194" s="437"/>
      <c r="N194" s="437"/>
      <c r="O194" s="89"/>
      <c r="P194" s="89"/>
    </row>
    <row r="195">
      <c r="A195" s="400" t="s">
        <v>380</v>
      </c>
      <c r="B195" s="118">
        <f t="shared" ref="B195:P195" si="81">B190</f>
        <v>4052.228754</v>
      </c>
      <c r="C195" s="438">
        <f t="shared" si="81"/>
        <v>431.9240246</v>
      </c>
      <c r="D195" s="438">
        <f t="shared" si="81"/>
        <v>734.426482</v>
      </c>
      <c r="E195" s="438">
        <f t="shared" si="81"/>
        <v>1414.318517</v>
      </c>
      <c r="F195" s="438">
        <f t="shared" si="81"/>
        <v>502.5515544</v>
      </c>
      <c r="G195" s="438">
        <f t="shared" si="81"/>
        <v>272.0799139</v>
      </c>
      <c r="H195" s="438">
        <f t="shared" si="81"/>
        <v>-22.99263592</v>
      </c>
      <c r="I195" s="438">
        <f t="shared" si="81"/>
        <v>75.48159112</v>
      </c>
      <c r="J195" s="438">
        <f t="shared" si="81"/>
        <v>242.3974199</v>
      </c>
      <c r="K195" s="438">
        <f t="shared" si="81"/>
        <v>0.2272957197</v>
      </c>
      <c r="L195" s="438">
        <f t="shared" si="81"/>
        <v>-4.749731934</v>
      </c>
      <c r="M195" s="438">
        <f t="shared" si="81"/>
        <v>242.9665458</v>
      </c>
      <c r="N195" s="438">
        <f t="shared" si="81"/>
        <v>6.719132024</v>
      </c>
      <c r="O195" s="413">
        <f t="shared" si="81"/>
        <v>86.00276684</v>
      </c>
      <c r="P195" s="413">
        <f t="shared" si="81"/>
        <v>70.87587864</v>
      </c>
    </row>
    <row r="196">
      <c r="A196" s="367" t="s">
        <v>223</v>
      </c>
      <c r="B196" s="188">
        <f t="shared" ref="B196:P196" si="82">B195/B106</f>
        <v>0.04052228754</v>
      </c>
      <c r="C196" s="439">
        <f t="shared" si="82"/>
        <v>0.01845054424</v>
      </c>
      <c r="D196" s="439">
        <f t="shared" si="82"/>
        <v>0.1005621621</v>
      </c>
      <c r="E196" s="439">
        <f t="shared" si="82"/>
        <v>0.1075570905</v>
      </c>
      <c r="F196" s="439">
        <f t="shared" si="82"/>
        <v>0.03026157351</v>
      </c>
      <c r="G196" s="439">
        <f t="shared" si="82"/>
        <v>0.04634409342</v>
      </c>
      <c r="H196" s="439">
        <f t="shared" si="82"/>
        <v>-0.0017734109</v>
      </c>
      <c r="I196" s="439">
        <f t="shared" si="82"/>
        <v>0.06028347115</v>
      </c>
      <c r="J196" s="439">
        <f t="shared" si="82"/>
        <v>0.06440738778</v>
      </c>
      <c r="K196" s="439">
        <f t="shared" si="82"/>
        <v>0.0005709817187</v>
      </c>
      <c r="L196" s="439">
        <f t="shared" si="82"/>
        <v>-0.0031735417</v>
      </c>
      <c r="M196" s="439">
        <f t="shared" si="82"/>
        <v>0.02552583268</v>
      </c>
      <c r="N196" s="439">
        <f t="shared" si="82"/>
        <v>0.005058924144</v>
      </c>
      <c r="O196" s="188">
        <f t="shared" si="82"/>
        <v>0.1075570905</v>
      </c>
      <c r="P196" s="188">
        <f t="shared" si="82"/>
        <v>0.03315186668</v>
      </c>
    </row>
    <row r="197">
      <c r="A197" s="142"/>
      <c r="B197" s="131"/>
      <c r="C197" s="440"/>
      <c r="D197" s="440"/>
      <c r="E197" s="440"/>
      <c r="F197" s="440"/>
      <c r="G197" s="440"/>
      <c r="H197" s="440"/>
      <c r="I197" s="440"/>
      <c r="J197" s="440"/>
      <c r="K197" s="440"/>
      <c r="L197" s="440"/>
      <c r="M197" s="440"/>
      <c r="N197" s="440"/>
      <c r="O197" s="131"/>
      <c r="P197" s="131"/>
    </row>
    <row r="198">
      <c r="A198" s="238" t="s">
        <v>224</v>
      </c>
      <c r="B198" s="441">
        <f t="array" ref="B198">B196/index(GiveDirectly!$B:$B,match("Units of value generated per philanthropic dollar spent, after accounting for all adjustments",GiveDirectly!$A:$A,0))</f>
        <v>12.07985618</v>
      </c>
      <c r="C198" s="441">
        <f t="array" ref="C198">C196/index(GiveDirectly!$B:$B,match("Units of value generated per philanthropic dollar spent, after accounting for all adjustments",GiveDirectly!$A:$A,0))</f>
        <v>5.500181119</v>
      </c>
      <c r="D198" s="441">
        <f t="array" ref="D198">D196/index(GiveDirectly!$B:$B,match("Units of value generated per philanthropic dollar spent, after accounting for all adjustments",GiveDirectly!$A:$A,0))</f>
        <v>29.97798321</v>
      </c>
      <c r="E198" s="441">
        <f t="array" ref="E198">E196/index(GiveDirectly!$B:$B,match("Units of value generated per philanthropic dollar spent, after accounting for all adjustments",GiveDirectly!$A:$A,0))</f>
        <v>32.06319937</v>
      </c>
      <c r="F198" s="441">
        <f t="array" ref="F198">F196/index(GiveDirectly!$B:$B,match("Units of value generated per philanthropic dollar spent, after accounting for all adjustments",GiveDirectly!$A:$A,0))</f>
        <v>9.021096239</v>
      </c>
      <c r="G198" s="441">
        <f t="array" ref="G198">G196/index(GiveDirectly!$B:$B,match("Units of value generated per philanthropic dollar spent, after accounting for all adjustments",GiveDirectly!$A:$A,0))</f>
        <v>13.81535982</v>
      </c>
      <c r="H198" s="441">
        <f t="array" ref="H198">H196/index(GiveDirectly!$B:$B,match("Units of value generated per philanthropic dollar spent, after accounting for all adjustments",GiveDirectly!$A:$A,0))</f>
        <v>-0.5286608906</v>
      </c>
      <c r="I198" s="441">
        <f t="array" ref="I198">I196/index(GiveDirectly!$B:$B,match("Units of value generated per philanthropic dollar spent, after accounting for all adjustments",GiveDirectly!$A:$A,0))</f>
        <v>17.97074414</v>
      </c>
      <c r="J198" s="441">
        <f t="array" ref="J198">J196/index(GiveDirectly!$B:$B,match("Units of value generated per philanthropic dollar spent, after accounting for all adjustments",GiveDirectly!$A:$A,0))</f>
        <v>19.2001002</v>
      </c>
      <c r="K198" s="441">
        <f t="array" ref="K198">K196/index(GiveDirectly!$B:$B,match("Units of value generated per philanthropic dollar spent, after accounting for all adjustments",GiveDirectly!$A:$A,0))</f>
        <v>0.1702119367</v>
      </c>
      <c r="L198" s="441">
        <f t="array" ref="L198">L196/index(GiveDirectly!$B:$B,match("Units of value generated per philanthropic dollar spent, after accounting for all adjustments",GiveDirectly!$A:$A,0))</f>
        <v>-0.9460454885</v>
      </c>
      <c r="M198" s="441">
        <f t="array" ref="M198">M196/index(GiveDirectly!$B:$B,match("Units of value generated per philanthropic dollar spent, after accounting for all adjustments",GiveDirectly!$A:$A,0))</f>
        <v>7.609352935</v>
      </c>
      <c r="N198" s="441">
        <f t="array" ref="N198">N196/index(GiveDirectly!$B:$B,match("Units of value generated per philanthropic dollar spent, after accounting for all adjustments",GiveDirectly!$A:$A,0))</f>
        <v>1.508085545</v>
      </c>
      <c r="O198" s="441">
        <f t="array" ref="O198">O196/index(GiveDirectly!$B:$B,match("Units of value generated per philanthropic dollar spent, after accounting for all adjustments",GiveDirectly!$A:$A,0))</f>
        <v>32.06319937</v>
      </c>
      <c r="P198" s="441">
        <f t="array" ref="P198">P196/index(GiveDirectly!$B:$B,match("Units of value generated per philanthropic dollar spent, after accounting for all adjustments",GiveDirectly!$A:$A,0))</f>
        <v>9.882704208</v>
      </c>
    </row>
    <row r="199">
      <c r="A199" s="356" t="s">
        <v>345</v>
      </c>
      <c r="B199" s="124">
        <f t="shared" ref="B199:P199" si="83">iferror((B198-B93)/B93,"N/A")</f>
        <v>0.8749440513</v>
      </c>
      <c r="C199" s="437">
        <f t="shared" si="83"/>
        <v>0.6920714886</v>
      </c>
      <c r="D199" s="437">
        <f t="shared" si="83"/>
        <v>0.9818438781</v>
      </c>
      <c r="E199" s="437">
        <f t="shared" si="83"/>
        <v>0.9868160341</v>
      </c>
      <c r="F199" s="437">
        <f t="shared" si="83"/>
        <v>0.81921614</v>
      </c>
      <c r="G199" s="437">
        <f t="shared" si="83"/>
        <v>0.896467463</v>
      </c>
      <c r="H199" s="437">
        <f t="shared" si="83"/>
        <v>-2.623733166</v>
      </c>
      <c r="I199" s="437">
        <f t="shared" si="83"/>
        <v>0.9321658482</v>
      </c>
      <c r="J199" s="437">
        <f t="shared" si="83"/>
        <v>0.9399393468</v>
      </c>
      <c r="K199" s="437">
        <f t="shared" si="83"/>
        <v>-0.7439080077</v>
      </c>
      <c r="L199" s="437">
        <f t="shared" si="83"/>
        <v>-8.686201475</v>
      </c>
      <c r="M199" s="437">
        <f t="shared" si="83"/>
        <v>0.7804424816</v>
      </c>
      <c r="N199" s="437">
        <f t="shared" si="83"/>
        <v>0.1479333372</v>
      </c>
      <c r="O199" s="124">
        <f t="shared" si="83"/>
        <v>0.9868160341</v>
      </c>
      <c r="P199" s="124">
        <f t="shared" si="83"/>
        <v>0.8380260359</v>
      </c>
    </row>
    <row r="200">
      <c r="B200" s="151"/>
      <c r="O200" s="151"/>
      <c r="P200" s="151"/>
    </row>
  </sheetData>
  <drawing r:id="rId2"/>
  <legacyDrawing r:id="rId3"/>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A86E8"/>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7.29" defaultRowHeight="15.0" outlineLevelRow="1"/>
  <cols>
    <col customWidth="1" min="1" max="1" width="74.57"/>
    <col customWidth="1" min="2" max="41" width="17.29"/>
  </cols>
  <sheetData>
    <row r="1">
      <c r="A1" s="442"/>
      <c r="B1" s="80" t="s">
        <v>381</v>
      </c>
      <c r="C1" s="80" t="s">
        <v>382</v>
      </c>
      <c r="D1" s="80" t="s">
        <v>383</v>
      </c>
      <c r="E1" s="80" t="s">
        <v>384</v>
      </c>
      <c r="F1" s="80" t="s">
        <v>385</v>
      </c>
      <c r="G1" s="80" t="s">
        <v>386</v>
      </c>
      <c r="H1" s="80" t="s">
        <v>387</v>
      </c>
      <c r="I1" s="80" t="s">
        <v>388</v>
      </c>
      <c r="J1" s="80" t="s">
        <v>389</v>
      </c>
      <c r="K1" s="80" t="s">
        <v>390</v>
      </c>
      <c r="L1" s="80" t="s">
        <v>391</v>
      </c>
      <c r="M1" s="80" t="s">
        <v>392</v>
      </c>
      <c r="N1" s="80" t="s">
        <v>393</v>
      </c>
      <c r="O1" s="80" t="s">
        <v>394</v>
      </c>
      <c r="P1" s="80" t="s">
        <v>395</v>
      </c>
      <c r="Q1" s="80" t="s">
        <v>396</v>
      </c>
      <c r="R1" s="80" t="s">
        <v>397</v>
      </c>
      <c r="S1" s="80" t="s">
        <v>398</v>
      </c>
      <c r="T1" s="80" t="s">
        <v>399</v>
      </c>
      <c r="U1" s="80" t="s">
        <v>400</v>
      </c>
      <c r="V1" s="80" t="s">
        <v>401</v>
      </c>
      <c r="W1" s="80" t="s">
        <v>402</v>
      </c>
      <c r="X1" s="80" t="s">
        <v>403</v>
      </c>
      <c r="Y1" s="80" t="s">
        <v>404</v>
      </c>
      <c r="Z1" s="80" t="s">
        <v>405</v>
      </c>
      <c r="AA1" s="80" t="s">
        <v>406</v>
      </c>
      <c r="AB1" s="379" t="s">
        <v>407</v>
      </c>
      <c r="AC1" s="379" t="s">
        <v>408</v>
      </c>
      <c r="AD1" s="443" t="s">
        <v>409</v>
      </c>
      <c r="AE1" s="444" t="s">
        <v>410</v>
      </c>
      <c r="AF1" s="445" t="s">
        <v>411</v>
      </c>
      <c r="AG1" s="443" t="s">
        <v>412</v>
      </c>
      <c r="AH1" s="443" t="s">
        <v>413</v>
      </c>
      <c r="AI1" s="443" t="s">
        <v>414</v>
      </c>
      <c r="AJ1" s="443" t="s">
        <v>415</v>
      </c>
      <c r="AK1" s="443" t="s">
        <v>416</v>
      </c>
      <c r="AL1" s="443" t="s">
        <v>417</v>
      </c>
      <c r="AM1" s="443" t="s">
        <v>418</v>
      </c>
      <c r="AN1" s="443" t="s">
        <v>419</v>
      </c>
      <c r="AO1" s="443" t="s">
        <v>420</v>
      </c>
    </row>
    <row r="2">
      <c r="A2" s="446"/>
      <c r="B2" s="291"/>
      <c r="C2" s="291"/>
      <c r="D2" s="291"/>
      <c r="E2" s="291"/>
      <c r="F2" s="291"/>
      <c r="G2" s="291"/>
      <c r="H2" s="291"/>
      <c r="I2" s="291"/>
      <c r="J2" s="291"/>
      <c r="K2" s="291"/>
      <c r="L2" s="291"/>
      <c r="M2" s="291"/>
      <c r="N2" s="291"/>
      <c r="O2" s="291"/>
      <c r="P2" s="291"/>
      <c r="Q2" s="291"/>
      <c r="R2" s="291"/>
      <c r="S2" s="291"/>
      <c r="T2" s="291"/>
      <c r="U2" s="291"/>
      <c r="V2" s="291"/>
      <c r="W2" s="291"/>
      <c r="X2" s="291"/>
      <c r="Y2" s="291"/>
      <c r="Z2" s="291"/>
      <c r="AA2" s="291"/>
      <c r="AB2" s="291"/>
      <c r="AC2" s="291"/>
      <c r="AD2" s="291"/>
      <c r="AE2" s="291"/>
      <c r="AF2" s="291"/>
      <c r="AG2" s="291"/>
      <c r="AH2" s="291"/>
      <c r="AI2" s="291"/>
      <c r="AJ2" s="291"/>
      <c r="AK2" s="291"/>
      <c r="AL2" s="291"/>
      <c r="AM2" s="291"/>
      <c r="AN2" s="291"/>
      <c r="AO2" s="291"/>
    </row>
    <row r="3">
      <c r="A3" s="291"/>
      <c r="B3" s="291"/>
      <c r="C3" s="291"/>
      <c r="D3" s="291"/>
      <c r="E3" s="291"/>
      <c r="F3" s="291"/>
      <c r="G3" s="291"/>
      <c r="H3" s="291"/>
      <c r="I3" s="291"/>
      <c r="J3" s="291"/>
      <c r="K3" s="291"/>
      <c r="L3" s="291"/>
      <c r="M3" s="291"/>
      <c r="N3" s="291"/>
      <c r="O3" s="291"/>
      <c r="P3" s="291"/>
      <c r="Q3" s="291"/>
      <c r="R3" s="291"/>
      <c r="S3" s="291"/>
      <c r="T3" s="291"/>
      <c r="U3" s="291"/>
      <c r="V3" s="291"/>
      <c r="W3" s="291"/>
      <c r="X3" s="291"/>
      <c r="Y3" s="291"/>
      <c r="Z3" s="291"/>
      <c r="AA3" s="291"/>
      <c r="AB3" s="291"/>
      <c r="AC3" s="291"/>
      <c r="AD3" s="291"/>
      <c r="AE3" s="291"/>
      <c r="AF3" s="291"/>
      <c r="AG3" s="291"/>
      <c r="AH3" s="291"/>
      <c r="AI3" s="291"/>
      <c r="AJ3" s="291"/>
      <c r="AK3" s="291"/>
      <c r="AL3" s="291"/>
      <c r="AM3" s="291"/>
      <c r="AN3" s="291"/>
      <c r="AO3" s="291"/>
    </row>
    <row r="4">
      <c r="A4" s="291"/>
      <c r="B4" s="291"/>
      <c r="C4" s="291"/>
      <c r="D4" s="291"/>
      <c r="E4" s="291"/>
      <c r="F4" s="291"/>
      <c r="G4" s="291"/>
      <c r="H4" s="291"/>
      <c r="I4" s="291"/>
      <c r="J4" s="291"/>
      <c r="K4" s="291"/>
      <c r="L4" s="291"/>
      <c r="M4" s="291"/>
      <c r="N4" s="291"/>
      <c r="O4" s="291"/>
      <c r="P4" s="291"/>
      <c r="Q4" s="291"/>
      <c r="R4" s="291"/>
      <c r="S4" s="291"/>
      <c r="T4" s="291"/>
      <c r="U4" s="291"/>
      <c r="V4" s="291"/>
      <c r="W4" s="291"/>
      <c r="X4" s="291"/>
      <c r="Y4" s="291"/>
      <c r="Z4" s="291"/>
      <c r="AA4" s="291"/>
      <c r="AB4" s="291"/>
      <c r="AC4" s="291"/>
      <c r="AD4" s="291"/>
      <c r="AE4" s="291"/>
      <c r="AF4" s="291"/>
      <c r="AG4" s="291"/>
      <c r="AH4" s="291"/>
      <c r="AI4" s="291"/>
      <c r="AJ4" s="291"/>
      <c r="AK4" s="291"/>
      <c r="AL4" s="291"/>
      <c r="AM4" s="291"/>
      <c r="AN4" s="291"/>
      <c r="AO4" s="291"/>
    </row>
    <row r="5">
      <c r="A5" s="86" t="s">
        <v>87</v>
      </c>
      <c r="B5" s="397"/>
      <c r="C5" s="397"/>
      <c r="D5" s="397"/>
      <c r="E5" s="397"/>
      <c r="F5" s="397"/>
      <c r="G5" s="397"/>
      <c r="H5" s="397"/>
      <c r="I5" s="397"/>
      <c r="J5" s="397"/>
      <c r="K5" s="397"/>
      <c r="L5" s="397"/>
      <c r="M5" s="397"/>
      <c r="N5" s="397"/>
      <c r="O5" s="397"/>
      <c r="P5" s="397"/>
      <c r="Q5" s="397"/>
      <c r="R5" s="397"/>
      <c r="S5" s="397"/>
      <c r="T5" s="397"/>
      <c r="U5" s="397"/>
      <c r="V5" s="397"/>
      <c r="W5" s="397"/>
      <c r="X5" s="397"/>
      <c r="Y5" s="397"/>
      <c r="Z5" s="397"/>
      <c r="AA5" s="397"/>
      <c r="AB5" s="397"/>
      <c r="AC5" s="397"/>
      <c r="AD5" s="397"/>
      <c r="AE5" s="397"/>
      <c r="AF5" s="397"/>
      <c r="AG5" s="397"/>
      <c r="AH5" s="397"/>
      <c r="AI5" s="397"/>
      <c r="AJ5" s="397"/>
      <c r="AK5" s="397"/>
      <c r="AL5" s="397"/>
      <c r="AM5" s="397"/>
      <c r="AN5" s="397"/>
      <c r="AO5" s="397"/>
    </row>
    <row r="6">
      <c r="A6" s="291"/>
      <c r="B6" s="291"/>
      <c r="C6" s="291"/>
      <c r="D6" s="291"/>
      <c r="E6" s="291"/>
      <c r="F6" s="291"/>
      <c r="G6" s="291"/>
      <c r="H6" s="291"/>
      <c r="I6" s="291"/>
      <c r="J6" s="291"/>
      <c r="K6" s="291"/>
      <c r="L6" s="291"/>
      <c r="M6" s="291"/>
      <c r="N6" s="291"/>
      <c r="O6" s="291"/>
      <c r="P6" s="291"/>
      <c r="Q6" s="291"/>
      <c r="R6" s="291"/>
      <c r="S6" s="291"/>
      <c r="T6" s="291"/>
      <c r="U6" s="291"/>
      <c r="V6" s="291"/>
      <c r="W6" s="291"/>
      <c r="X6" s="291"/>
      <c r="Y6" s="291"/>
      <c r="Z6" s="291"/>
      <c r="AA6" s="291"/>
      <c r="AB6" s="291"/>
      <c r="AC6" s="291"/>
      <c r="AD6" s="291"/>
      <c r="AE6" s="291"/>
      <c r="AF6" s="291"/>
      <c r="AG6" s="291"/>
      <c r="AH6" s="291"/>
      <c r="AI6" s="291"/>
      <c r="AJ6" s="291"/>
      <c r="AK6" s="291"/>
      <c r="AL6" s="291"/>
      <c r="AM6" s="291"/>
      <c r="AN6" s="291"/>
      <c r="AO6" s="291"/>
    </row>
    <row r="7">
      <c r="A7" s="91" t="s">
        <v>421</v>
      </c>
      <c r="B7" s="92">
        <v>0.5983684</v>
      </c>
      <c r="C7" s="92">
        <v>0.4287292</v>
      </c>
      <c r="D7" s="92">
        <v>0.5182276</v>
      </c>
      <c r="E7" s="92">
        <v>0.4511091</v>
      </c>
      <c r="F7" s="92">
        <v>0.4511091</v>
      </c>
      <c r="G7" s="92">
        <v>0.4511091</v>
      </c>
      <c r="H7" s="92">
        <v>0.4511091</v>
      </c>
      <c r="I7" s="92">
        <v>0.4511091</v>
      </c>
      <c r="J7" s="92">
        <v>0.4511091</v>
      </c>
      <c r="K7" s="92">
        <v>0.4511091</v>
      </c>
      <c r="L7" s="92">
        <v>0.4511091</v>
      </c>
      <c r="M7" s="92">
        <v>0.4511091</v>
      </c>
      <c r="N7" s="92">
        <v>0.4511091</v>
      </c>
      <c r="O7" s="92">
        <v>0.4511091</v>
      </c>
      <c r="P7" s="92">
        <v>0.4511091</v>
      </c>
      <c r="Q7" s="92">
        <v>0.4511091</v>
      </c>
      <c r="R7" s="92">
        <v>0.4511091</v>
      </c>
      <c r="S7" s="92">
        <v>0.4511091</v>
      </c>
      <c r="T7" s="92">
        <v>0.4511091</v>
      </c>
      <c r="U7" s="92">
        <v>0.466908</v>
      </c>
      <c r="V7" s="92">
        <v>0.466908</v>
      </c>
      <c r="W7" s="92">
        <v>0.466908</v>
      </c>
      <c r="X7" s="92">
        <v>0.466908</v>
      </c>
      <c r="Y7" s="92">
        <v>0.466908</v>
      </c>
      <c r="Z7" s="92">
        <v>0.466908</v>
      </c>
      <c r="AA7" s="92">
        <v>0.466908</v>
      </c>
      <c r="AB7" s="92">
        <v>0.3969397</v>
      </c>
      <c r="AC7" s="92">
        <v>0.3396181</v>
      </c>
      <c r="AD7" s="92">
        <v>0.3396181</v>
      </c>
      <c r="AE7" s="92">
        <v>0.3396181</v>
      </c>
      <c r="AF7" s="92">
        <v>0.3396181</v>
      </c>
      <c r="AG7" s="92">
        <v>0.4020451</v>
      </c>
      <c r="AH7" s="92">
        <v>0.4577311</v>
      </c>
      <c r="AI7" s="92">
        <v>0.4257635</v>
      </c>
      <c r="AJ7" s="92">
        <v>0.4257635</v>
      </c>
      <c r="AK7" s="92">
        <v>0.4257635</v>
      </c>
      <c r="AL7" s="92">
        <v>0.4257635</v>
      </c>
      <c r="AM7" s="92">
        <v>0.4257635</v>
      </c>
      <c r="AN7" s="92">
        <v>0.4257635</v>
      </c>
      <c r="AO7" s="92">
        <v>0.6650286</v>
      </c>
    </row>
    <row r="8">
      <c r="A8" s="91" t="s">
        <v>422</v>
      </c>
      <c r="B8" s="92">
        <v>0.3</v>
      </c>
      <c r="C8" s="92">
        <v>0.3</v>
      </c>
      <c r="D8" s="92">
        <v>0.3</v>
      </c>
      <c r="E8" s="92">
        <v>0.3</v>
      </c>
      <c r="F8" s="92">
        <v>0.3</v>
      </c>
      <c r="G8" s="92">
        <v>0.3</v>
      </c>
      <c r="H8" s="92">
        <v>0.3</v>
      </c>
      <c r="I8" s="92">
        <v>0.3</v>
      </c>
      <c r="J8" s="92">
        <v>0.3</v>
      </c>
      <c r="K8" s="92">
        <v>0.3</v>
      </c>
      <c r="L8" s="92">
        <v>0.3</v>
      </c>
      <c r="M8" s="92">
        <v>0.3</v>
      </c>
      <c r="N8" s="92">
        <v>0.3</v>
      </c>
      <c r="O8" s="92">
        <v>0.3</v>
      </c>
      <c r="P8" s="92">
        <v>0.3</v>
      </c>
      <c r="Q8" s="92">
        <v>0.3</v>
      </c>
      <c r="R8" s="92">
        <v>0.3</v>
      </c>
      <c r="S8" s="92">
        <v>0.3</v>
      </c>
      <c r="T8" s="92">
        <v>0.3</v>
      </c>
      <c r="U8" s="92">
        <v>0.3</v>
      </c>
      <c r="V8" s="92">
        <v>0.3</v>
      </c>
      <c r="W8" s="92">
        <v>0.3</v>
      </c>
      <c r="X8" s="92">
        <v>0.3</v>
      </c>
      <c r="Y8" s="92">
        <v>0.3</v>
      </c>
      <c r="Z8" s="92">
        <v>0.3</v>
      </c>
      <c r="AA8" s="92">
        <v>0.3</v>
      </c>
      <c r="AB8" s="92">
        <v>0.3</v>
      </c>
      <c r="AC8" s="92">
        <v>0.3</v>
      </c>
      <c r="AD8" s="92">
        <v>0.3</v>
      </c>
      <c r="AE8" s="92">
        <v>0.3</v>
      </c>
      <c r="AF8" s="92">
        <v>0.3</v>
      </c>
      <c r="AG8" s="92">
        <v>0.3</v>
      </c>
      <c r="AH8" s="92">
        <v>0.3</v>
      </c>
      <c r="AI8" s="92">
        <v>0.3</v>
      </c>
      <c r="AJ8" s="92">
        <v>0.3</v>
      </c>
      <c r="AK8" s="92">
        <v>0.3</v>
      </c>
      <c r="AL8" s="92">
        <v>0.3</v>
      </c>
      <c r="AM8" s="92">
        <v>0.3</v>
      </c>
      <c r="AN8" s="92">
        <v>0.3</v>
      </c>
      <c r="AO8" s="92">
        <v>0.3</v>
      </c>
    </row>
    <row r="9">
      <c r="A9" s="91" t="s">
        <v>302</v>
      </c>
      <c r="B9" s="92">
        <v>0.1016316</v>
      </c>
      <c r="C9" s="92">
        <v>0.2712708</v>
      </c>
      <c r="D9" s="92">
        <v>0.1817724</v>
      </c>
      <c r="E9" s="92">
        <v>0.2488909</v>
      </c>
      <c r="F9" s="92">
        <v>0.2488909</v>
      </c>
      <c r="G9" s="92">
        <v>0.2488909</v>
      </c>
      <c r="H9" s="92">
        <v>0.2488909</v>
      </c>
      <c r="I9" s="92">
        <v>0.2488909</v>
      </c>
      <c r="J9" s="92">
        <v>0.2488909</v>
      </c>
      <c r="K9" s="92">
        <v>0.2488909</v>
      </c>
      <c r="L9" s="92">
        <v>0.2488909</v>
      </c>
      <c r="M9" s="92">
        <v>0.2488909</v>
      </c>
      <c r="N9" s="92">
        <v>0.2488909</v>
      </c>
      <c r="O9" s="92">
        <v>0.2488909</v>
      </c>
      <c r="P9" s="92">
        <v>0.2488909</v>
      </c>
      <c r="Q9" s="92">
        <v>0.2488909</v>
      </c>
      <c r="R9" s="92">
        <v>0.2488909</v>
      </c>
      <c r="S9" s="92">
        <v>0.2488909</v>
      </c>
      <c r="T9" s="92">
        <v>0.2488909</v>
      </c>
      <c r="U9" s="92">
        <v>0.233092</v>
      </c>
      <c r="V9" s="92">
        <v>0.233092</v>
      </c>
      <c r="W9" s="92">
        <v>0.233092</v>
      </c>
      <c r="X9" s="92">
        <v>0.233092</v>
      </c>
      <c r="Y9" s="92">
        <v>0.233092</v>
      </c>
      <c r="Z9" s="92">
        <v>0.233092</v>
      </c>
      <c r="AA9" s="92">
        <v>0.233092</v>
      </c>
      <c r="AB9" s="92">
        <v>0.3030603</v>
      </c>
      <c r="AC9" s="92">
        <v>0.3603819</v>
      </c>
      <c r="AD9" s="92">
        <v>0.3603819</v>
      </c>
      <c r="AE9" s="92">
        <v>0.3603819</v>
      </c>
      <c r="AF9" s="92">
        <v>0.3603819</v>
      </c>
      <c r="AG9" s="92">
        <v>0.2979549</v>
      </c>
      <c r="AH9" s="92">
        <v>0.2422689</v>
      </c>
      <c r="AI9" s="92">
        <v>0.2742365</v>
      </c>
      <c r="AJ9" s="92">
        <v>0.2742365</v>
      </c>
      <c r="AK9" s="92">
        <v>0.2742365</v>
      </c>
      <c r="AL9" s="92">
        <v>0.2742365</v>
      </c>
      <c r="AM9" s="92">
        <v>0.2742365</v>
      </c>
      <c r="AN9" s="92">
        <v>0.2742365</v>
      </c>
      <c r="AO9" s="92">
        <v>0.0349714</v>
      </c>
    </row>
    <row r="10">
      <c r="A10" s="291"/>
      <c r="B10" s="291"/>
      <c r="C10" s="291"/>
      <c r="D10" s="291"/>
      <c r="E10" s="291"/>
      <c r="F10" s="291"/>
      <c r="G10" s="291"/>
      <c r="H10" s="291"/>
      <c r="I10" s="291"/>
      <c r="J10" s="291"/>
      <c r="K10" s="291"/>
      <c r="L10" s="291"/>
      <c r="M10" s="291"/>
      <c r="N10" s="291"/>
      <c r="O10" s="291"/>
      <c r="P10" s="291"/>
      <c r="Q10" s="291"/>
      <c r="R10" s="291"/>
      <c r="S10" s="291"/>
      <c r="T10" s="291"/>
      <c r="U10" s="291"/>
      <c r="V10" s="291"/>
      <c r="W10" s="291"/>
      <c r="X10" s="291"/>
      <c r="Y10" s="291"/>
      <c r="Z10" s="291"/>
      <c r="AA10" s="291"/>
      <c r="AB10" s="291"/>
      <c r="AC10" s="291"/>
      <c r="AD10" s="291"/>
      <c r="AE10" s="291"/>
      <c r="AF10" s="291"/>
      <c r="AG10" s="291"/>
      <c r="AH10" s="291"/>
      <c r="AI10" s="291"/>
      <c r="AJ10" s="291"/>
      <c r="AK10" s="291"/>
      <c r="AL10" s="291"/>
      <c r="AM10" s="291"/>
      <c r="AN10" s="291"/>
      <c r="AO10" s="291"/>
    </row>
    <row r="11">
      <c r="A11" s="86" t="s">
        <v>423</v>
      </c>
      <c r="B11" s="397"/>
      <c r="C11" s="397"/>
      <c r="D11" s="397"/>
      <c r="E11" s="397"/>
      <c r="F11" s="397"/>
      <c r="G11" s="397"/>
      <c r="H11" s="397"/>
      <c r="I11" s="397"/>
      <c r="J11" s="397"/>
      <c r="K11" s="397"/>
      <c r="L11" s="397"/>
      <c r="M11" s="397"/>
      <c r="N11" s="397"/>
      <c r="O11" s="397"/>
      <c r="P11" s="397"/>
      <c r="Q11" s="397"/>
      <c r="R11" s="397"/>
      <c r="S11" s="397"/>
      <c r="T11" s="397"/>
      <c r="U11" s="397"/>
      <c r="V11" s="397"/>
      <c r="W11" s="397"/>
      <c r="X11" s="397"/>
      <c r="Y11" s="397"/>
      <c r="Z11" s="397"/>
      <c r="AA11" s="397"/>
      <c r="AB11" s="397"/>
      <c r="AC11" s="397"/>
      <c r="AD11" s="397"/>
      <c r="AE11" s="397"/>
      <c r="AF11" s="397"/>
      <c r="AG11" s="397"/>
      <c r="AH11" s="397"/>
      <c r="AI11" s="397"/>
      <c r="AJ11" s="397"/>
      <c r="AK11" s="397"/>
      <c r="AL11" s="397"/>
      <c r="AM11" s="397"/>
      <c r="AN11" s="397"/>
      <c r="AO11" s="397"/>
    </row>
    <row r="12">
      <c r="A12" s="8"/>
      <c r="B12" s="8"/>
      <c r="C12" s="8"/>
      <c r="D12" s="8"/>
      <c r="E12" s="8"/>
      <c r="F12" s="8"/>
      <c r="G12" s="8"/>
      <c r="H12" s="8"/>
      <c r="I12" s="8"/>
      <c r="J12" s="8"/>
      <c r="K12" s="8"/>
      <c r="L12" s="8"/>
      <c r="M12" s="8"/>
      <c r="N12" s="8"/>
      <c r="O12" s="8"/>
      <c r="P12" s="8"/>
      <c r="Q12" s="8"/>
      <c r="R12" s="8"/>
      <c r="S12" s="8"/>
      <c r="T12" s="8"/>
      <c r="U12" s="8"/>
      <c r="V12" s="8"/>
      <c r="W12" s="8"/>
      <c r="X12" s="8"/>
      <c r="Y12" s="8"/>
      <c r="Z12" s="8"/>
      <c r="AA12" s="8"/>
      <c r="AB12" s="8"/>
      <c r="AC12" s="8"/>
      <c r="AD12" s="8"/>
      <c r="AE12" s="8"/>
      <c r="AF12" s="8"/>
      <c r="AG12" s="8"/>
      <c r="AH12" s="8"/>
      <c r="AI12" s="8"/>
      <c r="AJ12" s="8"/>
      <c r="AK12" s="8"/>
      <c r="AL12" s="8"/>
      <c r="AM12" s="8"/>
      <c r="AN12" s="8"/>
      <c r="AO12" s="8"/>
    </row>
    <row r="13">
      <c r="A13" s="91" t="s">
        <v>424</v>
      </c>
      <c r="B13" s="447">
        <v>100000.0</v>
      </c>
      <c r="C13" s="447">
        <v>100000.0</v>
      </c>
      <c r="D13" s="447">
        <v>100000.0</v>
      </c>
      <c r="E13" s="447">
        <v>100000.0</v>
      </c>
      <c r="F13" s="447">
        <v>100000.0</v>
      </c>
      <c r="G13" s="447">
        <v>100000.0</v>
      </c>
      <c r="H13" s="447">
        <v>100000.0</v>
      </c>
      <c r="I13" s="447">
        <v>100000.0</v>
      </c>
      <c r="J13" s="447">
        <v>100000.0</v>
      </c>
      <c r="K13" s="447">
        <v>100000.0</v>
      </c>
      <c r="L13" s="447">
        <v>100000.0</v>
      </c>
      <c r="M13" s="447">
        <v>100000.0</v>
      </c>
      <c r="N13" s="447">
        <v>100000.0</v>
      </c>
      <c r="O13" s="447">
        <v>100000.0</v>
      </c>
      <c r="P13" s="447">
        <v>100000.0</v>
      </c>
      <c r="Q13" s="447">
        <v>100000.0</v>
      </c>
      <c r="R13" s="447">
        <v>100000.0</v>
      </c>
      <c r="S13" s="447">
        <v>100000.0</v>
      </c>
      <c r="T13" s="447">
        <v>100000.0</v>
      </c>
      <c r="U13" s="447">
        <v>100000.0</v>
      </c>
      <c r="V13" s="447">
        <v>100000.0</v>
      </c>
      <c r="W13" s="447">
        <v>100000.0</v>
      </c>
      <c r="X13" s="447">
        <v>100000.0</v>
      </c>
      <c r="Y13" s="447">
        <v>100000.0</v>
      </c>
      <c r="Z13" s="447">
        <v>100000.0</v>
      </c>
      <c r="AA13" s="447">
        <v>100000.0</v>
      </c>
      <c r="AB13" s="447">
        <v>100000.0</v>
      </c>
      <c r="AC13" s="447">
        <v>100000.0</v>
      </c>
      <c r="AD13" s="447">
        <v>100000.0</v>
      </c>
      <c r="AE13" s="447">
        <v>100000.0</v>
      </c>
      <c r="AF13" s="447">
        <v>100000.0</v>
      </c>
      <c r="AG13" s="447">
        <v>100000.0</v>
      </c>
      <c r="AH13" s="447">
        <v>100000.0</v>
      </c>
      <c r="AI13" s="447">
        <v>100000.0</v>
      </c>
      <c r="AJ13" s="447">
        <v>100000.0</v>
      </c>
      <c r="AK13" s="447">
        <v>100000.0</v>
      </c>
      <c r="AL13" s="447">
        <v>100000.0</v>
      </c>
      <c r="AM13" s="447">
        <v>100000.0</v>
      </c>
      <c r="AN13" s="447">
        <v>100000.0</v>
      </c>
      <c r="AO13" s="447">
        <v>100000.0</v>
      </c>
    </row>
    <row r="14">
      <c r="A14" s="91" t="s">
        <v>363</v>
      </c>
      <c r="B14" s="429">
        <f t="shared" ref="B14:AO14" si="1">B13/B7</f>
        <v>167121.1247</v>
      </c>
      <c r="C14" s="429">
        <f t="shared" si="1"/>
        <v>233247.4672</v>
      </c>
      <c r="D14" s="429">
        <f t="shared" si="1"/>
        <v>192965.4075</v>
      </c>
      <c r="E14" s="429">
        <f t="shared" si="1"/>
        <v>221675.8651</v>
      </c>
      <c r="F14" s="429">
        <f t="shared" si="1"/>
        <v>221675.8651</v>
      </c>
      <c r="G14" s="429">
        <f t="shared" si="1"/>
        <v>221675.8651</v>
      </c>
      <c r="H14" s="429">
        <f t="shared" si="1"/>
        <v>221675.8651</v>
      </c>
      <c r="I14" s="429">
        <f t="shared" si="1"/>
        <v>221675.8651</v>
      </c>
      <c r="J14" s="429">
        <f t="shared" si="1"/>
        <v>221675.8651</v>
      </c>
      <c r="K14" s="429">
        <f t="shared" si="1"/>
        <v>221675.8651</v>
      </c>
      <c r="L14" s="429">
        <f t="shared" si="1"/>
        <v>221675.8651</v>
      </c>
      <c r="M14" s="429">
        <f t="shared" si="1"/>
        <v>221675.8651</v>
      </c>
      <c r="N14" s="429">
        <f t="shared" si="1"/>
        <v>221675.8651</v>
      </c>
      <c r="O14" s="429">
        <f t="shared" si="1"/>
        <v>221675.8651</v>
      </c>
      <c r="P14" s="429">
        <f t="shared" si="1"/>
        <v>221675.8651</v>
      </c>
      <c r="Q14" s="429">
        <f t="shared" si="1"/>
        <v>221675.8651</v>
      </c>
      <c r="R14" s="429">
        <f t="shared" si="1"/>
        <v>221675.8651</v>
      </c>
      <c r="S14" s="429">
        <f t="shared" si="1"/>
        <v>221675.8651</v>
      </c>
      <c r="T14" s="429">
        <f t="shared" si="1"/>
        <v>221675.8651</v>
      </c>
      <c r="U14" s="429">
        <f t="shared" si="1"/>
        <v>214174.9552</v>
      </c>
      <c r="V14" s="429">
        <f t="shared" si="1"/>
        <v>214174.9552</v>
      </c>
      <c r="W14" s="429">
        <f t="shared" si="1"/>
        <v>214174.9552</v>
      </c>
      <c r="X14" s="429">
        <f t="shared" si="1"/>
        <v>214174.9552</v>
      </c>
      <c r="Y14" s="429">
        <f t="shared" si="1"/>
        <v>214174.9552</v>
      </c>
      <c r="Z14" s="429">
        <f t="shared" si="1"/>
        <v>214174.9552</v>
      </c>
      <c r="AA14" s="429">
        <f t="shared" si="1"/>
        <v>214174.9552</v>
      </c>
      <c r="AB14" s="429">
        <f t="shared" si="1"/>
        <v>251927.4338</v>
      </c>
      <c r="AC14" s="429">
        <f t="shared" si="1"/>
        <v>294448.3819</v>
      </c>
      <c r="AD14" s="429">
        <f t="shared" si="1"/>
        <v>294448.3819</v>
      </c>
      <c r="AE14" s="429">
        <f t="shared" si="1"/>
        <v>294448.3819</v>
      </c>
      <c r="AF14" s="429">
        <f t="shared" si="1"/>
        <v>294448.3819</v>
      </c>
      <c r="AG14" s="429">
        <f t="shared" si="1"/>
        <v>248728.3143</v>
      </c>
      <c r="AH14" s="429">
        <f t="shared" si="1"/>
        <v>218468.8783</v>
      </c>
      <c r="AI14" s="429">
        <f t="shared" si="1"/>
        <v>234872.1767</v>
      </c>
      <c r="AJ14" s="429">
        <f t="shared" si="1"/>
        <v>234872.1767</v>
      </c>
      <c r="AK14" s="429">
        <f t="shared" si="1"/>
        <v>234872.1767</v>
      </c>
      <c r="AL14" s="429">
        <f t="shared" si="1"/>
        <v>234872.1767</v>
      </c>
      <c r="AM14" s="429">
        <f t="shared" si="1"/>
        <v>234872.1767</v>
      </c>
      <c r="AN14" s="429">
        <f t="shared" si="1"/>
        <v>234872.1767</v>
      </c>
      <c r="AO14" s="429">
        <f t="shared" si="1"/>
        <v>150369.4728</v>
      </c>
    </row>
    <row r="15">
      <c r="A15" s="256" t="s">
        <v>425</v>
      </c>
      <c r="B15" s="257">
        <v>1.0</v>
      </c>
      <c r="C15" s="257">
        <v>1.0</v>
      </c>
      <c r="D15" s="257">
        <v>1.0</v>
      </c>
      <c r="E15" s="257">
        <v>1.0</v>
      </c>
      <c r="F15" s="257">
        <v>1.0</v>
      </c>
      <c r="G15" s="257">
        <v>1.0</v>
      </c>
      <c r="H15" s="257">
        <v>1.0</v>
      </c>
      <c r="I15" s="257">
        <v>1.0</v>
      </c>
      <c r="J15" s="257">
        <v>1.0</v>
      </c>
      <c r="K15" s="257">
        <v>1.0</v>
      </c>
      <c r="L15" s="257">
        <v>1.0</v>
      </c>
      <c r="M15" s="257">
        <v>1.0</v>
      </c>
      <c r="N15" s="257">
        <v>1.0</v>
      </c>
      <c r="O15" s="257">
        <v>1.0</v>
      </c>
      <c r="P15" s="257">
        <v>1.0</v>
      </c>
      <c r="Q15" s="257">
        <v>1.0</v>
      </c>
      <c r="R15" s="257">
        <v>1.0</v>
      </c>
      <c r="S15" s="257">
        <v>1.0</v>
      </c>
      <c r="T15" s="257">
        <v>1.0</v>
      </c>
      <c r="U15" s="257">
        <v>1.0</v>
      </c>
      <c r="V15" s="257">
        <v>1.0</v>
      </c>
      <c r="W15" s="257">
        <v>1.0</v>
      </c>
      <c r="X15" s="257">
        <v>1.0</v>
      </c>
      <c r="Y15" s="257">
        <v>1.0</v>
      </c>
      <c r="Z15" s="257">
        <v>1.0</v>
      </c>
      <c r="AA15" s="257">
        <v>1.0</v>
      </c>
      <c r="AB15" s="257">
        <v>1.0</v>
      </c>
      <c r="AC15" s="257">
        <v>1.0</v>
      </c>
      <c r="AD15" s="257">
        <v>1.0</v>
      </c>
      <c r="AE15" s="257">
        <v>1.0</v>
      </c>
      <c r="AF15" s="257">
        <v>1.0</v>
      </c>
      <c r="AG15" s="257">
        <v>1.0</v>
      </c>
      <c r="AH15" s="257">
        <v>1.0</v>
      </c>
      <c r="AI15" s="257">
        <v>1.0</v>
      </c>
      <c r="AJ15" s="257">
        <v>1.0</v>
      </c>
      <c r="AK15" s="257">
        <v>1.0</v>
      </c>
      <c r="AL15" s="257">
        <v>1.0</v>
      </c>
      <c r="AM15" s="257">
        <v>1.0</v>
      </c>
      <c r="AN15" s="257">
        <v>1.0</v>
      </c>
      <c r="AO15" s="257">
        <v>1.0</v>
      </c>
    </row>
    <row r="16">
      <c r="A16" s="383" t="s">
        <v>426</v>
      </c>
      <c r="B16" s="333">
        <v>0.0503918</v>
      </c>
      <c r="C16" s="333">
        <v>0.1790904</v>
      </c>
      <c r="D16" s="333">
        <v>0.1793355</v>
      </c>
      <c r="E16" s="333">
        <v>0.1502089</v>
      </c>
      <c r="F16" s="333">
        <v>0.107008</v>
      </c>
      <c r="G16" s="333">
        <v>0.0825506</v>
      </c>
      <c r="H16" s="333">
        <v>0.0593199</v>
      </c>
      <c r="I16" s="333">
        <v>0.1232411</v>
      </c>
      <c r="J16" s="333">
        <v>0.0365127</v>
      </c>
      <c r="K16" s="333">
        <v>0.0281174</v>
      </c>
      <c r="L16" s="333">
        <v>0.1976973</v>
      </c>
      <c r="M16" s="333">
        <v>0.0090277</v>
      </c>
      <c r="N16" s="333">
        <v>0.1976973</v>
      </c>
      <c r="O16" s="333">
        <v>0.1761263</v>
      </c>
      <c r="P16" s="333">
        <v>0.019004</v>
      </c>
      <c r="Q16" s="333">
        <v>0.1077984</v>
      </c>
      <c r="R16" s="333">
        <v>0.0628656</v>
      </c>
      <c r="S16" s="333">
        <v>0.0481668</v>
      </c>
      <c r="T16" s="333">
        <v>0.1000329</v>
      </c>
      <c r="U16" s="333">
        <v>0.0382545</v>
      </c>
      <c r="V16" s="333">
        <v>0.1189598</v>
      </c>
      <c r="W16" s="333">
        <v>0.093283</v>
      </c>
      <c r="X16" s="333">
        <v>0.050537</v>
      </c>
      <c r="Y16" s="333">
        <v>0.05922</v>
      </c>
      <c r="Z16" s="333">
        <v>0.0122405</v>
      </c>
      <c r="AA16" s="333">
        <v>0.067867</v>
      </c>
      <c r="AB16" s="333">
        <v>0.0827056</v>
      </c>
      <c r="AC16" s="333">
        <v>0.0861491</v>
      </c>
      <c r="AD16" s="333">
        <v>0.0732903</v>
      </c>
      <c r="AE16" s="333">
        <v>0.1063387</v>
      </c>
      <c r="AF16" s="333">
        <v>0.1069378</v>
      </c>
      <c r="AG16" s="333">
        <v>0.0379111</v>
      </c>
      <c r="AH16" s="333">
        <v>0.0499738</v>
      </c>
      <c r="AI16" s="333">
        <v>0.1794266</v>
      </c>
      <c r="AJ16" s="333">
        <v>0.0927923</v>
      </c>
      <c r="AK16" s="333">
        <v>0.0535485</v>
      </c>
      <c r="AL16" s="333">
        <v>0.1946866</v>
      </c>
      <c r="AM16" s="333">
        <v>0.1230215</v>
      </c>
      <c r="AN16" s="333">
        <v>0.1946866</v>
      </c>
      <c r="AO16" s="333">
        <v>0.013708</v>
      </c>
    </row>
    <row r="17">
      <c r="A17" s="383" t="s">
        <v>366</v>
      </c>
      <c r="B17" s="448">
        <f>'Deworm the World'!$B$27</f>
        <v>0.2062707248</v>
      </c>
      <c r="C17" s="448">
        <f>'Deworm the World'!$B$27</f>
        <v>0.2062707248</v>
      </c>
      <c r="D17" s="448">
        <f>'Deworm the World'!$B$27</f>
        <v>0.2062707248</v>
      </c>
      <c r="E17" s="448">
        <f>'Deworm the World'!$B$27</f>
        <v>0.2062707248</v>
      </c>
      <c r="F17" s="448">
        <f>'Deworm the World'!$B$27</f>
        <v>0.2062707248</v>
      </c>
      <c r="G17" s="448">
        <f>'Deworm the World'!$B$27</f>
        <v>0.2062707248</v>
      </c>
      <c r="H17" s="448">
        <f>'Deworm the World'!$B$27</f>
        <v>0.2062707248</v>
      </c>
      <c r="I17" s="448">
        <f>'Deworm the World'!$B$27</f>
        <v>0.2062707248</v>
      </c>
      <c r="J17" s="448">
        <f>'Deworm the World'!$B$27</f>
        <v>0.2062707248</v>
      </c>
      <c r="K17" s="448">
        <f>'Deworm the World'!$B$27</f>
        <v>0.2062707248</v>
      </c>
      <c r="L17" s="448">
        <f>'Deworm the World'!$B$27</f>
        <v>0.2062707248</v>
      </c>
      <c r="M17" s="448">
        <f>'Deworm the World'!$B$27</f>
        <v>0.2062707248</v>
      </c>
      <c r="N17" s="448">
        <f>'Deworm the World'!$B$27</f>
        <v>0.2062707248</v>
      </c>
      <c r="O17" s="448">
        <f>'Deworm the World'!$B$27</f>
        <v>0.2062707248</v>
      </c>
      <c r="P17" s="448">
        <f>'Deworm the World'!$B$27</f>
        <v>0.2062707248</v>
      </c>
      <c r="Q17" s="448">
        <f>'Deworm the World'!$B$27</f>
        <v>0.2062707248</v>
      </c>
      <c r="R17" s="448">
        <f>'Deworm the World'!$B$27</f>
        <v>0.2062707248</v>
      </c>
      <c r="S17" s="448">
        <f>'Deworm the World'!$B$27</f>
        <v>0.2062707248</v>
      </c>
      <c r="T17" s="448">
        <f>'Deworm the World'!$B$27</f>
        <v>0.2062707248</v>
      </c>
      <c r="U17" s="448">
        <f>'Deworm the World'!$B$27</f>
        <v>0.2062707248</v>
      </c>
      <c r="V17" s="448">
        <f>'Deworm the World'!$B$27</f>
        <v>0.2062707248</v>
      </c>
      <c r="W17" s="448">
        <f>'Deworm the World'!$B$27</f>
        <v>0.2062707248</v>
      </c>
      <c r="X17" s="448">
        <f>'Deworm the World'!$B$27</f>
        <v>0.2062707248</v>
      </c>
      <c r="Y17" s="448">
        <f>'Deworm the World'!$B$27</f>
        <v>0.2062707248</v>
      </c>
      <c r="Z17" s="448">
        <f>'Deworm the World'!$B$27</f>
        <v>0.2062707248</v>
      </c>
      <c r="AA17" s="448">
        <f>'Deworm the World'!$B$27</f>
        <v>0.2062707248</v>
      </c>
      <c r="AB17" s="448">
        <f>'Deworm the World'!$B$27</f>
        <v>0.2062707248</v>
      </c>
      <c r="AC17" s="448">
        <f>'Deworm the World'!$B$27</f>
        <v>0.2062707248</v>
      </c>
      <c r="AD17" s="448">
        <f>'Deworm the World'!$B$27</f>
        <v>0.2062707248</v>
      </c>
      <c r="AE17" s="448">
        <f>'Deworm the World'!$B$27</f>
        <v>0.2062707248</v>
      </c>
      <c r="AF17" s="448">
        <f>'Deworm the World'!$B$27</f>
        <v>0.2062707248</v>
      </c>
      <c r="AG17" s="448">
        <f>'Deworm the World'!$B$27</f>
        <v>0.2062707248</v>
      </c>
      <c r="AH17" s="448">
        <f>'Deworm the World'!$B$27</f>
        <v>0.2062707248</v>
      </c>
      <c r="AI17" s="448">
        <f>'Deworm the World'!$B$27</f>
        <v>0.2062707248</v>
      </c>
      <c r="AJ17" s="448">
        <f>'Deworm the World'!$B$27</f>
        <v>0.2062707248</v>
      </c>
      <c r="AK17" s="448">
        <f>'Deworm the World'!$B$27</f>
        <v>0.2062707248</v>
      </c>
      <c r="AL17" s="448">
        <f>'Deworm the World'!$B$27</f>
        <v>0.2062707248</v>
      </c>
      <c r="AM17" s="448">
        <f>'Deworm the World'!$B$27</f>
        <v>0.2062707248</v>
      </c>
      <c r="AN17" s="448">
        <f>'Deworm the World'!$B$27</f>
        <v>0.2062707248</v>
      </c>
      <c r="AO17" s="448">
        <f>'Deworm the World'!$B$27</f>
        <v>0.2062707248</v>
      </c>
    </row>
    <row r="18">
      <c r="A18" s="449" t="s">
        <v>427</v>
      </c>
      <c r="B18" s="450">
        <f t="shared" ref="B18:AO18" si="2">B16*B15*B17</f>
        <v>0.01039435311</v>
      </c>
      <c r="C18" s="450">
        <f t="shared" si="2"/>
        <v>0.03694110662</v>
      </c>
      <c r="D18" s="450">
        <f t="shared" si="2"/>
        <v>0.03699166357</v>
      </c>
      <c r="E18" s="450">
        <f t="shared" si="2"/>
        <v>0.03098369868</v>
      </c>
      <c r="F18" s="450">
        <f t="shared" si="2"/>
        <v>0.02207261772</v>
      </c>
      <c r="G18" s="450">
        <f t="shared" si="2"/>
        <v>0.0170277721</v>
      </c>
      <c r="H18" s="450">
        <f t="shared" si="2"/>
        <v>0.01223595877</v>
      </c>
      <c r="I18" s="450">
        <f t="shared" si="2"/>
        <v>0.02542103103</v>
      </c>
      <c r="J18" s="450">
        <f t="shared" si="2"/>
        <v>0.007531501095</v>
      </c>
      <c r="K18" s="450">
        <f t="shared" si="2"/>
        <v>0.005799796478</v>
      </c>
      <c r="L18" s="450">
        <f t="shared" si="2"/>
        <v>0.04077916537</v>
      </c>
      <c r="M18" s="450">
        <f t="shared" si="2"/>
        <v>0.001862150223</v>
      </c>
      <c r="N18" s="450">
        <f t="shared" si="2"/>
        <v>0.04077916537</v>
      </c>
      <c r="O18" s="450">
        <f t="shared" si="2"/>
        <v>0.03632969956</v>
      </c>
      <c r="P18" s="450">
        <f t="shared" si="2"/>
        <v>0.003919968855</v>
      </c>
      <c r="Q18" s="450">
        <f t="shared" si="2"/>
        <v>0.0222356541</v>
      </c>
      <c r="R18" s="450">
        <f t="shared" si="2"/>
        <v>0.01296733288</v>
      </c>
      <c r="S18" s="450">
        <f t="shared" si="2"/>
        <v>0.009935400749</v>
      </c>
      <c r="T18" s="450">
        <f t="shared" si="2"/>
        <v>0.02063385879</v>
      </c>
      <c r="U18" s="450">
        <f t="shared" si="2"/>
        <v>0.007890783443</v>
      </c>
      <c r="V18" s="450">
        <f t="shared" si="2"/>
        <v>0.02453792417</v>
      </c>
      <c r="W18" s="450">
        <f t="shared" si="2"/>
        <v>0.01924155202</v>
      </c>
      <c r="X18" s="450">
        <f t="shared" si="2"/>
        <v>0.01042430362</v>
      </c>
      <c r="Y18" s="450">
        <f t="shared" si="2"/>
        <v>0.01221535232</v>
      </c>
      <c r="Z18" s="450">
        <f t="shared" si="2"/>
        <v>0.002524856807</v>
      </c>
      <c r="AA18" s="450">
        <f t="shared" si="2"/>
        <v>0.01399897528</v>
      </c>
      <c r="AB18" s="450">
        <f t="shared" si="2"/>
        <v>0.01705974406</v>
      </c>
      <c r="AC18" s="450">
        <f t="shared" si="2"/>
        <v>0.0177700373</v>
      </c>
      <c r="AD18" s="450">
        <f t="shared" si="2"/>
        <v>0.0151176433</v>
      </c>
      <c r="AE18" s="450">
        <f t="shared" si="2"/>
        <v>0.02193456073</v>
      </c>
      <c r="AF18" s="450">
        <f t="shared" si="2"/>
        <v>0.02205813752</v>
      </c>
      <c r="AG18" s="450">
        <f t="shared" si="2"/>
        <v>0.007819950076</v>
      </c>
      <c r="AH18" s="450">
        <f t="shared" si="2"/>
        <v>0.01030813195</v>
      </c>
      <c r="AI18" s="450">
        <f t="shared" si="2"/>
        <v>0.03701045484</v>
      </c>
      <c r="AJ18" s="450">
        <f t="shared" si="2"/>
        <v>0.01914033498</v>
      </c>
      <c r="AK18" s="450">
        <f t="shared" si="2"/>
        <v>0.01104548791</v>
      </c>
      <c r="AL18" s="450">
        <f t="shared" si="2"/>
        <v>0.0401581461</v>
      </c>
      <c r="AM18" s="450">
        <f t="shared" si="2"/>
        <v>0.02537573398</v>
      </c>
      <c r="AN18" s="450">
        <f t="shared" si="2"/>
        <v>0.0401581461</v>
      </c>
      <c r="AO18" s="450">
        <f t="shared" si="2"/>
        <v>0.002827559096</v>
      </c>
    </row>
    <row r="19">
      <c r="A19" s="285" t="s">
        <v>65</v>
      </c>
      <c r="B19" s="451">
        <f t="array" ref="B19">index('Moral weights and discount rate'!$A$1:$ZU$39,match($A19,'Moral weights and discount rate'!$A$1:$A$39,0),match('Moral weights and discount rate'!$A$17,'Moral weights and discount rate'!$A$1:$ZU$1,0))</f>
        <v>1.442695041</v>
      </c>
      <c r="C19" s="451">
        <f t="array" ref="C19">index('Moral weights and discount rate'!$A$1:$ZU$39,match($A19,'Moral weights and discount rate'!$A$1:$A$39,0),match('Moral weights and discount rate'!$A$17,'Moral weights and discount rate'!$A$1:$ZU$1,0))</f>
        <v>1.442695041</v>
      </c>
      <c r="D19" s="451">
        <f t="array" ref="D19">index('Moral weights and discount rate'!$A$1:$ZU$39,match($A19,'Moral weights and discount rate'!$A$1:$A$39,0),match('Moral weights and discount rate'!$A$17,'Moral weights and discount rate'!$A$1:$ZU$1,0))</f>
        <v>1.442695041</v>
      </c>
      <c r="E19" s="451">
        <f t="array" ref="E19">index('Moral weights and discount rate'!$A$1:$ZU$39,match($A19,'Moral weights and discount rate'!$A$1:$A$39,0),match('Moral weights and discount rate'!$A$17,'Moral weights and discount rate'!$A$1:$ZU$1,0))</f>
        <v>1.442695041</v>
      </c>
      <c r="F19" s="451">
        <f t="array" ref="F19">index('Moral weights and discount rate'!$A$1:$ZU$39,match($A19,'Moral weights and discount rate'!$A$1:$A$39,0),match('Moral weights and discount rate'!$A$17,'Moral weights and discount rate'!$A$1:$ZU$1,0))</f>
        <v>1.442695041</v>
      </c>
      <c r="G19" s="451">
        <f t="array" ref="G19">index('Moral weights and discount rate'!$A$1:$ZU$39,match($A19,'Moral weights and discount rate'!$A$1:$A$39,0),match('Moral weights and discount rate'!$A$17,'Moral weights and discount rate'!$A$1:$ZU$1,0))</f>
        <v>1.442695041</v>
      </c>
      <c r="H19" s="451">
        <f t="array" ref="H19">index('Moral weights and discount rate'!$A$1:$ZU$39,match($A19,'Moral weights and discount rate'!$A$1:$A$39,0),match('Moral weights and discount rate'!$A$17,'Moral weights and discount rate'!$A$1:$ZU$1,0))</f>
        <v>1.442695041</v>
      </c>
      <c r="I19" s="451">
        <f t="array" ref="I19">index('Moral weights and discount rate'!$A$1:$ZU$39,match($A19,'Moral weights and discount rate'!$A$1:$A$39,0),match('Moral weights and discount rate'!$A$17,'Moral weights and discount rate'!$A$1:$ZU$1,0))</f>
        <v>1.442695041</v>
      </c>
      <c r="J19" s="451">
        <f t="array" ref="J19">index('Moral weights and discount rate'!$A$1:$ZU$39,match($A19,'Moral weights and discount rate'!$A$1:$A$39,0),match('Moral weights and discount rate'!$A$17,'Moral weights and discount rate'!$A$1:$ZU$1,0))</f>
        <v>1.442695041</v>
      </c>
      <c r="K19" s="451">
        <f t="array" ref="K19">index('Moral weights and discount rate'!$A$1:$ZU$39,match($A19,'Moral weights and discount rate'!$A$1:$A$39,0),match('Moral weights and discount rate'!$A$17,'Moral weights and discount rate'!$A$1:$ZU$1,0))</f>
        <v>1.442695041</v>
      </c>
      <c r="L19" s="451">
        <f t="array" ref="L19">index('Moral weights and discount rate'!$A$1:$ZU$39,match($A19,'Moral weights and discount rate'!$A$1:$A$39,0),match('Moral weights and discount rate'!$A$17,'Moral weights and discount rate'!$A$1:$ZU$1,0))</f>
        <v>1.442695041</v>
      </c>
      <c r="M19" s="451">
        <f t="array" ref="M19">index('Moral weights and discount rate'!$A$1:$ZU$39,match($A19,'Moral weights and discount rate'!$A$1:$A$39,0),match('Moral weights and discount rate'!$A$17,'Moral weights and discount rate'!$A$1:$ZU$1,0))</f>
        <v>1.442695041</v>
      </c>
      <c r="N19" s="451">
        <f t="array" ref="N19">index('Moral weights and discount rate'!$A$1:$ZU$39,match($A19,'Moral weights and discount rate'!$A$1:$A$39,0),match('Moral weights and discount rate'!$A$17,'Moral weights and discount rate'!$A$1:$ZU$1,0))</f>
        <v>1.442695041</v>
      </c>
      <c r="O19" s="451">
        <f t="array" ref="O19">index('Moral weights and discount rate'!$A$1:$ZU$39,match($A19,'Moral weights and discount rate'!$A$1:$A$39,0),match('Moral weights and discount rate'!$A$17,'Moral weights and discount rate'!$A$1:$ZU$1,0))</f>
        <v>1.442695041</v>
      </c>
      <c r="P19" s="451">
        <f t="array" ref="P19">index('Moral weights and discount rate'!$A$1:$ZU$39,match($A19,'Moral weights and discount rate'!$A$1:$A$39,0),match('Moral weights and discount rate'!$A$17,'Moral weights and discount rate'!$A$1:$ZU$1,0))</f>
        <v>1.442695041</v>
      </c>
      <c r="Q19" s="451">
        <f t="array" ref="Q19">index('Moral weights and discount rate'!$A$1:$ZU$39,match($A19,'Moral weights and discount rate'!$A$1:$A$39,0),match('Moral weights and discount rate'!$A$17,'Moral weights and discount rate'!$A$1:$ZU$1,0))</f>
        <v>1.442695041</v>
      </c>
      <c r="R19" s="451">
        <f t="array" ref="R19">index('Moral weights and discount rate'!$A$1:$ZU$39,match($A19,'Moral weights and discount rate'!$A$1:$A$39,0),match('Moral weights and discount rate'!$A$17,'Moral weights and discount rate'!$A$1:$ZU$1,0))</f>
        <v>1.442695041</v>
      </c>
      <c r="S19" s="451">
        <f t="array" ref="S19">index('Moral weights and discount rate'!$A$1:$ZU$39,match($A19,'Moral weights and discount rate'!$A$1:$A$39,0),match('Moral weights and discount rate'!$A$17,'Moral weights and discount rate'!$A$1:$ZU$1,0))</f>
        <v>1.442695041</v>
      </c>
      <c r="T19" s="451">
        <f t="array" ref="T19">index('Moral weights and discount rate'!$A$1:$ZU$39,match($A19,'Moral weights and discount rate'!$A$1:$A$39,0),match('Moral weights and discount rate'!$A$17,'Moral weights and discount rate'!$A$1:$ZU$1,0))</f>
        <v>1.442695041</v>
      </c>
      <c r="U19" s="451">
        <f t="array" ref="U19">index('Moral weights and discount rate'!$A$1:$ZU$39,match($A19,'Moral weights and discount rate'!$A$1:$A$39,0),match('Moral weights and discount rate'!$A$17,'Moral weights and discount rate'!$A$1:$ZU$1,0))</f>
        <v>1.442695041</v>
      </c>
      <c r="V19" s="451">
        <f t="array" ref="V19">index('Moral weights and discount rate'!$A$1:$ZU$39,match($A19,'Moral weights and discount rate'!$A$1:$A$39,0),match('Moral weights and discount rate'!$A$17,'Moral weights and discount rate'!$A$1:$ZU$1,0))</f>
        <v>1.442695041</v>
      </c>
      <c r="W19" s="451">
        <f t="array" ref="W19">index('Moral weights and discount rate'!$A$1:$ZU$39,match($A19,'Moral weights and discount rate'!$A$1:$A$39,0),match('Moral weights and discount rate'!$A$17,'Moral weights and discount rate'!$A$1:$ZU$1,0))</f>
        <v>1.442695041</v>
      </c>
      <c r="X19" s="451">
        <f t="array" ref="X19">index('Moral weights and discount rate'!$A$1:$ZU$39,match($A19,'Moral weights and discount rate'!$A$1:$A$39,0),match('Moral weights and discount rate'!$A$17,'Moral weights and discount rate'!$A$1:$ZU$1,0))</f>
        <v>1.442695041</v>
      </c>
      <c r="Y19" s="451">
        <f t="array" ref="Y19">index('Moral weights and discount rate'!$A$1:$ZU$39,match($A19,'Moral weights and discount rate'!$A$1:$A$39,0),match('Moral weights and discount rate'!$A$17,'Moral weights and discount rate'!$A$1:$ZU$1,0))</f>
        <v>1.442695041</v>
      </c>
      <c r="Z19" s="451">
        <f t="array" ref="Z19">index('Moral weights and discount rate'!$A$1:$ZU$39,match($A19,'Moral weights and discount rate'!$A$1:$A$39,0),match('Moral weights and discount rate'!$A$17,'Moral weights and discount rate'!$A$1:$ZU$1,0))</f>
        <v>1.442695041</v>
      </c>
      <c r="AA19" s="451">
        <f t="array" ref="AA19">index('Moral weights and discount rate'!$A$1:$ZU$39,match($A19,'Moral weights and discount rate'!$A$1:$A$39,0),match('Moral weights and discount rate'!$A$17,'Moral weights and discount rate'!$A$1:$ZU$1,0))</f>
        <v>1.442695041</v>
      </c>
      <c r="AB19" s="451">
        <f t="array" ref="AB19">index('Moral weights and discount rate'!$A$1:$ZU$39,match($A19,'Moral weights and discount rate'!$A$1:$A$39,0),match('Moral weights and discount rate'!$A$17,'Moral weights and discount rate'!$A$1:$ZU$1,0))</f>
        <v>1.442695041</v>
      </c>
      <c r="AC19" s="451">
        <f t="array" ref="AC19">index('Moral weights and discount rate'!$A$1:$ZU$39,match($A19,'Moral weights and discount rate'!$A$1:$A$39,0),match('Moral weights and discount rate'!$A$17,'Moral weights and discount rate'!$A$1:$ZU$1,0))</f>
        <v>1.442695041</v>
      </c>
      <c r="AD19" s="451">
        <f t="array" ref="AD19">index('Moral weights and discount rate'!$A$1:$ZU$39,match($A19,'Moral weights and discount rate'!$A$1:$A$39,0),match('Moral weights and discount rate'!$A$17,'Moral weights and discount rate'!$A$1:$ZU$1,0))</f>
        <v>1.442695041</v>
      </c>
      <c r="AE19" s="451">
        <f t="array" ref="AE19">index('Moral weights and discount rate'!$A$1:$ZU$39,match($A19,'Moral weights and discount rate'!$A$1:$A$39,0),match('Moral weights and discount rate'!$A$17,'Moral weights and discount rate'!$A$1:$ZU$1,0))</f>
        <v>1.442695041</v>
      </c>
      <c r="AF19" s="451">
        <f t="array" ref="AF19">index('Moral weights and discount rate'!$A$1:$ZU$39,match($A19,'Moral weights and discount rate'!$A$1:$A$39,0),match('Moral weights and discount rate'!$A$17,'Moral weights and discount rate'!$A$1:$ZU$1,0))</f>
        <v>1.442695041</v>
      </c>
      <c r="AG19" s="451">
        <f t="array" ref="AG19">index('Moral weights and discount rate'!$A$1:$ZU$39,match($A19,'Moral weights and discount rate'!$A$1:$A$39,0),match('Moral weights and discount rate'!$A$17,'Moral weights and discount rate'!$A$1:$ZU$1,0))</f>
        <v>1.442695041</v>
      </c>
      <c r="AH19" s="451">
        <f t="array" ref="AH19">index('Moral weights and discount rate'!$A$1:$ZU$39,match($A19,'Moral weights and discount rate'!$A$1:$A$39,0),match('Moral weights and discount rate'!$A$17,'Moral weights and discount rate'!$A$1:$ZU$1,0))</f>
        <v>1.442695041</v>
      </c>
      <c r="AI19" s="451">
        <f t="array" ref="AI19">index('Moral weights and discount rate'!$A$1:$ZU$39,match($A19,'Moral weights and discount rate'!$A$1:$A$39,0),match('Moral weights and discount rate'!$A$17,'Moral weights and discount rate'!$A$1:$ZU$1,0))</f>
        <v>1.442695041</v>
      </c>
      <c r="AJ19" s="451">
        <f t="array" ref="AJ19">index('Moral weights and discount rate'!$A$1:$ZU$39,match($A19,'Moral weights and discount rate'!$A$1:$A$39,0),match('Moral weights and discount rate'!$A$17,'Moral weights and discount rate'!$A$1:$ZU$1,0))</f>
        <v>1.442695041</v>
      </c>
      <c r="AK19" s="451">
        <f t="array" ref="AK19">index('Moral weights and discount rate'!$A$1:$ZU$39,match($A19,'Moral weights and discount rate'!$A$1:$A$39,0),match('Moral weights and discount rate'!$A$17,'Moral weights and discount rate'!$A$1:$ZU$1,0))</f>
        <v>1.442695041</v>
      </c>
      <c r="AL19" s="451">
        <f t="array" ref="AL19">index('Moral weights and discount rate'!$A$1:$ZU$39,match($A19,'Moral weights and discount rate'!$A$1:$A$39,0),match('Moral weights and discount rate'!$A$17,'Moral weights and discount rate'!$A$1:$ZU$1,0))</f>
        <v>1.442695041</v>
      </c>
      <c r="AM19" s="451">
        <f t="array" ref="AM19">index('Moral weights and discount rate'!$A$1:$ZU$39,match($A19,'Moral weights and discount rate'!$A$1:$A$39,0),match('Moral weights and discount rate'!$A$17,'Moral weights and discount rate'!$A$1:$ZU$1,0))</f>
        <v>1.442695041</v>
      </c>
      <c r="AN19" s="451">
        <f t="array" ref="AN19">index('Moral weights and discount rate'!$A$1:$ZU$39,match($A19,'Moral weights and discount rate'!$A$1:$A$39,0),match('Moral weights and discount rate'!$A$17,'Moral weights and discount rate'!$A$1:$ZU$1,0))</f>
        <v>1.442695041</v>
      </c>
      <c r="AO19" s="451">
        <f t="array" ref="AO19">index('Moral weights and discount rate'!$A$1:$ZU$39,match($A19,'Moral weights and discount rate'!$A$1:$A$39,0),match('Moral weights and discount rate'!$A$17,'Moral weights and discount rate'!$A$1:$ZU$1,0))</f>
        <v>1.442695041</v>
      </c>
    </row>
    <row r="20">
      <c r="A20" s="282" t="s">
        <v>428</v>
      </c>
      <c r="B20" s="452">
        <f t="shared" ref="B20:AO20" si="3">(B18*B19)</f>
        <v>0.01499588169</v>
      </c>
      <c r="C20" s="452">
        <f t="shared" si="3"/>
        <v>0.05329475132</v>
      </c>
      <c r="D20" s="452">
        <f t="shared" si="3"/>
        <v>0.05336768959</v>
      </c>
      <c r="E20" s="452">
        <f t="shared" si="3"/>
        <v>0.04470002843</v>
      </c>
      <c r="F20" s="452">
        <f t="shared" si="3"/>
        <v>0.03184405613</v>
      </c>
      <c r="G20" s="452">
        <f t="shared" si="3"/>
        <v>0.02456588236</v>
      </c>
      <c r="H20" s="452">
        <f t="shared" si="3"/>
        <v>0.01765275704</v>
      </c>
      <c r="I20" s="452">
        <f t="shared" si="3"/>
        <v>0.0366747954</v>
      </c>
      <c r="J20" s="452">
        <f t="shared" si="3"/>
        <v>0.01086565928</v>
      </c>
      <c r="K20" s="452">
        <f t="shared" si="3"/>
        <v>0.008367337618</v>
      </c>
      <c r="L20" s="452">
        <f t="shared" si="3"/>
        <v>0.05883189965</v>
      </c>
      <c r="M20" s="452">
        <f t="shared" si="3"/>
        <v>0.002686514892</v>
      </c>
      <c r="N20" s="452">
        <f t="shared" si="3"/>
        <v>0.05883189965</v>
      </c>
      <c r="O20" s="452">
        <f t="shared" si="3"/>
        <v>0.0524126774</v>
      </c>
      <c r="P20" s="452">
        <f t="shared" si="3"/>
        <v>0.005655319627</v>
      </c>
      <c r="Q20" s="452">
        <f t="shared" si="3"/>
        <v>0.03207926791</v>
      </c>
      <c r="R20" s="452">
        <f t="shared" si="3"/>
        <v>0.01870790684</v>
      </c>
      <c r="S20" s="452">
        <f t="shared" si="3"/>
        <v>0.01433375339</v>
      </c>
      <c r="T20" s="452">
        <f t="shared" si="3"/>
        <v>0.02976836575</v>
      </c>
      <c r="U20" s="452">
        <f t="shared" si="3"/>
        <v>0.01138399414</v>
      </c>
      <c r="V20" s="452">
        <f t="shared" si="3"/>
        <v>0.03540074152</v>
      </c>
      <c r="W20" s="452">
        <f t="shared" si="3"/>
        <v>0.02775969169</v>
      </c>
      <c r="X20" s="452">
        <f t="shared" si="3"/>
        <v>0.01503909114</v>
      </c>
      <c r="Y20" s="452">
        <f t="shared" si="3"/>
        <v>0.01762302822</v>
      </c>
      <c r="Z20" s="452">
        <f t="shared" si="3"/>
        <v>0.003642598395</v>
      </c>
      <c r="AA20" s="452">
        <f t="shared" si="3"/>
        <v>0.02019625222</v>
      </c>
      <c r="AB20" s="452">
        <f t="shared" si="3"/>
        <v>0.02461200815</v>
      </c>
      <c r="AC20" s="452">
        <f t="shared" si="3"/>
        <v>0.02563674469</v>
      </c>
      <c r="AD20" s="452">
        <f t="shared" si="3"/>
        <v>0.02181014903</v>
      </c>
      <c r="AE20" s="452">
        <f t="shared" si="3"/>
        <v>0.03164488198</v>
      </c>
      <c r="AF20" s="452">
        <f t="shared" si="3"/>
        <v>0.03182316561</v>
      </c>
      <c r="AG20" s="452">
        <f t="shared" si="3"/>
        <v>0.0112818032</v>
      </c>
      <c r="AH20" s="452">
        <f t="shared" si="3"/>
        <v>0.01487149084</v>
      </c>
      <c r="AI20" s="452">
        <f t="shared" si="3"/>
        <v>0.05339479965</v>
      </c>
      <c r="AJ20" s="452">
        <f t="shared" si="3"/>
        <v>0.02761366636</v>
      </c>
      <c r="AK20" s="452">
        <f t="shared" si="3"/>
        <v>0.01593527063</v>
      </c>
      <c r="AL20" s="452">
        <f t="shared" si="3"/>
        <v>0.05793595823</v>
      </c>
      <c r="AM20" s="452">
        <f t="shared" si="3"/>
        <v>0.03660944557</v>
      </c>
      <c r="AN20" s="452">
        <f t="shared" si="3"/>
        <v>0.05793595823</v>
      </c>
      <c r="AO20" s="452">
        <f t="shared" si="3"/>
        <v>0.004079305486</v>
      </c>
    </row>
    <row r="21">
      <c r="A21" s="351" t="s">
        <v>429</v>
      </c>
      <c r="B21" s="453">
        <v>1.51904</v>
      </c>
      <c r="C21" s="453">
        <v>1.26664</v>
      </c>
      <c r="D21" s="453">
        <v>1.7252</v>
      </c>
      <c r="E21" s="453">
        <v>1.27013</v>
      </c>
      <c r="F21" s="453">
        <v>1.27013</v>
      </c>
      <c r="G21" s="453">
        <v>1.27013</v>
      </c>
      <c r="H21" s="453">
        <v>1.27013</v>
      </c>
      <c r="I21" s="453">
        <v>1.27013</v>
      </c>
      <c r="J21" s="453">
        <v>1.27013</v>
      </c>
      <c r="K21" s="453">
        <v>1.27013</v>
      </c>
      <c r="L21" s="453">
        <v>1.27013</v>
      </c>
      <c r="M21" s="453">
        <v>1.27013</v>
      </c>
      <c r="N21" s="453">
        <v>1.27013</v>
      </c>
      <c r="O21" s="453">
        <v>1.27013</v>
      </c>
      <c r="P21" s="453">
        <v>1.27013</v>
      </c>
      <c r="Q21" s="453">
        <v>1.27013</v>
      </c>
      <c r="R21" s="453">
        <v>1.27013</v>
      </c>
      <c r="S21" s="453">
        <v>1.27013</v>
      </c>
      <c r="T21" s="453">
        <v>1.27013</v>
      </c>
      <c r="U21" s="454">
        <v>0.8544</v>
      </c>
      <c r="V21" s="454">
        <v>0.8544</v>
      </c>
      <c r="W21" s="454">
        <v>0.8544</v>
      </c>
      <c r="X21" s="454">
        <v>0.8544</v>
      </c>
      <c r="Y21" s="454">
        <v>0.8544</v>
      </c>
      <c r="Z21" s="454">
        <v>0.8544</v>
      </c>
      <c r="AA21" s="454">
        <v>0.8544</v>
      </c>
      <c r="AB21" s="455">
        <v>0.93964</v>
      </c>
      <c r="AC21" s="454">
        <v>0.81978</v>
      </c>
      <c r="AD21" s="454">
        <v>0.81978</v>
      </c>
      <c r="AE21" s="454">
        <v>0.81978</v>
      </c>
      <c r="AF21" s="454">
        <v>0.81978</v>
      </c>
      <c r="AG21" s="454">
        <v>1.05855</v>
      </c>
      <c r="AH21" s="454">
        <v>1.41189</v>
      </c>
      <c r="AI21" s="453">
        <v>0.96164</v>
      </c>
      <c r="AJ21" s="453">
        <v>0.96164</v>
      </c>
      <c r="AK21" s="453">
        <v>0.96164</v>
      </c>
      <c r="AL21" s="453">
        <v>0.96164</v>
      </c>
      <c r="AM21" s="453">
        <v>0.96164</v>
      </c>
      <c r="AN21" s="453">
        <v>0.96164</v>
      </c>
      <c r="AO21" s="455">
        <v>5.32065</v>
      </c>
    </row>
    <row r="22">
      <c r="A22" s="43" t="s">
        <v>430</v>
      </c>
      <c r="B22" s="456">
        <f t="shared" ref="B22:AO22" si="4">B14/B21</f>
        <v>110017.5932</v>
      </c>
      <c r="C22" s="456">
        <f t="shared" si="4"/>
        <v>184146.614</v>
      </c>
      <c r="D22" s="456">
        <f t="shared" si="4"/>
        <v>111851.0361</v>
      </c>
      <c r="E22" s="456">
        <f t="shared" si="4"/>
        <v>174530.06</v>
      </c>
      <c r="F22" s="456">
        <f t="shared" si="4"/>
        <v>174530.06</v>
      </c>
      <c r="G22" s="456">
        <f t="shared" si="4"/>
        <v>174530.06</v>
      </c>
      <c r="H22" s="456">
        <f t="shared" si="4"/>
        <v>174530.06</v>
      </c>
      <c r="I22" s="456">
        <f t="shared" si="4"/>
        <v>174530.06</v>
      </c>
      <c r="J22" s="456">
        <f t="shared" si="4"/>
        <v>174530.06</v>
      </c>
      <c r="K22" s="456">
        <f t="shared" si="4"/>
        <v>174530.06</v>
      </c>
      <c r="L22" s="456">
        <f t="shared" si="4"/>
        <v>174530.06</v>
      </c>
      <c r="M22" s="456">
        <f t="shared" si="4"/>
        <v>174530.06</v>
      </c>
      <c r="N22" s="456">
        <f t="shared" si="4"/>
        <v>174530.06</v>
      </c>
      <c r="O22" s="456">
        <f t="shared" si="4"/>
        <v>174530.06</v>
      </c>
      <c r="P22" s="456">
        <f t="shared" si="4"/>
        <v>174530.06</v>
      </c>
      <c r="Q22" s="456">
        <f t="shared" si="4"/>
        <v>174530.06</v>
      </c>
      <c r="R22" s="456">
        <f t="shared" si="4"/>
        <v>174530.06</v>
      </c>
      <c r="S22" s="456">
        <f t="shared" si="4"/>
        <v>174530.06</v>
      </c>
      <c r="T22" s="456">
        <f t="shared" si="4"/>
        <v>174530.06</v>
      </c>
      <c r="U22" s="456">
        <f t="shared" si="4"/>
        <v>250672.9345</v>
      </c>
      <c r="V22" s="456">
        <f t="shared" si="4"/>
        <v>250672.9345</v>
      </c>
      <c r="W22" s="456">
        <f t="shared" si="4"/>
        <v>250672.9345</v>
      </c>
      <c r="X22" s="456">
        <f t="shared" si="4"/>
        <v>250672.9345</v>
      </c>
      <c r="Y22" s="456">
        <f t="shared" si="4"/>
        <v>250672.9345</v>
      </c>
      <c r="Z22" s="456">
        <f t="shared" si="4"/>
        <v>250672.9345</v>
      </c>
      <c r="AA22" s="456">
        <f t="shared" si="4"/>
        <v>250672.9345</v>
      </c>
      <c r="AB22" s="456">
        <f t="shared" si="4"/>
        <v>268110.589</v>
      </c>
      <c r="AC22" s="456">
        <f t="shared" si="4"/>
        <v>359179.7578</v>
      </c>
      <c r="AD22" s="456">
        <f t="shared" si="4"/>
        <v>359179.7578</v>
      </c>
      <c r="AE22" s="456">
        <f t="shared" si="4"/>
        <v>359179.7578</v>
      </c>
      <c r="AF22" s="456">
        <f t="shared" si="4"/>
        <v>359179.7578</v>
      </c>
      <c r="AG22" s="456">
        <f t="shared" si="4"/>
        <v>234970.7754</v>
      </c>
      <c r="AH22" s="456">
        <f t="shared" si="4"/>
        <v>154735.0561</v>
      </c>
      <c r="AI22" s="456">
        <f t="shared" si="4"/>
        <v>244241.2719</v>
      </c>
      <c r="AJ22" s="456">
        <f t="shared" si="4"/>
        <v>244241.2719</v>
      </c>
      <c r="AK22" s="456">
        <f t="shared" si="4"/>
        <v>244241.2719</v>
      </c>
      <c r="AL22" s="456">
        <f t="shared" si="4"/>
        <v>244241.2719</v>
      </c>
      <c r="AM22" s="456">
        <f t="shared" si="4"/>
        <v>244241.2719</v>
      </c>
      <c r="AN22" s="456">
        <f t="shared" si="4"/>
        <v>244241.2719</v>
      </c>
      <c r="AO22" s="456">
        <f t="shared" si="4"/>
        <v>28261.4855</v>
      </c>
    </row>
    <row r="23">
      <c r="A23" s="457"/>
      <c r="B23" s="291"/>
      <c r="C23" s="291"/>
      <c r="D23" s="291"/>
      <c r="E23" s="291"/>
      <c r="F23" s="291"/>
      <c r="G23" s="291"/>
      <c r="H23" s="291"/>
      <c r="I23" s="291"/>
      <c r="J23" s="291"/>
      <c r="K23" s="291"/>
      <c r="L23" s="291"/>
      <c r="M23" s="291"/>
      <c r="N23" s="291"/>
      <c r="O23" s="291"/>
      <c r="P23" s="291"/>
      <c r="Q23" s="291"/>
      <c r="R23" s="291"/>
      <c r="S23" s="291"/>
      <c r="T23" s="291"/>
      <c r="U23" s="291"/>
      <c r="V23" s="291"/>
      <c r="W23" s="291"/>
      <c r="X23" s="291"/>
      <c r="Y23" s="291"/>
      <c r="Z23" s="291"/>
      <c r="AA23" s="291"/>
      <c r="AB23" s="291"/>
      <c r="AC23" s="291"/>
      <c r="AD23" s="291"/>
      <c r="AE23" s="291"/>
      <c r="AF23" s="291"/>
      <c r="AG23" s="291"/>
      <c r="AH23" s="291"/>
      <c r="AI23" s="291"/>
      <c r="AJ23" s="291"/>
      <c r="AK23" s="291"/>
      <c r="AL23" s="291"/>
      <c r="AM23" s="291"/>
      <c r="AN23" s="291"/>
      <c r="AO23" s="291"/>
    </row>
    <row r="24">
      <c r="A24" s="396" t="s">
        <v>311</v>
      </c>
      <c r="B24" s="397"/>
      <c r="C24" s="397"/>
      <c r="D24" s="397"/>
      <c r="E24" s="397"/>
      <c r="F24" s="397"/>
      <c r="G24" s="397"/>
      <c r="H24" s="397"/>
      <c r="I24" s="397"/>
      <c r="J24" s="397"/>
      <c r="K24" s="397"/>
      <c r="L24" s="397"/>
      <c r="M24" s="397"/>
      <c r="N24" s="397"/>
      <c r="O24" s="397"/>
      <c r="P24" s="397"/>
      <c r="Q24" s="397"/>
      <c r="R24" s="397"/>
      <c r="S24" s="397"/>
      <c r="T24" s="397"/>
      <c r="U24" s="397"/>
      <c r="V24" s="397"/>
      <c r="W24" s="397"/>
      <c r="X24" s="397"/>
      <c r="Y24" s="397"/>
      <c r="Z24" s="397"/>
      <c r="AA24" s="397"/>
      <c r="AB24" s="397"/>
      <c r="AC24" s="397"/>
      <c r="AD24" s="397"/>
      <c r="AE24" s="397"/>
      <c r="AF24" s="397"/>
      <c r="AG24" s="397"/>
      <c r="AH24" s="397"/>
      <c r="AI24" s="397"/>
      <c r="AJ24" s="397"/>
      <c r="AK24" s="397"/>
      <c r="AL24" s="397"/>
      <c r="AM24" s="397"/>
      <c r="AN24" s="397"/>
      <c r="AO24" s="397"/>
    </row>
    <row r="25">
      <c r="A25" s="398"/>
      <c r="B25" s="291"/>
      <c r="C25" s="291"/>
      <c r="D25" s="291"/>
      <c r="E25" s="291"/>
      <c r="F25" s="291"/>
      <c r="G25" s="291"/>
      <c r="H25" s="291"/>
      <c r="I25" s="291"/>
      <c r="J25" s="291"/>
      <c r="K25" s="291"/>
      <c r="L25" s="291"/>
      <c r="M25" s="291"/>
      <c r="N25" s="291"/>
      <c r="O25" s="291"/>
      <c r="P25" s="291"/>
      <c r="Q25" s="291"/>
      <c r="R25" s="291"/>
      <c r="S25" s="291"/>
      <c r="T25" s="291"/>
      <c r="U25" s="291"/>
      <c r="V25" s="291"/>
      <c r="W25" s="291"/>
      <c r="X25" s="291"/>
      <c r="Y25" s="291"/>
      <c r="Z25" s="291"/>
      <c r="AA25" s="291"/>
      <c r="AB25" s="291"/>
      <c r="AC25" s="291"/>
      <c r="AD25" s="291"/>
      <c r="AE25" s="291"/>
      <c r="AF25" s="291"/>
      <c r="AG25" s="291"/>
      <c r="AH25" s="291"/>
      <c r="AI25" s="291"/>
      <c r="AJ25" s="291"/>
      <c r="AK25" s="291"/>
      <c r="AL25" s="291"/>
      <c r="AM25" s="291"/>
      <c r="AN25" s="291"/>
      <c r="AO25" s="291"/>
    </row>
    <row r="26">
      <c r="A26" s="43" t="s">
        <v>431</v>
      </c>
      <c r="B26" s="355">
        <f>product('Deworm the World'!$B$11:$B$12,B16)</f>
        <v>0.0058958406</v>
      </c>
      <c r="C26" s="355">
        <f>product('Deworm the World'!$B$11:$B$12,C16)</f>
        <v>0.0209535768</v>
      </c>
      <c r="D26" s="355">
        <f>product('Deworm the World'!$B$11:$B$12,D16)</f>
        <v>0.0209822535</v>
      </c>
      <c r="E26" s="355">
        <f>product('Deworm the World'!$B$11:$B$12,E16)</f>
        <v>0.0175744413</v>
      </c>
      <c r="F26" s="355">
        <f>product('Deworm the World'!$B$11:$B$12,F16)</f>
        <v>0.012519936</v>
      </c>
      <c r="G26" s="355">
        <f>product('Deworm the World'!$B$11:$B$12,G16)</f>
        <v>0.0096584202</v>
      </c>
      <c r="H26" s="355">
        <f>product('Deworm the World'!$B$11:$B$12,H16)</f>
        <v>0.0069404283</v>
      </c>
      <c r="I26" s="355">
        <f>product('Deworm the World'!$B$11:$B$12,I16)</f>
        <v>0.0144192087</v>
      </c>
      <c r="J26" s="355">
        <f>product('Deworm the World'!$B$11:$B$12,J16)</f>
        <v>0.0042719859</v>
      </c>
      <c r="K26" s="355">
        <f>product('Deworm the World'!$B$11:$B$12,K16)</f>
        <v>0.0032897358</v>
      </c>
      <c r="L26" s="355">
        <f>product('Deworm the World'!$B$11:$B$12,L16)</f>
        <v>0.0231305841</v>
      </c>
      <c r="M26" s="355">
        <f>product('Deworm the World'!$B$11:$B$12,M16)</f>
        <v>0.0010562409</v>
      </c>
      <c r="N26" s="355">
        <f>product('Deworm the World'!$B$11:$B$12,N16)</f>
        <v>0.0231305841</v>
      </c>
      <c r="O26" s="355">
        <f>product('Deworm the World'!$B$11:$B$12,O16)</f>
        <v>0.0206067771</v>
      </c>
      <c r="P26" s="355">
        <f>product('Deworm the World'!$B$11:$B$12,P16)</f>
        <v>0.002223468</v>
      </c>
      <c r="Q26" s="355">
        <f>product('Deworm the World'!$B$11:$B$12,Q16)</f>
        <v>0.0126124128</v>
      </c>
      <c r="R26" s="355">
        <f>product('Deworm the World'!$B$11:$B$12,R16)</f>
        <v>0.0073552752</v>
      </c>
      <c r="S26" s="355">
        <f>product('Deworm the World'!$B$11:$B$12,S16)</f>
        <v>0.0056355156</v>
      </c>
      <c r="T26" s="355">
        <f>product('Deworm the World'!$B$11:$B$12,T16)</f>
        <v>0.0117038493</v>
      </c>
      <c r="U26" s="355">
        <f>product('Deworm the World'!$B$11:$B$12,U16)</f>
        <v>0.0044757765</v>
      </c>
      <c r="V26" s="355">
        <f>product('Deworm the World'!$B$11:$B$12,V16)</f>
        <v>0.0139182966</v>
      </c>
      <c r="W26" s="355">
        <f>product('Deworm the World'!$B$11:$B$12,W16)</f>
        <v>0.010914111</v>
      </c>
      <c r="X26" s="355">
        <f>product('Deworm the World'!$B$11:$B$12,X16)</f>
        <v>0.005912829</v>
      </c>
      <c r="Y26" s="355">
        <f>product('Deworm the World'!$B$11:$B$12,Y16)</f>
        <v>0.00692874</v>
      </c>
      <c r="Z26" s="355">
        <f>product('Deworm the World'!$B$11:$B$12,Z16)</f>
        <v>0.0014321385</v>
      </c>
      <c r="AA26" s="355">
        <f>product('Deworm the World'!$B$11:$B$12,AA16)</f>
        <v>0.007940439</v>
      </c>
      <c r="AB26" s="355">
        <f>product('Deworm the World'!$B$11:$B$12,AB16)</f>
        <v>0.0096765552</v>
      </c>
      <c r="AC26" s="355">
        <f>product('Deworm the World'!$B$11:$B$12,AC16)</f>
        <v>0.0100794447</v>
      </c>
      <c r="AD26" s="355">
        <f>product('Deworm the World'!$B$11:$B$12,AD16)</f>
        <v>0.0085749651</v>
      </c>
      <c r="AE26" s="355">
        <f>product('Deworm the World'!$B$11:$B$12,AE16)</f>
        <v>0.0124416279</v>
      </c>
      <c r="AF26" s="355">
        <f>product('Deworm the World'!$B$11:$B$12,AF16)</f>
        <v>0.0125117226</v>
      </c>
      <c r="AG26" s="355">
        <f>product('Deworm the World'!$B$11:$B$12,AG16)</f>
        <v>0.0044355987</v>
      </c>
      <c r="AH26" s="355">
        <f>product('Deworm the World'!$B$11:$B$12,AH16)</f>
        <v>0.0058469346</v>
      </c>
      <c r="AI26" s="355">
        <f>product('Deworm the World'!$B$11:$B$12,AI16)</f>
        <v>0.0209929122</v>
      </c>
      <c r="AJ26" s="355">
        <f>product('Deworm the World'!$B$11:$B$12,AJ16)</f>
        <v>0.0108566991</v>
      </c>
      <c r="AK26" s="355">
        <f>product('Deworm the World'!$B$11:$B$12,AK16)</f>
        <v>0.0062651745</v>
      </c>
      <c r="AL26" s="355">
        <f>product('Deworm the World'!$B$11:$B$12,AL16)</f>
        <v>0.0227783322</v>
      </c>
      <c r="AM26" s="355">
        <f>product('Deworm the World'!$B$11:$B$12,AM16)</f>
        <v>0.0143935155</v>
      </c>
      <c r="AN26" s="355">
        <f>product('Deworm the World'!$B$11:$B$12,AN16)</f>
        <v>0.0227783322</v>
      </c>
      <c r="AO26" s="355">
        <f>product('Deworm the World'!$B$11:$B$12,AO16)</f>
        <v>0.001603836</v>
      </c>
    </row>
    <row r="27">
      <c r="A27" s="457"/>
      <c r="B27" s="291"/>
      <c r="C27" s="291"/>
      <c r="D27" s="291"/>
      <c r="E27" s="291"/>
      <c r="F27" s="291"/>
      <c r="G27" s="291"/>
      <c r="H27" s="291"/>
      <c r="I27" s="291"/>
      <c r="J27" s="291"/>
      <c r="K27" s="291"/>
      <c r="L27" s="291"/>
      <c r="M27" s="291"/>
      <c r="N27" s="291"/>
      <c r="O27" s="291"/>
      <c r="P27" s="291"/>
      <c r="Q27" s="291"/>
      <c r="R27" s="291"/>
      <c r="S27" s="291"/>
      <c r="T27" s="291"/>
      <c r="U27" s="291"/>
      <c r="V27" s="291"/>
      <c r="W27" s="291"/>
      <c r="X27" s="291"/>
      <c r="Y27" s="291"/>
      <c r="Z27" s="291"/>
      <c r="AA27" s="291"/>
      <c r="AB27" s="291"/>
      <c r="AC27" s="291"/>
      <c r="AD27" s="291"/>
      <c r="AE27" s="291"/>
      <c r="AF27" s="291"/>
      <c r="AG27" s="291"/>
      <c r="AH27" s="291"/>
      <c r="AI27" s="291"/>
      <c r="AJ27" s="291"/>
      <c r="AK27" s="291"/>
      <c r="AL27" s="291"/>
      <c r="AM27" s="291"/>
      <c r="AN27" s="291"/>
      <c r="AO27" s="291"/>
    </row>
    <row r="28">
      <c r="A28" s="458" t="s">
        <v>180</v>
      </c>
      <c r="B28" s="397"/>
      <c r="C28" s="397"/>
      <c r="D28" s="397"/>
      <c r="E28" s="397"/>
      <c r="F28" s="397"/>
      <c r="G28" s="397"/>
      <c r="H28" s="397"/>
      <c r="I28" s="397"/>
      <c r="J28" s="397"/>
      <c r="K28" s="397"/>
      <c r="L28" s="397"/>
      <c r="M28" s="397"/>
      <c r="N28" s="397"/>
      <c r="O28" s="397"/>
      <c r="P28" s="397"/>
      <c r="Q28" s="397"/>
      <c r="R28" s="397"/>
      <c r="S28" s="397"/>
      <c r="T28" s="397"/>
      <c r="U28" s="397"/>
      <c r="V28" s="397"/>
      <c r="W28" s="397"/>
      <c r="X28" s="397"/>
      <c r="Y28" s="397"/>
      <c r="Z28" s="397"/>
      <c r="AA28" s="397"/>
      <c r="AB28" s="397"/>
      <c r="AC28" s="397"/>
      <c r="AD28" s="397"/>
      <c r="AE28" s="397"/>
      <c r="AF28" s="397"/>
      <c r="AG28" s="397"/>
      <c r="AH28" s="397"/>
      <c r="AI28" s="397"/>
      <c r="AJ28" s="397"/>
      <c r="AK28" s="397"/>
      <c r="AL28" s="397"/>
      <c r="AM28" s="397"/>
      <c r="AN28" s="397"/>
      <c r="AO28" s="397"/>
    </row>
    <row r="29">
      <c r="A29" s="457"/>
      <c r="B29" s="291"/>
      <c r="C29" s="291"/>
      <c r="D29" s="291"/>
      <c r="E29" s="291"/>
      <c r="F29" s="291"/>
      <c r="G29" s="291"/>
      <c r="H29" s="291"/>
      <c r="I29" s="291"/>
      <c r="J29" s="291"/>
      <c r="K29" s="291"/>
      <c r="L29" s="291"/>
      <c r="M29" s="291"/>
      <c r="N29" s="291"/>
      <c r="O29" s="291"/>
      <c r="P29" s="291"/>
      <c r="Q29" s="291"/>
      <c r="R29" s="291"/>
      <c r="S29" s="291"/>
      <c r="T29" s="291"/>
      <c r="U29" s="291"/>
      <c r="V29" s="291"/>
      <c r="W29" s="291"/>
      <c r="X29" s="291"/>
      <c r="Y29" s="291"/>
      <c r="Z29" s="291"/>
      <c r="AA29" s="291"/>
      <c r="AB29" s="291"/>
      <c r="AC29" s="291"/>
      <c r="AD29" s="291"/>
      <c r="AE29" s="291"/>
      <c r="AF29" s="291"/>
      <c r="AG29" s="291"/>
      <c r="AH29" s="291"/>
      <c r="AI29" s="291"/>
      <c r="AJ29" s="291"/>
      <c r="AK29" s="291"/>
      <c r="AL29" s="291"/>
      <c r="AM29" s="291"/>
      <c r="AN29" s="291"/>
      <c r="AO29" s="291"/>
    </row>
    <row r="30">
      <c r="A30" s="459" t="str">
        <f t="shared" ref="A30:AO30" si="5">A18</f>
        <v>Present value of lifetime benefits from a year of deworming — in terms of increases in ln(consumption)</v>
      </c>
      <c r="B30" s="460">
        <f t="shared" si="5"/>
        <v>0.01039435311</v>
      </c>
      <c r="C30" s="460">
        <f t="shared" si="5"/>
        <v>0.03694110662</v>
      </c>
      <c r="D30" s="460">
        <f t="shared" si="5"/>
        <v>0.03699166357</v>
      </c>
      <c r="E30" s="460">
        <f t="shared" si="5"/>
        <v>0.03098369868</v>
      </c>
      <c r="F30" s="460">
        <f t="shared" si="5"/>
        <v>0.02207261772</v>
      </c>
      <c r="G30" s="460">
        <f t="shared" si="5"/>
        <v>0.0170277721</v>
      </c>
      <c r="H30" s="460">
        <f t="shared" si="5"/>
        <v>0.01223595877</v>
      </c>
      <c r="I30" s="460">
        <f t="shared" si="5"/>
        <v>0.02542103103</v>
      </c>
      <c r="J30" s="460">
        <f t="shared" si="5"/>
        <v>0.007531501095</v>
      </c>
      <c r="K30" s="460">
        <f t="shared" si="5"/>
        <v>0.005799796478</v>
      </c>
      <c r="L30" s="460">
        <f t="shared" si="5"/>
        <v>0.04077916537</v>
      </c>
      <c r="M30" s="460">
        <f t="shared" si="5"/>
        <v>0.001862150223</v>
      </c>
      <c r="N30" s="460">
        <f t="shared" si="5"/>
        <v>0.04077916537</v>
      </c>
      <c r="O30" s="460">
        <f t="shared" si="5"/>
        <v>0.03632969956</v>
      </c>
      <c r="P30" s="460">
        <f t="shared" si="5"/>
        <v>0.003919968855</v>
      </c>
      <c r="Q30" s="460">
        <f t="shared" si="5"/>
        <v>0.0222356541</v>
      </c>
      <c r="R30" s="460">
        <f t="shared" si="5"/>
        <v>0.01296733288</v>
      </c>
      <c r="S30" s="460">
        <f t="shared" si="5"/>
        <v>0.009935400749</v>
      </c>
      <c r="T30" s="460">
        <f t="shared" si="5"/>
        <v>0.02063385879</v>
      </c>
      <c r="U30" s="460">
        <f t="shared" si="5"/>
        <v>0.007890783443</v>
      </c>
      <c r="V30" s="460">
        <f t="shared" si="5"/>
        <v>0.02453792417</v>
      </c>
      <c r="W30" s="460">
        <f t="shared" si="5"/>
        <v>0.01924155202</v>
      </c>
      <c r="X30" s="460">
        <f t="shared" si="5"/>
        <v>0.01042430362</v>
      </c>
      <c r="Y30" s="460">
        <f t="shared" si="5"/>
        <v>0.01221535232</v>
      </c>
      <c r="Z30" s="460">
        <f t="shared" si="5"/>
        <v>0.002524856807</v>
      </c>
      <c r="AA30" s="460">
        <f t="shared" si="5"/>
        <v>0.01399897528</v>
      </c>
      <c r="AB30" s="460">
        <f t="shared" si="5"/>
        <v>0.01705974406</v>
      </c>
      <c r="AC30" s="460">
        <f t="shared" si="5"/>
        <v>0.0177700373</v>
      </c>
      <c r="AD30" s="460">
        <f t="shared" si="5"/>
        <v>0.0151176433</v>
      </c>
      <c r="AE30" s="460">
        <f t="shared" si="5"/>
        <v>0.02193456073</v>
      </c>
      <c r="AF30" s="460">
        <f t="shared" si="5"/>
        <v>0.02205813752</v>
      </c>
      <c r="AG30" s="460">
        <f t="shared" si="5"/>
        <v>0.007819950076</v>
      </c>
      <c r="AH30" s="460">
        <f t="shared" si="5"/>
        <v>0.01030813195</v>
      </c>
      <c r="AI30" s="460">
        <f t="shared" si="5"/>
        <v>0.03701045484</v>
      </c>
      <c r="AJ30" s="460">
        <f t="shared" si="5"/>
        <v>0.01914033498</v>
      </c>
      <c r="AK30" s="460">
        <f t="shared" si="5"/>
        <v>0.01104548791</v>
      </c>
      <c r="AL30" s="460">
        <f t="shared" si="5"/>
        <v>0.0401581461</v>
      </c>
      <c r="AM30" s="460">
        <f t="shared" si="5"/>
        <v>0.02537573398</v>
      </c>
      <c r="AN30" s="460">
        <f t="shared" si="5"/>
        <v>0.0401581461</v>
      </c>
      <c r="AO30" s="460">
        <f t="shared" si="5"/>
        <v>0.002827559096</v>
      </c>
    </row>
    <row r="31">
      <c r="A31" s="342" t="str">
        <f t="shared" ref="A31:AO31" si="6">A19</f>
        <v>Value assigned to increasing ln(consumption) by one unit for one person for one year</v>
      </c>
      <c r="B31" s="343">
        <f t="shared" si="6"/>
        <v>1.442695041</v>
      </c>
      <c r="C31" s="343">
        <f t="shared" si="6"/>
        <v>1.442695041</v>
      </c>
      <c r="D31" s="343">
        <f t="shared" si="6"/>
        <v>1.442695041</v>
      </c>
      <c r="E31" s="343">
        <f t="shared" si="6"/>
        <v>1.442695041</v>
      </c>
      <c r="F31" s="343">
        <f t="shared" si="6"/>
        <v>1.442695041</v>
      </c>
      <c r="G31" s="343">
        <f t="shared" si="6"/>
        <v>1.442695041</v>
      </c>
      <c r="H31" s="343">
        <f t="shared" si="6"/>
        <v>1.442695041</v>
      </c>
      <c r="I31" s="343">
        <f t="shared" si="6"/>
        <v>1.442695041</v>
      </c>
      <c r="J31" s="343">
        <f t="shared" si="6"/>
        <v>1.442695041</v>
      </c>
      <c r="K31" s="343">
        <f t="shared" si="6"/>
        <v>1.442695041</v>
      </c>
      <c r="L31" s="343">
        <f t="shared" si="6"/>
        <v>1.442695041</v>
      </c>
      <c r="M31" s="343">
        <f t="shared" si="6"/>
        <v>1.442695041</v>
      </c>
      <c r="N31" s="343">
        <f t="shared" si="6"/>
        <v>1.442695041</v>
      </c>
      <c r="O31" s="343">
        <f t="shared" si="6"/>
        <v>1.442695041</v>
      </c>
      <c r="P31" s="343">
        <f t="shared" si="6"/>
        <v>1.442695041</v>
      </c>
      <c r="Q31" s="343">
        <f t="shared" si="6"/>
        <v>1.442695041</v>
      </c>
      <c r="R31" s="343">
        <f t="shared" si="6"/>
        <v>1.442695041</v>
      </c>
      <c r="S31" s="343">
        <f t="shared" si="6"/>
        <v>1.442695041</v>
      </c>
      <c r="T31" s="343">
        <f t="shared" si="6"/>
        <v>1.442695041</v>
      </c>
      <c r="U31" s="343">
        <f t="shared" si="6"/>
        <v>1.442695041</v>
      </c>
      <c r="V31" s="343">
        <f t="shared" si="6"/>
        <v>1.442695041</v>
      </c>
      <c r="W31" s="343">
        <f t="shared" si="6"/>
        <v>1.442695041</v>
      </c>
      <c r="X31" s="343">
        <f t="shared" si="6"/>
        <v>1.442695041</v>
      </c>
      <c r="Y31" s="343">
        <f t="shared" si="6"/>
        <v>1.442695041</v>
      </c>
      <c r="Z31" s="343">
        <f t="shared" si="6"/>
        <v>1.442695041</v>
      </c>
      <c r="AA31" s="343">
        <f t="shared" si="6"/>
        <v>1.442695041</v>
      </c>
      <c r="AB31" s="343">
        <f t="shared" si="6"/>
        <v>1.442695041</v>
      </c>
      <c r="AC31" s="343">
        <f t="shared" si="6"/>
        <v>1.442695041</v>
      </c>
      <c r="AD31" s="343">
        <f t="shared" si="6"/>
        <v>1.442695041</v>
      </c>
      <c r="AE31" s="343">
        <f t="shared" si="6"/>
        <v>1.442695041</v>
      </c>
      <c r="AF31" s="343">
        <f t="shared" si="6"/>
        <v>1.442695041</v>
      </c>
      <c r="AG31" s="343">
        <f t="shared" si="6"/>
        <v>1.442695041</v>
      </c>
      <c r="AH31" s="343">
        <f t="shared" si="6"/>
        <v>1.442695041</v>
      </c>
      <c r="AI31" s="343">
        <f t="shared" si="6"/>
        <v>1.442695041</v>
      </c>
      <c r="AJ31" s="343">
        <f t="shared" si="6"/>
        <v>1.442695041</v>
      </c>
      <c r="AK31" s="343">
        <f t="shared" si="6"/>
        <v>1.442695041</v>
      </c>
      <c r="AL31" s="343">
        <f t="shared" si="6"/>
        <v>1.442695041</v>
      </c>
      <c r="AM31" s="343">
        <f t="shared" si="6"/>
        <v>1.442695041</v>
      </c>
      <c r="AN31" s="343">
        <f t="shared" si="6"/>
        <v>1.442695041</v>
      </c>
      <c r="AO31" s="343">
        <f t="shared" si="6"/>
        <v>1.442695041</v>
      </c>
    </row>
    <row r="32">
      <c r="A32" s="400" t="str">
        <f t="shared" ref="A32:AO32" si="7">A22</f>
        <v>Total number of children dewormed (per year)</v>
      </c>
      <c r="B32" s="345">
        <f t="shared" si="7"/>
        <v>110017.5932</v>
      </c>
      <c r="C32" s="345">
        <f t="shared" si="7"/>
        <v>184146.614</v>
      </c>
      <c r="D32" s="345">
        <f t="shared" si="7"/>
        <v>111851.0361</v>
      </c>
      <c r="E32" s="345">
        <f t="shared" si="7"/>
        <v>174530.06</v>
      </c>
      <c r="F32" s="345">
        <f t="shared" si="7"/>
        <v>174530.06</v>
      </c>
      <c r="G32" s="345">
        <f t="shared" si="7"/>
        <v>174530.06</v>
      </c>
      <c r="H32" s="345">
        <f t="shared" si="7"/>
        <v>174530.06</v>
      </c>
      <c r="I32" s="345">
        <f t="shared" si="7"/>
        <v>174530.06</v>
      </c>
      <c r="J32" s="345">
        <f t="shared" si="7"/>
        <v>174530.06</v>
      </c>
      <c r="K32" s="345">
        <f t="shared" si="7"/>
        <v>174530.06</v>
      </c>
      <c r="L32" s="345">
        <f t="shared" si="7"/>
        <v>174530.06</v>
      </c>
      <c r="M32" s="345">
        <f t="shared" si="7"/>
        <v>174530.06</v>
      </c>
      <c r="N32" s="345">
        <f t="shared" si="7"/>
        <v>174530.06</v>
      </c>
      <c r="O32" s="345">
        <f t="shared" si="7"/>
        <v>174530.06</v>
      </c>
      <c r="P32" s="345">
        <f t="shared" si="7"/>
        <v>174530.06</v>
      </c>
      <c r="Q32" s="345">
        <f t="shared" si="7"/>
        <v>174530.06</v>
      </c>
      <c r="R32" s="345">
        <f t="shared" si="7"/>
        <v>174530.06</v>
      </c>
      <c r="S32" s="345">
        <f t="shared" si="7"/>
        <v>174530.06</v>
      </c>
      <c r="T32" s="345">
        <f t="shared" si="7"/>
        <v>174530.06</v>
      </c>
      <c r="U32" s="345">
        <f t="shared" si="7"/>
        <v>250672.9345</v>
      </c>
      <c r="V32" s="345">
        <f t="shared" si="7"/>
        <v>250672.9345</v>
      </c>
      <c r="W32" s="345">
        <f t="shared" si="7"/>
        <v>250672.9345</v>
      </c>
      <c r="X32" s="345">
        <f t="shared" si="7"/>
        <v>250672.9345</v>
      </c>
      <c r="Y32" s="345">
        <f t="shared" si="7"/>
        <v>250672.9345</v>
      </c>
      <c r="Z32" s="345">
        <f t="shared" si="7"/>
        <v>250672.9345</v>
      </c>
      <c r="AA32" s="345">
        <f t="shared" si="7"/>
        <v>250672.9345</v>
      </c>
      <c r="AB32" s="345">
        <f t="shared" si="7"/>
        <v>268110.589</v>
      </c>
      <c r="AC32" s="345">
        <f t="shared" si="7"/>
        <v>359179.7578</v>
      </c>
      <c r="AD32" s="345">
        <f t="shared" si="7"/>
        <v>359179.7578</v>
      </c>
      <c r="AE32" s="345">
        <f t="shared" si="7"/>
        <v>359179.7578</v>
      </c>
      <c r="AF32" s="345">
        <f t="shared" si="7"/>
        <v>359179.7578</v>
      </c>
      <c r="AG32" s="345">
        <f t="shared" si="7"/>
        <v>234970.7754</v>
      </c>
      <c r="AH32" s="345">
        <f t="shared" si="7"/>
        <v>154735.0561</v>
      </c>
      <c r="AI32" s="345">
        <f t="shared" si="7"/>
        <v>244241.2719</v>
      </c>
      <c r="AJ32" s="345">
        <f t="shared" si="7"/>
        <v>244241.2719</v>
      </c>
      <c r="AK32" s="345">
        <f t="shared" si="7"/>
        <v>244241.2719</v>
      </c>
      <c r="AL32" s="345">
        <f t="shared" si="7"/>
        <v>244241.2719</v>
      </c>
      <c r="AM32" s="345">
        <f t="shared" si="7"/>
        <v>244241.2719</v>
      </c>
      <c r="AN32" s="345">
        <f t="shared" si="7"/>
        <v>244241.2719</v>
      </c>
      <c r="AO32" s="345">
        <f t="shared" si="7"/>
        <v>28261.4855</v>
      </c>
    </row>
    <row r="33">
      <c r="A33" s="400" t="s">
        <v>213</v>
      </c>
      <c r="B33" s="416">
        <f t="shared" ref="B33:AO33" si="8">product(B30:B32)</f>
        <v>1649.810811</v>
      </c>
      <c r="C33" s="416">
        <f t="shared" si="8"/>
        <v>9814.048001</v>
      </c>
      <c r="D33" s="416">
        <f t="shared" si="8"/>
        <v>5969.231375</v>
      </c>
      <c r="E33" s="416">
        <f t="shared" si="8"/>
        <v>7801.498644</v>
      </c>
      <c r="F33" s="416">
        <f t="shared" si="8"/>
        <v>5557.745027</v>
      </c>
      <c r="G33" s="416">
        <f t="shared" si="8"/>
        <v>4287.484923</v>
      </c>
      <c r="H33" s="416">
        <f t="shared" si="8"/>
        <v>3080.936745</v>
      </c>
      <c r="I33" s="416">
        <f t="shared" si="8"/>
        <v>6400.854241</v>
      </c>
      <c r="J33" s="416">
        <f t="shared" si="8"/>
        <v>1896.384166</v>
      </c>
      <c r="K33" s="416">
        <f t="shared" si="8"/>
        <v>1460.351936</v>
      </c>
      <c r="L33" s="416">
        <f t="shared" si="8"/>
        <v>10267.93498</v>
      </c>
      <c r="M33" s="416">
        <f t="shared" si="8"/>
        <v>468.8776052</v>
      </c>
      <c r="N33" s="416">
        <f t="shared" si="8"/>
        <v>10267.93498</v>
      </c>
      <c r="O33" s="416">
        <f t="shared" si="8"/>
        <v>9147.587731</v>
      </c>
      <c r="P33" s="416">
        <f t="shared" si="8"/>
        <v>987.0232739</v>
      </c>
      <c r="Q33" s="416">
        <f t="shared" si="8"/>
        <v>5598.796553</v>
      </c>
      <c r="R33" s="416">
        <f t="shared" si="8"/>
        <v>3265.092103</v>
      </c>
      <c r="S33" s="416">
        <f t="shared" si="8"/>
        <v>2501.670839</v>
      </c>
      <c r="T33" s="416">
        <f t="shared" si="8"/>
        <v>5195.474661</v>
      </c>
      <c r="U33" s="416">
        <f t="shared" si="8"/>
        <v>2853.659218</v>
      </c>
      <c r="V33" s="416">
        <f t="shared" si="8"/>
        <v>8874.00776</v>
      </c>
      <c r="W33" s="416">
        <f t="shared" si="8"/>
        <v>6958.603376</v>
      </c>
      <c r="X33" s="416">
        <f t="shared" si="8"/>
        <v>3769.893108</v>
      </c>
      <c r="Y33" s="416">
        <f t="shared" si="8"/>
        <v>4417.616199</v>
      </c>
      <c r="Z33" s="416">
        <f t="shared" si="8"/>
        <v>913.1008289</v>
      </c>
      <c r="AA33" s="416">
        <f t="shared" si="8"/>
        <v>5062.653809</v>
      </c>
      <c r="AB33" s="416">
        <f t="shared" si="8"/>
        <v>6598.740002</v>
      </c>
      <c r="AC33" s="416">
        <f t="shared" si="8"/>
        <v>9208.199749</v>
      </c>
      <c r="AD33" s="416">
        <f t="shared" si="8"/>
        <v>7833.764045</v>
      </c>
      <c r="AE33" s="416">
        <f t="shared" si="8"/>
        <v>11366.20105</v>
      </c>
      <c r="AF33" s="416">
        <f t="shared" si="8"/>
        <v>11430.23692</v>
      </c>
      <c r="AG33" s="416">
        <f t="shared" si="8"/>
        <v>2650.894045</v>
      </c>
      <c r="AH33" s="416">
        <f t="shared" si="8"/>
        <v>2301.14097</v>
      </c>
      <c r="AI33" s="416">
        <f t="shared" si="8"/>
        <v>13041.21378</v>
      </c>
      <c r="AJ33" s="416">
        <f t="shared" si="8"/>
        <v>6744.396992</v>
      </c>
      <c r="AK33" s="416">
        <f t="shared" si="8"/>
        <v>3892.050766</v>
      </c>
      <c r="AL33" s="416">
        <f t="shared" si="8"/>
        <v>14150.35212</v>
      </c>
      <c r="AM33" s="416">
        <f t="shared" si="8"/>
        <v>8941.537548</v>
      </c>
      <c r="AN33" s="416">
        <f t="shared" si="8"/>
        <v>14150.35212</v>
      </c>
      <c r="AO33" s="416">
        <f t="shared" si="8"/>
        <v>115.2872328</v>
      </c>
    </row>
    <row r="34">
      <c r="A34" s="202" t="s">
        <v>183</v>
      </c>
      <c r="B34" s="326">
        <f t="shared" ref="B34:AO34" si="9">B33/B14</f>
        <v>0.00987194655</v>
      </c>
      <c r="C34" s="326">
        <f t="shared" si="9"/>
        <v>0.04207568948</v>
      </c>
      <c r="D34" s="326">
        <f t="shared" si="9"/>
        <v>0.03093420449</v>
      </c>
      <c r="E34" s="326">
        <f t="shared" si="9"/>
        <v>0.03519327032</v>
      </c>
      <c r="F34" s="326">
        <f t="shared" si="9"/>
        <v>0.02507149357</v>
      </c>
      <c r="G34" s="326">
        <f t="shared" si="9"/>
        <v>0.01934123465</v>
      </c>
      <c r="H34" s="326">
        <f t="shared" si="9"/>
        <v>0.01389838602</v>
      </c>
      <c r="I34" s="326">
        <f t="shared" si="9"/>
        <v>0.02887483596</v>
      </c>
      <c r="J34" s="326">
        <f t="shared" si="9"/>
        <v>0.008554761544</v>
      </c>
      <c r="K34" s="326">
        <f t="shared" si="9"/>
        <v>0.006587780477</v>
      </c>
      <c r="L34" s="326">
        <f t="shared" si="9"/>
        <v>0.04631958906</v>
      </c>
      <c r="M34" s="326">
        <f t="shared" si="9"/>
        <v>0.002115149545</v>
      </c>
      <c r="N34" s="326">
        <f t="shared" si="9"/>
        <v>0.04631958906</v>
      </c>
      <c r="O34" s="326">
        <f t="shared" si="9"/>
        <v>0.04126560068</v>
      </c>
      <c r="P34" s="326">
        <f t="shared" si="9"/>
        <v>0.004452551807</v>
      </c>
      <c r="Q34" s="326">
        <f t="shared" si="9"/>
        <v>0.02525668074</v>
      </c>
      <c r="R34" s="326">
        <f t="shared" si="9"/>
        <v>0.0147291276</v>
      </c>
      <c r="S34" s="326">
        <f t="shared" si="9"/>
        <v>0.01128526481</v>
      </c>
      <c r="T34" s="326">
        <f t="shared" si="9"/>
        <v>0.02343725898</v>
      </c>
      <c r="U34" s="326">
        <f t="shared" si="9"/>
        <v>0.01332396318</v>
      </c>
      <c r="V34" s="326">
        <f t="shared" si="9"/>
        <v>0.04143345215</v>
      </c>
      <c r="W34" s="326">
        <f t="shared" si="9"/>
        <v>0.03249027585</v>
      </c>
      <c r="X34" s="326">
        <f t="shared" si="9"/>
        <v>0.01760193251</v>
      </c>
      <c r="Y34" s="326">
        <f t="shared" si="9"/>
        <v>0.02062620344</v>
      </c>
      <c r="Z34" s="326">
        <f t="shared" si="9"/>
        <v>0.004263340818</v>
      </c>
      <c r="AA34" s="326">
        <f t="shared" si="9"/>
        <v>0.02363793565</v>
      </c>
      <c r="AB34" s="326">
        <f t="shared" si="9"/>
        <v>0.02619301877</v>
      </c>
      <c r="AC34" s="326">
        <f t="shared" si="9"/>
        <v>0.03127271303</v>
      </c>
      <c r="AD34" s="326">
        <f t="shared" si="9"/>
        <v>0.02660488061</v>
      </c>
      <c r="AE34" s="326">
        <f t="shared" si="9"/>
        <v>0.03860167604</v>
      </c>
      <c r="AF34" s="326">
        <f t="shared" si="9"/>
        <v>0.03881915344</v>
      </c>
      <c r="AG34" s="326">
        <f t="shared" si="9"/>
        <v>0.01065778961</v>
      </c>
      <c r="AH34" s="326">
        <f t="shared" si="9"/>
        <v>0.01053303787</v>
      </c>
      <c r="AI34" s="326">
        <f t="shared" si="9"/>
        <v>0.05552472823</v>
      </c>
      <c r="AJ34" s="326">
        <f t="shared" si="9"/>
        <v>0.02871518069</v>
      </c>
      <c r="AK34" s="326">
        <f t="shared" si="9"/>
        <v>0.01657093157</v>
      </c>
      <c r="AL34" s="326">
        <f t="shared" si="9"/>
        <v>0.06024703447</v>
      </c>
      <c r="AM34" s="326">
        <f t="shared" si="9"/>
        <v>0.03806980322</v>
      </c>
      <c r="AN34" s="326">
        <f t="shared" si="9"/>
        <v>0.06024703447</v>
      </c>
      <c r="AO34" s="326">
        <f t="shared" si="9"/>
        <v>0.0007666930705</v>
      </c>
    </row>
    <row r="35">
      <c r="A35" s="398"/>
      <c r="B35" s="417"/>
      <c r="C35" s="417"/>
      <c r="D35" s="417"/>
      <c r="E35" s="417"/>
      <c r="F35" s="417"/>
      <c r="G35" s="417"/>
      <c r="H35" s="417"/>
      <c r="I35" s="417"/>
      <c r="J35" s="417"/>
      <c r="K35" s="417"/>
      <c r="L35" s="417"/>
      <c r="M35" s="417"/>
      <c r="N35" s="417"/>
      <c r="O35" s="417"/>
      <c r="P35" s="417"/>
      <c r="Q35" s="417"/>
      <c r="R35" s="417"/>
      <c r="S35" s="417"/>
      <c r="T35" s="417"/>
      <c r="U35" s="417"/>
      <c r="V35" s="417"/>
      <c r="W35" s="417"/>
      <c r="X35" s="417"/>
      <c r="Y35" s="417"/>
      <c r="Z35" s="417"/>
      <c r="AA35" s="417"/>
      <c r="AB35" s="417"/>
      <c r="AC35" s="417"/>
      <c r="AD35" s="417"/>
      <c r="AE35" s="417"/>
      <c r="AF35" s="417"/>
      <c r="AG35" s="417"/>
      <c r="AH35" s="417"/>
      <c r="AI35" s="417"/>
      <c r="AJ35" s="417"/>
      <c r="AK35" s="417"/>
      <c r="AL35" s="417"/>
      <c r="AM35" s="417"/>
      <c r="AN35" s="417"/>
      <c r="AO35" s="417"/>
    </row>
    <row r="36">
      <c r="A36" s="204" t="s">
        <v>184</v>
      </c>
      <c r="B36" s="206">
        <f t="array" ref="B36">B34/index(GiveDirectly!$B:$B,match("Units of value generated per philanthropic dollar spent, after accounting for all adjustments",GiveDirectly!$A:$A,0))</f>
        <v>2.942866797</v>
      </c>
      <c r="C36" s="206">
        <f t="array" ref="C36">C34/index(GiveDirectly!$B:$B,match("Units of value generated per philanthropic dollar spent, after accounting for all adjustments",GiveDirectly!$A:$A,0))</f>
        <v>12.54293152</v>
      </c>
      <c r="D36" s="206">
        <f t="array" ref="D36">D34/index(GiveDirectly!$B:$B,match("Units of value generated per philanthropic dollar spent, after accounting for all adjustments",GiveDirectly!$A:$A,0))</f>
        <v>9.221610229</v>
      </c>
      <c r="E36" s="206">
        <f t="array" ref="E36">E34/index(GiveDirectly!$B:$B,match("Units of value generated per philanthropic dollar spent, after accounting for all adjustments",GiveDirectly!$A:$A,0))</f>
        <v>10.49125481</v>
      </c>
      <c r="F36" s="206">
        <f t="array" ref="F36">F34/index(GiveDirectly!$B:$B,match("Units of value generated per philanthropic dollar spent, after accounting for all adjustments",GiveDirectly!$A:$A,0))</f>
        <v>7.473912627</v>
      </c>
      <c r="G36" s="206">
        <f t="array" ref="G36">G34/index(GiveDirectly!$B:$B,match("Units of value generated per philanthropic dollar spent, after accounting for all adjustments",GiveDirectly!$A:$A,0))</f>
        <v>5.765699496</v>
      </c>
      <c r="H36" s="206">
        <f t="array" ref="H36">H34/index(GiveDirectly!$B:$B,match("Units of value generated per philanthropic dollar spent, after accounting for all adjustments",GiveDirectly!$A:$A,0))</f>
        <v>4.143164526</v>
      </c>
      <c r="I36" s="206">
        <f t="array" ref="I36">I34/index(GiveDirectly!$B:$B,match("Units of value generated per philanthropic dollar spent, after accounting for all adjustments",GiveDirectly!$A:$A,0))</f>
        <v>8.607704223</v>
      </c>
      <c r="J36" s="206">
        <f t="array" ref="J36">J34/index(GiveDirectly!$B:$B,match("Units of value generated per philanthropic dollar spent, after accounting for all adjustments",GiveDirectly!$A:$A,0))</f>
        <v>2.550208672</v>
      </c>
      <c r="K36" s="206">
        <f t="array" ref="K36">K34/index(GiveDirectly!$B:$B,match("Units of value generated per philanthropic dollar spent, after accounting for all adjustments",GiveDirectly!$A:$A,0))</f>
        <v>1.96384374</v>
      </c>
      <c r="L36" s="206">
        <f t="array" ref="L36">L34/index(GiveDirectly!$B:$B,match("Units of value generated per philanthropic dollar spent, after accounting for all adjustments",GiveDirectly!$A:$A,0))</f>
        <v>13.80805498</v>
      </c>
      <c r="M36" s="206">
        <f t="array" ref="M36">M34/index(GiveDirectly!$B:$B,match("Units of value generated per philanthropic dollar spent, after accounting for all adjustments",GiveDirectly!$A:$A,0))</f>
        <v>0.630534549</v>
      </c>
      <c r="N36" s="206">
        <f t="array" ref="N36">N34/index(GiveDirectly!$B:$B,match("Units of value generated per philanthropic dollar spent, after accounting for all adjustments",GiveDirectly!$A:$A,0))</f>
        <v>13.80805498</v>
      </c>
      <c r="O36" s="206">
        <f t="array" ref="O36">O34/index(GiveDirectly!$B:$B,match("Units of value generated per philanthropic dollar spent, after accounting for all adjustments",GiveDirectly!$A:$A,0))</f>
        <v>12.3014408</v>
      </c>
      <c r="P36" s="206">
        <f t="array" ref="P36">P34/index(GiveDirectly!$B:$B,match("Units of value generated per philanthropic dollar spent, after accounting for all adjustments",GiveDirectly!$A:$A,0))</f>
        <v>1.327323523</v>
      </c>
      <c r="Q36" s="206">
        <f t="array" ref="Q36">Q34/index(GiveDirectly!$B:$B,match("Units of value generated per philanthropic dollar spent, after accounting for all adjustments",GiveDirectly!$A:$A,0))</f>
        <v>7.529117663</v>
      </c>
      <c r="R36" s="206">
        <f t="array" ref="R36">R34/index(GiveDirectly!$B:$B,match("Units of value generated per philanthropic dollar spent, after accounting for all adjustments",GiveDirectly!$A:$A,0))</f>
        <v>4.390811917</v>
      </c>
      <c r="S36" s="206">
        <f t="array" ref="S36">S34/index(GiveDirectly!$B:$B,match("Units of value generated per philanthropic dollar spent, after accounting for all adjustments",GiveDirectly!$A:$A,0))</f>
        <v>3.364182629</v>
      </c>
      <c r="T36" s="206">
        <f t="array" ref="T36">T34/index(GiveDirectly!$B:$B,match("Units of value generated per philanthropic dollar spent, after accounting for all adjustments",GiveDirectly!$A:$A,0))</f>
        <v>6.986740752</v>
      </c>
      <c r="U36" s="206">
        <f t="array" ref="U36">U34/index(GiveDirectly!$B:$B,match("Units of value generated per philanthropic dollar spent, after accounting for all adjustments",GiveDirectly!$A:$A,0))</f>
        <v>3.971926777</v>
      </c>
      <c r="V36" s="206">
        <f t="array" ref="V36">V34/index(GiveDirectly!$B:$B,match("Units of value generated per philanthropic dollar spent, after accounting for all adjustments",GiveDirectly!$A:$A,0))</f>
        <v>12.351478</v>
      </c>
      <c r="W36" s="206">
        <f t="array" ref="W36">W34/index(GiveDirectly!$B:$B,match("Units of value generated per philanthropic dollar spent, after accounting for all adjustments",GiveDirectly!$A:$A,0))</f>
        <v>9.685481331</v>
      </c>
      <c r="X36" s="206">
        <f t="array" ref="X36">X34/index(GiveDirectly!$B:$B,match("Units of value generated per philanthropic dollar spent, after accounting for all adjustments",GiveDirectly!$A:$A,0))</f>
        <v>5.247206565</v>
      </c>
      <c r="Y36" s="206">
        <f t="array" ref="Y36">Y34/index(GiveDirectly!$B:$B,match("Units of value generated per philanthropic dollar spent, after accounting for all adjustments",GiveDirectly!$A:$A,0))</f>
        <v>6.14875384</v>
      </c>
      <c r="Z36" s="206">
        <f t="array" ref="Z36">Z34/index(GiveDirectly!$B:$B,match("Units of value generated per philanthropic dollar spent, after accounting for all adjustments",GiveDirectly!$A:$A,0))</f>
        <v>1.27091897</v>
      </c>
      <c r="AA36" s="206">
        <f t="array" ref="AA36">AA34/index(GiveDirectly!$B:$B,match("Units of value generated per philanthropic dollar spent, after accounting for all adjustments",GiveDirectly!$A:$A,0))</f>
        <v>7.04656327</v>
      </c>
      <c r="AB36" s="206">
        <f t="array" ref="AB36">AB34/index(GiveDirectly!$B:$B,match("Units of value generated per philanthropic dollar spent, after accounting for all adjustments",GiveDirectly!$A:$A,0))</f>
        <v>7.808243779</v>
      </c>
      <c r="AC36" s="206">
        <f t="array" ref="AC36">AC34/index(GiveDirectly!$B:$B,match("Units of value generated per philanthropic dollar spent, after accounting for all adjustments",GiveDirectly!$A:$A,0))</f>
        <v>9.32252098</v>
      </c>
      <c r="AD36" s="206">
        <f t="array" ref="AD36">AD34/index(GiveDirectly!$B:$B,match("Units of value generated per philanthropic dollar spent, after accounting for all adjustments",GiveDirectly!$A:$A,0))</f>
        <v>7.931021443</v>
      </c>
      <c r="AE36" s="206">
        <f t="array" ref="AE36">AE34/index(GiveDirectly!$B:$B,match("Units of value generated per philanthropic dollar spent, after accounting for all adjustments",GiveDirectly!$A:$A,0))</f>
        <v>11.5073142</v>
      </c>
      <c r="AF36" s="206">
        <f t="array" ref="AF36">AF34/index(GiveDirectly!$B:$B,match("Units of value generated per philanthropic dollar spent, after accounting for all adjustments",GiveDirectly!$A:$A,0))</f>
        <v>11.57214508</v>
      </c>
      <c r="AG36" s="206">
        <f t="array" ref="AG36">AG34/index(GiveDirectly!$B:$B,match("Units of value generated per philanthropic dollar spent, after accounting for all adjustments",GiveDirectly!$A:$A,0))</f>
        <v>3.177129761</v>
      </c>
      <c r="AH36" s="206">
        <f t="array" ref="AH36">AH34/index(GiveDirectly!$B:$B,match("Units of value generated per philanthropic dollar spent, after accounting for all adjustments",GiveDirectly!$A:$A,0))</f>
        <v>3.139940767</v>
      </c>
      <c r="AI36" s="206">
        <f t="array" ref="AI36">AI34/index(GiveDirectly!$B:$B,match("Units of value generated per philanthropic dollar spent, after accounting for all adjustments",GiveDirectly!$A:$A,0))</f>
        <v>16.55214382</v>
      </c>
      <c r="AJ36" s="206">
        <f t="array" ref="AJ36">AJ34/index(GiveDirectly!$B:$B,match("Units of value generated per philanthropic dollar spent, after accounting for all adjustments",GiveDirectly!$A:$A,0))</f>
        <v>8.560110347</v>
      </c>
      <c r="AK36" s="206">
        <f t="array" ref="AK36">AK34/index(GiveDirectly!$B:$B,match("Units of value generated per philanthropic dollar spent, after accounting for all adjustments",GiveDirectly!$A:$A,0))</f>
        <v>4.939861054</v>
      </c>
      <c r="AL36" s="206">
        <f t="array" ref="AL36">AL34/index(GiveDirectly!$B:$B,match("Units of value generated per philanthropic dollar spent, after accounting for all adjustments",GiveDirectly!$A:$A,0))</f>
        <v>17.95988222</v>
      </c>
      <c r="AM36" s="206">
        <f t="array" ref="AM36">AM34/index(GiveDirectly!$B:$B,match("Units of value generated per philanthropic dollar spent, after accounting for all adjustments",GiveDirectly!$A:$A,0))</f>
        <v>11.34876078</v>
      </c>
      <c r="AN36" s="206">
        <f t="array" ref="AN36">AN34/index(GiveDirectly!$B:$B,match("Units of value generated per philanthropic dollar spent, after accounting for all adjustments",GiveDirectly!$A:$A,0))</f>
        <v>17.95988222</v>
      </c>
      <c r="AO36" s="206">
        <f t="array" ref="AO36">AO34/index(GiveDirectly!$B:$B,match("Units of value generated per philanthropic dollar spent, after accounting for all adjustments",GiveDirectly!$A:$A,0))</f>
        <v>0.2285542744</v>
      </c>
    </row>
    <row r="37">
      <c r="A37" s="457"/>
      <c r="B37" s="291"/>
      <c r="C37" s="291"/>
      <c r="D37" s="291"/>
      <c r="E37" s="291"/>
      <c r="F37" s="291"/>
      <c r="G37" s="291"/>
      <c r="H37" s="291"/>
      <c r="I37" s="291"/>
      <c r="J37" s="291"/>
      <c r="K37" s="291"/>
      <c r="L37" s="291"/>
      <c r="M37" s="291"/>
      <c r="N37" s="291"/>
      <c r="O37" s="291"/>
      <c r="P37" s="291"/>
      <c r="Q37" s="291"/>
      <c r="R37" s="291"/>
      <c r="S37" s="291"/>
      <c r="T37" s="291"/>
      <c r="U37" s="291"/>
      <c r="V37" s="291"/>
      <c r="W37" s="291"/>
      <c r="X37" s="291"/>
      <c r="Y37" s="291"/>
      <c r="Z37" s="291"/>
      <c r="AA37" s="291"/>
      <c r="AB37" s="291"/>
      <c r="AC37" s="291"/>
      <c r="AD37" s="291"/>
      <c r="AE37" s="291"/>
      <c r="AF37" s="291"/>
      <c r="AG37" s="291"/>
      <c r="AH37" s="291"/>
      <c r="AI37" s="291"/>
      <c r="AJ37" s="291"/>
      <c r="AK37" s="291"/>
      <c r="AL37" s="291"/>
      <c r="AM37" s="291"/>
      <c r="AN37" s="291"/>
      <c r="AO37" s="291"/>
    </row>
    <row r="38">
      <c r="A38" s="160" t="s">
        <v>432</v>
      </c>
      <c r="B38" s="208"/>
      <c r="C38" s="208"/>
      <c r="D38" s="208"/>
      <c r="E38" s="208"/>
      <c r="F38" s="208"/>
      <c r="G38" s="208"/>
      <c r="H38" s="208"/>
      <c r="I38" s="208"/>
      <c r="J38" s="208"/>
      <c r="K38" s="208"/>
      <c r="L38" s="208"/>
      <c r="M38" s="208"/>
      <c r="N38" s="208"/>
      <c r="O38" s="208"/>
      <c r="P38" s="208"/>
      <c r="Q38" s="208"/>
      <c r="R38" s="208"/>
      <c r="S38" s="208"/>
      <c r="T38" s="208"/>
      <c r="U38" s="208"/>
      <c r="V38" s="208"/>
      <c r="W38" s="208"/>
      <c r="X38" s="208"/>
      <c r="Y38" s="208"/>
      <c r="Z38" s="208"/>
      <c r="AA38" s="208"/>
      <c r="AB38" s="208"/>
      <c r="AC38" s="208"/>
      <c r="AD38" s="208"/>
      <c r="AE38" s="208"/>
      <c r="AF38" s="208"/>
      <c r="AG38" s="208"/>
      <c r="AH38" s="208"/>
      <c r="AI38" s="208"/>
      <c r="AJ38" s="208"/>
      <c r="AK38" s="208"/>
      <c r="AL38" s="208"/>
      <c r="AM38" s="208"/>
      <c r="AN38" s="208"/>
      <c r="AO38" s="208"/>
    </row>
    <row r="39" outlineLevel="1">
      <c r="A39" s="209"/>
      <c r="B39" s="291"/>
      <c r="C39" s="291"/>
      <c r="D39" s="291"/>
      <c r="E39" s="291"/>
      <c r="F39" s="291"/>
      <c r="G39" s="291"/>
      <c r="H39" s="291"/>
      <c r="I39" s="291"/>
      <c r="J39" s="291"/>
      <c r="K39" s="291"/>
      <c r="L39" s="291"/>
      <c r="M39" s="291"/>
      <c r="N39" s="291"/>
      <c r="O39" s="291"/>
      <c r="P39" s="291"/>
      <c r="Q39" s="291"/>
      <c r="R39" s="291"/>
      <c r="S39" s="291"/>
      <c r="T39" s="291"/>
      <c r="U39" s="291"/>
      <c r="V39" s="291"/>
      <c r="W39" s="291"/>
      <c r="X39" s="291"/>
      <c r="Y39" s="291"/>
      <c r="Z39" s="291"/>
      <c r="AA39" s="291"/>
      <c r="AB39" s="291"/>
      <c r="AC39" s="291"/>
      <c r="AD39" s="291"/>
      <c r="AE39" s="291"/>
      <c r="AF39" s="291"/>
      <c r="AG39" s="291"/>
      <c r="AH39" s="291"/>
      <c r="AI39" s="291"/>
      <c r="AJ39" s="291"/>
      <c r="AK39" s="291"/>
      <c r="AL39" s="291"/>
      <c r="AM39" s="291"/>
      <c r="AN39" s="291"/>
      <c r="AO39" s="291"/>
    </row>
    <row r="40" outlineLevel="1">
      <c r="A40" s="178" t="s">
        <v>189</v>
      </c>
      <c r="B40" s="291"/>
      <c r="C40" s="291"/>
      <c r="D40" s="291"/>
      <c r="E40" s="291"/>
      <c r="F40" s="291"/>
      <c r="G40" s="291"/>
      <c r="H40" s="291"/>
      <c r="I40" s="291"/>
      <c r="J40" s="291"/>
      <c r="K40" s="291"/>
      <c r="L40" s="291"/>
      <c r="M40" s="291"/>
      <c r="N40" s="291"/>
      <c r="O40" s="291"/>
      <c r="P40" s="291"/>
      <c r="Q40" s="291"/>
      <c r="R40" s="291"/>
      <c r="S40" s="291"/>
      <c r="T40" s="291"/>
      <c r="U40" s="291"/>
      <c r="V40" s="291"/>
      <c r="W40" s="291"/>
      <c r="X40" s="291"/>
      <c r="Y40" s="291"/>
      <c r="Z40" s="291"/>
      <c r="AA40" s="291"/>
      <c r="AB40" s="291"/>
      <c r="AC40" s="291"/>
      <c r="AD40" s="291"/>
      <c r="AE40" s="291"/>
      <c r="AF40" s="291"/>
      <c r="AG40" s="291"/>
      <c r="AH40" s="291"/>
      <c r="AI40" s="291"/>
      <c r="AJ40" s="291"/>
      <c r="AK40" s="291"/>
      <c r="AL40" s="291"/>
      <c r="AM40" s="291"/>
      <c r="AN40" s="291"/>
      <c r="AO40" s="291"/>
    </row>
    <row r="41" outlineLevel="1">
      <c r="A41" s="176" t="s">
        <v>190</v>
      </c>
      <c r="B41" s="127">
        <v>0.0</v>
      </c>
      <c r="C41" s="127">
        <v>0.0</v>
      </c>
      <c r="D41" s="127">
        <v>0.0</v>
      </c>
      <c r="E41" s="127">
        <v>0.0</v>
      </c>
      <c r="F41" s="127">
        <v>0.0</v>
      </c>
      <c r="G41" s="127">
        <v>0.0</v>
      </c>
      <c r="H41" s="127">
        <v>0.0</v>
      </c>
      <c r="I41" s="127">
        <v>0.0</v>
      </c>
      <c r="J41" s="127">
        <v>0.0</v>
      </c>
      <c r="K41" s="127">
        <v>0.0</v>
      </c>
      <c r="L41" s="127">
        <v>0.0</v>
      </c>
      <c r="M41" s="127">
        <v>0.0</v>
      </c>
      <c r="N41" s="127">
        <v>0.0</v>
      </c>
      <c r="O41" s="127">
        <v>0.0</v>
      </c>
      <c r="P41" s="127">
        <v>0.0</v>
      </c>
      <c r="Q41" s="127">
        <v>0.0</v>
      </c>
      <c r="R41" s="127">
        <v>0.0</v>
      </c>
      <c r="S41" s="127">
        <v>0.0</v>
      </c>
      <c r="T41" s="127">
        <v>0.0</v>
      </c>
      <c r="U41" s="127">
        <v>0.0</v>
      </c>
      <c r="V41" s="127">
        <v>0.0</v>
      </c>
      <c r="W41" s="127">
        <v>0.0</v>
      </c>
      <c r="X41" s="127">
        <v>0.0</v>
      </c>
      <c r="Y41" s="127">
        <v>0.0</v>
      </c>
      <c r="Z41" s="127">
        <v>0.0</v>
      </c>
      <c r="AA41" s="127">
        <v>0.0</v>
      </c>
      <c r="AB41" s="127">
        <v>0.0</v>
      </c>
      <c r="AC41" s="127">
        <v>0.0</v>
      </c>
      <c r="AD41" s="127">
        <v>0.0</v>
      </c>
      <c r="AE41" s="127">
        <v>0.0</v>
      </c>
      <c r="AF41" s="127">
        <v>0.0</v>
      </c>
      <c r="AG41" s="127">
        <v>0.0</v>
      </c>
      <c r="AH41" s="127">
        <v>0.0</v>
      </c>
      <c r="AI41" s="127">
        <v>0.0</v>
      </c>
      <c r="AJ41" s="127">
        <v>0.0</v>
      </c>
      <c r="AK41" s="127">
        <v>0.0</v>
      </c>
      <c r="AL41" s="127">
        <v>0.0</v>
      </c>
      <c r="AM41" s="127">
        <v>0.0</v>
      </c>
      <c r="AN41" s="127">
        <v>0.0</v>
      </c>
      <c r="AO41" s="127">
        <v>0.0</v>
      </c>
    </row>
    <row r="42" outlineLevel="1">
      <c r="A42" s="176" t="s">
        <v>191</v>
      </c>
      <c r="B42" s="127">
        <v>0.0</v>
      </c>
      <c r="C42" s="127">
        <v>0.0</v>
      </c>
      <c r="D42" s="127">
        <v>0.0</v>
      </c>
      <c r="E42" s="127">
        <v>0.0</v>
      </c>
      <c r="F42" s="127">
        <v>0.0</v>
      </c>
      <c r="G42" s="127">
        <v>0.0</v>
      </c>
      <c r="H42" s="127">
        <v>0.0</v>
      </c>
      <c r="I42" s="127">
        <v>0.0</v>
      </c>
      <c r="J42" s="127">
        <v>0.0</v>
      </c>
      <c r="K42" s="127">
        <v>0.0</v>
      </c>
      <c r="L42" s="127">
        <v>0.0</v>
      </c>
      <c r="M42" s="127">
        <v>0.0</v>
      </c>
      <c r="N42" s="127">
        <v>0.0</v>
      </c>
      <c r="O42" s="127">
        <v>0.0</v>
      </c>
      <c r="P42" s="127">
        <v>0.0</v>
      </c>
      <c r="Q42" s="127">
        <v>0.0</v>
      </c>
      <c r="R42" s="127">
        <v>0.0</v>
      </c>
      <c r="S42" s="127">
        <v>0.0</v>
      </c>
      <c r="T42" s="127">
        <v>0.0</v>
      </c>
      <c r="U42" s="127">
        <v>0.0</v>
      </c>
      <c r="V42" s="127">
        <v>0.0</v>
      </c>
      <c r="W42" s="127">
        <v>0.0</v>
      </c>
      <c r="X42" s="127">
        <v>0.0</v>
      </c>
      <c r="Y42" s="127">
        <v>0.0</v>
      </c>
      <c r="Z42" s="127">
        <v>0.0</v>
      </c>
      <c r="AA42" s="127">
        <v>0.0</v>
      </c>
      <c r="AB42" s="127">
        <v>0.0</v>
      </c>
      <c r="AC42" s="127">
        <v>0.0</v>
      </c>
      <c r="AD42" s="127">
        <v>0.0</v>
      </c>
      <c r="AE42" s="127">
        <v>0.0</v>
      </c>
      <c r="AF42" s="127">
        <v>0.0</v>
      </c>
      <c r="AG42" s="127">
        <v>0.0</v>
      </c>
      <c r="AH42" s="127">
        <v>0.0</v>
      </c>
      <c r="AI42" s="127">
        <v>0.0</v>
      </c>
      <c r="AJ42" s="127">
        <v>0.0</v>
      </c>
      <c r="AK42" s="127">
        <v>0.0</v>
      </c>
      <c r="AL42" s="127">
        <v>0.0</v>
      </c>
      <c r="AM42" s="127">
        <v>0.0</v>
      </c>
      <c r="AN42" s="127">
        <v>0.0</v>
      </c>
      <c r="AO42" s="127">
        <v>0.0</v>
      </c>
    </row>
    <row r="43" outlineLevel="1">
      <c r="A43" s="176" t="s">
        <v>192</v>
      </c>
      <c r="B43" s="214">
        <v>0.0</v>
      </c>
      <c r="C43" s="214">
        <v>0.0</v>
      </c>
      <c r="D43" s="214">
        <v>0.0</v>
      </c>
      <c r="E43" s="214">
        <v>0.0</v>
      </c>
      <c r="F43" s="214">
        <v>0.0</v>
      </c>
      <c r="G43" s="214">
        <v>0.0</v>
      </c>
      <c r="H43" s="214">
        <v>0.0</v>
      </c>
      <c r="I43" s="214">
        <v>0.0</v>
      </c>
      <c r="J43" s="214">
        <v>0.0</v>
      </c>
      <c r="K43" s="214">
        <v>0.0</v>
      </c>
      <c r="L43" s="214">
        <v>0.0</v>
      </c>
      <c r="M43" s="214">
        <v>0.0</v>
      </c>
      <c r="N43" s="214">
        <v>0.0</v>
      </c>
      <c r="O43" s="214">
        <v>0.0</v>
      </c>
      <c r="P43" s="214">
        <v>0.0</v>
      </c>
      <c r="Q43" s="214">
        <v>0.0</v>
      </c>
      <c r="R43" s="214">
        <v>0.0</v>
      </c>
      <c r="S43" s="214">
        <v>0.0</v>
      </c>
      <c r="T43" s="214">
        <v>0.0</v>
      </c>
      <c r="U43" s="214">
        <v>0.0</v>
      </c>
      <c r="V43" s="214">
        <v>0.0</v>
      </c>
      <c r="W43" s="214">
        <v>0.0</v>
      </c>
      <c r="X43" s="214">
        <v>0.0</v>
      </c>
      <c r="Y43" s="214">
        <v>0.0</v>
      </c>
      <c r="Z43" s="214">
        <v>0.0</v>
      </c>
      <c r="AA43" s="214">
        <v>0.0</v>
      </c>
      <c r="AB43" s="214">
        <v>0.0</v>
      </c>
      <c r="AC43" s="214">
        <v>0.0</v>
      </c>
      <c r="AD43" s="214">
        <v>0.0</v>
      </c>
      <c r="AE43" s="214">
        <v>0.0</v>
      </c>
      <c r="AF43" s="214">
        <v>0.0</v>
      </c>
      <c r="AG43" s="214">
        <v>0.0</v>
      </c>
      <c r="AH43" s="214">
        <v>0.0</v>
      </c>
      <c r="AI43" s="214">
        <v>0.0</v>
      </c>
      <c r="AJ43" s="214">
        <v>0.0</v>
      </c>
      <c r="AK43" s="214">
        <v>0.0</v>
      </c>
      <c r="AL43" s="214">
        <v>0.0</v>
      </c>
      <c r="AM43" s="214">
        <v>0.0</v>
      </c>
      <c r="AN43" s="214">
        <v>0.0</v>
      </c>
      <c r="AO43" s="214">
        <v>0.0</v>
      </c>
    </row>
    <row r="44" outlineLevel="1">
      <c r="A44" s="215" t="s">
        <v>193</v>
      </c>
      <c r="B44" s="217">
        <f t="shared" ref="B44:AO44" si="10">SUM(B41:B43)</f>
        <v>0</v>
      </c>
      <c r="C44" s="217">
        <f t="shared" si="10"/>
        <v>0</v>
      </c>
      <c r="D44" s="217">
        <f t="shared" si="10"/>
        <v>0</v>
      </c>
      <c r="E44" s="217">
        <f t="shared" si="10"/>
        <v>0</v>
      </c>
      <c r="F44" s="217">
        <f t="shared" si="10"/>
        <v>0</v>
      </c>
      <c r="G44" s="217">
        <f t="shared" si="10"/>
        <v>0</v>
      </c>
      <c r="H44" s="217">
        <f t="shared" si="10"/>
        <v>0</v>
      </c>
      <c r="I44" s="217">
        <f t="shared" si="10"/>
        <v>0</v>
      </c>
      <c r="J44" s="217">
        <f t="shared" si="10"/>
        <v>0</v>
      </c>
      <c r="K44" s="217">
        <f t="shared" si="10"/>
        <v>0</v>
      </c>
      <c r="L44" s="217">
        <f t="shared" si="10"/>
        <v>0</v>
      </c>
      <c r="M44" s="217">
        <f t="shared" si="10"/>
        <v>0</v>
      </c>
      <c r="N44" s="217">
        <f t="shared" si="10"/>
        <v>0</v>
      </c>
      <c r="O44" s="217">
        <f t="shared" si="10"/>
        <v>0</v>
      </c>
      <c r="P44" s="217">
        <f t="shared" si="10"/>
        <v>0</v>
      </c>
      <c r="Q44" s="217">
        <f t="shared" si="10"/>
        <v>0</v>
      </c>
      <c r="R44" s="217">
        <f t="shared" si="10"/>
        <v>0</v>
      </c>
      <c r="S44" s="217">
        <f t="shared" si="10"/>
        <v>0</v>
      </c>
      <c r="T44" s="217">
        <f t="shared" si="10"/>
        <v>0</v>
      </c>
      <c r="U44" s="217">
        <f t="shared" si="10"/>
        <v>0</v>
      </c>
      <c r="V44" s="217">
        <f t="shared" si="10"/>
        <v>0</v>
      </c>
      <c r="W44" s="217">
        <f t="shared" si="10"/>
        <v>0</v>
      </c>
      <c r="X44" s="217">
        <f t="shared" si="10"/>
        <v>0</v>
      </c>
      <c r="Y44" s="217">
        <f t="shared" si="10"/>
        <v>0</v>
      </c>
      <c r="Z44" s="217">
        <f t="shared" si="10"/>
        <v>0</v>
      </c>
      <c r="AA44" s="217">
        <f t="shared" si="10"/>
        <v>0</v>
      </c>
      <c r="AB44" s="217">
        <f t="shared" si="10"/>
        <v>0</v>
      </c>
      <c r="AC44" s="217">
        <f t="shared" si="10"/>
        <v>0</v>
      </c>
      <c r="AD44" s="217">
        <f t="shared" si="10"/>
        <v>0</v>
      </c>
      <c r="AE44" s="217">
        <f t="shared" si="10"/>
        <v>0</v>
      </c>
      <c r="AF44" s="217">
        <f t="shared" si="10"/>
        <v>0</v>
      </c>
      <c r="AG44" s="217">
        <f t="shared" si="10"/>
        <v>0</v>
      </c>
      <c r="AH44" s="217">
        <f t="shared" si="10"/>
        <v>0</v>
      </c>
      <c r="AI44" s="217">
        <f t="shared" si="10"/>
        <v>0</v>
      </c>
      <c r="AJ44" s="217">
        <f t="shared" si="10"/>
        <v>0</v>
      </c>
      <c r="AK44" s="217">
        <f t="shared" si="10"/>
        <v>0</v>
      </c>
      <c r="AL44" s="217">
        <f t="shared" si="10"/>
        <v>0</v>
      </c>
      <c r="AM44" s="217">
        <f t="shared" si="10"/>
        <v>0</v>
      </c>
      <c r="AN44" s="217">
        <f t="shared" si="10"/>
        <v>0</v>
      </c>
      <c r="AO44" s="217">
        <f t="shared" si="10"/>
        <v>0</v>
      </c>
    </row>
    <row r="45" outlineLevel="1">
      <c r="A45" s="176"/>
      <c r="B45" s="210"/>
      <c r="C45" s="210"/>
      <c r="D45" s="210"/>
      <c r="E45" s="210"/>
      <c r="F45" s="210"/>
      <c r="G45" s="210"/>
      <c r="H45" s="210"/>
      <c r="I45" s="210"/>
      <c r="J45" s="210"/>
      <c r="K45" s="210"/>
      <c r="L45" s="210"/>
      <c r="M45" s="210"/>
      <c r="N45" s="210"/>
      <c r="O45" s="210"/>
      <c r="P45" s="210"/>
      <c r="Q45" s="210"/>
      <c r="R45" s="210"/>
      <c r="S45" s="210"/>
      <c r="T45" s="210"/>
      <c r="U45" s="210"/>
      <c r="V45" s="210"/>
      <c r="W45" s="210"/>
      <c r="X45" s="210"/>
      <c r="Y45" s="210"/>
      <c r="Z45" s="210"/>
      <c r="AA45" s="210"/>
      <c r="AB45" s="210"/>
      <c r="AC45" s="210"/>
      <c r="AD45" s="210"/>
      <c r="AE45" s="210"/>
      <c r="AF45" s="210"/>
      <c r="AG45" s="210"/>
      <c r="AH45" s="210"/>
      <c r="AI45" s="210"/>
      <c r="AJ45" s="210"/>
      <c r="AK45" s="210"/>
      <c r="AL45" s="210"/>
      <c r="AM45" s="210"/>
      <c r="AN45" s="210"/>
      <c r="AO45" s="210"/>
    </row>
    <row r="46" outlineLevel="1">
      <c r="A46" s="178" t="s">
        <v>194</v>
      </c>
      <c r="B46" s="210"/>
      <c r="C46" s="210"/>
      <c r="D46" s="210"/>
      <c r="E46" s="210"/>
      <c r="F46" s="210"/>
      <c r="G46" s="210"/>
      <c r="H46" s="210"/>
      <c r="I46" s="210"/>
      <c r="J46" s="210"/>
      <c r="K46" s="210"/>
      <c r="L46" s="210"/>
      <c r="M46" s="210"/>
      <c r="N46" s="210"/>
      <c r="O46" s="210"/>
      <c r="P46" s="210"/>
      <c r="Q46" s="210"/>
      <c r="R46" s="210"/>
      <c r="S46" s="210"/>
      <c r="T46" s="210"/>
      <c r="U46" s="210"/>
      <c r="V46" s="210"/>
      <c r="W46" s="210"/>
      <c r="X46" s="210"/>
      <c r="Y46" s="210"/>
      <c r="Z46" s="210"/>
      <c r="AA46" s="210"/>
      <c r="AB46" s="210"/>
      <c r="AC46" s="210"/>
      <c r="AD46" s="210"/>
      <c r="AE46" s="210"/>
      <c r="AF46" s="210"/>
      <c r="AG46" s="210"/>
      <c r="AH46" s="210"/>
      <c r="AI46" s="210"/>
      <c r="AJ46" s="210"/>
      <c r="AK46" s="210"/>
      <c r="AL46" s="210"/>
      <c r="AM46" s="210"/>
      <c r="AN46" s="210"/>
      <c r="AO46" s="210"/>
    </row>
    <row r="47" outlineLevel="1">
      <c r="A47" s="176" t="s">
        <v>195</v>
      </c>
      <c r="B47" s="92">
        <v>0.03</v>
      </c>
      <c r="C47" s="92">
        <v>0.03</v>
      </c>
      <c r="D47" s="92">
        <v>0.03</v>
      </c>
      <c r="E47" s="92">
        <v>0.03</v>
      </c>
      <c r="F47" s="92">
        <v>0.03</v>
      </c>
      <c r="G47" s="92">
        <v>0.03</v>
      </c>
      <c r="H47" s="92">
        <v>0.03</v>
      </c>
      <c r="I47" s="92">
        <v>0.03</v>
      </c>
      <c r="J47" s="92">
        <v>0.03</v>
      </c>
      <c r="K47" s="92">
        <v>0.03</v>
      </c>
      <c r="L47" s="92">
        <v>0.03</v>
      </c>
      <c r="M47" s="92">
        <v>0.03</v>
      </c>
      <c r="N47" s="92">
        <v>0.03</v>
      </c>
      <c r="O47" s="92">
        <v>0.03</v>
      </c>
      <c r="P47" s="92">
        <v>0.03</v>
      </c>
      <c r="Q47" s="92">
        <v>0.03</v>
      </c>
      <c r="R47" s="92">
        <v>0.03</v>
      </c>
      <c r="S47" s="92">
        <v>0.03</v>
      </c>
      <c r="T47" s="92">
        <v>0.03</v>
      </c>
      <c r="U47" s="92">
        <v>0.03</v>
      </c>
      <c r="V47" s="92">
        <v>0.03</v>
      </c>
      <c r="W47" s="92">
        <v>0.03</v>
      </c>
      <c r="X47" s="92">
        <v>0.03</v>
      </c>
      <c r="Y47" s="92">
        <v>0.03</v>
      </c>
      <c r="Z47" s="92">
        <v>0.03</v>
      </c>
      <c r="AA47" s="92">
        <v>0.03</v>
      </c>
      <c r="AB47" s="92">
        <v>0.03</v>
      </c>
      <c r="AC47" s="92">
        <v>0.03</v>
      </c>
      <c r="AD47" s="92">
        <v>0.03</v>
      </c>
      <c r="AE47" s="92">
        <v>0.03</v>
      </c>
      <c r="AF47" s="92">
        <v>0.03</v>
      </c>
      <c r="AG47" s="92">
        <v>0.03</v>
      </c>
      <c r="AH47" s="92">
        <v>0.03</v>
      </c>
      <c r="AI47" s="92">
        <v>0.03</v>
      </c>
      <c r="AJ47" s="92">
        <v>0.03</v>
      </c>
      <c r="AK47" s="92">
        <v>0.03</v>
      </c>
      <c r="AL47" s="92">
        <v>0.03</v>
      </c>
      <c r="AM47" s="92">
        <v>0.03</v>
      </c>
      <c r="AN47" s="92">
        <v>0.03</v>
      </c>
      <c r="AO47" s="92">
        <v>0.03</v>
      </c>
    </row>
    <row r="48" outlineLevel="1">
      <c r="A48" s="176" t="s">
        <v>196</v>
      </c>
      <c r="B48" s="214">
        <v>0.05</v>
      </c>
      <c r="C48" s="214">
        <v>0.05</v>
      </c>
      <c r="D48" s="214">
        <v>0.05</v>
      </c>
      <c r="E48" s="214">
        <v>0.05</v>
      </c>
      <c r="F48" s="214">
        <v>0.05</v>
      </c>
      <c r="G48" s="214">
        <v>0.05</v>
      </c>
      <c r="H48" s="214">
        <v>0.05</v>
      </c>
      <c r="I48" s="214">
        <v>0.05</v>
      </c>
      <c r="J48" s="214">
        <v>0.05</v>
      </c>
      <c r="K48" s="214">
        <v>0.05</v>
      </c>
      <c r="L48" s="214">
        <v>0.05</v>
      </c>
      <c r="M48" s="214">
        <v>0.05</v>
      </c>
      <c r="N48" s="214">
        <v>0.05</v>
      </c>
      <c r="O48" s="214">
        <v>0.05</v>
      </c>
      <c r="P48" s="214">
        <v>0.05</v>
      </c>
      <c r="Q48" s="214">
        <v>0.05</v>
      </c>
      <c r="R48" s="214">
        <v>0.05</v>
      </c>
      <c r="S48" s="214">
        <v>0.05</v>
      </c>
      <c r="T48" s="214">
        <v>0.05</v>
      </c>
      <c r="U48" s="214">
        <v>0.05</v>
      </c>
      <c r="V48" s="214">
        <v>0.05</v>
      </c>
      <c r="W48" s="214">
        <v>0.05</v>
      </c>
      <c r="X48" s="214">
        <v>0.05</v>
      </c>
      <c r="Y48" s="214">
        <v>0.05</v>
      </c>
      <c r="Z48" s="214">
        <v>0.05</v>
      </c>
      <c r="AA48" s="214">
        <v>0.05</v>
      </c>
      <c r="AB48" s="214">
        <v>0.05</v>
      </c>
      <c r="AC48" s="214">
        <v>0.05</v>
      </c>
      <c r="AD48" s="214">
        <v>0.05</v>
      </c>
      <c r="AE48" s="214">
        <v>0.05</v>
      </c>
      <c r="AF48" s="214">
        <v>0.05</v>
      </c>
      <c r="AG48" s="214">
        <v>0.05</v>
      </c>
      <c r="AH48" s="214">
        <v>0.05</v>
      </c>
      <c r="AI48" s="214">
        <v>0.05</v>
      </c>
      <c r="AJ48" s="214">
        <v>0.05</v>
      </c>
      <c r="AK48" s="214">
        <v>0.05</v>
      </c>
      <c r="AL48" s="214">
        <v>0.05</v>
      </c>
      <c r="AM48" s="214">
        <v>0.05</v>
      </c>
      <c r="AN48" s="214">
        <v>0.05</v>
      </c>
      <c r="AO48" s="214">
        <v>0.05</v>
      </c>
    </row>
    <row r="49" outlineLevel="1">
      <c r="A49" s="215" t="s">
        <v>197</v>
      </c>
      <c r="B49" s="217">
        <f t="shared" ref="B49:AO49" si="11">sum(B46:B48)</f>
        <v>0.08</v>
      </c>
      <c r="C49" s="217">
        <f t="shared" si="11"/>
        <v>0.08</v>
      </c>
      <c r="D49" s="217">
        <f t="shared" si="11"/>
        <v>0.08</v>
      </c>
      <c r="E49" s="217">
        <f t="shared" si="11"/>
        <v>0.08</v>
      </c>
      <c r="F49" s="217">
        <f t="shared" si="11"/>
        <v>0.08</v>
      </c>
      <c r="G49" s="217">
        <f t="shared" si="11"/>
        <v>0.08</v>
      </c>
      <c r="H49" s="217">
        <f t="shared" si="11"/>
        <v>0.08</v>
      </c>
      <c r="I49" s="217">
        <f t="shared" si="11"/>
        <v>0.08</v>
      </c>
      <c r="J49" s="217">
        <f t="shared" si="11"/>
        <v>0.08</v>
      </c>
      <c r="K49" s="217">
        <f t="shared" si="11"/>
        <v>0.08</v>
      </c>
      <c r="L49" s="217">
        <f t="shared" si="11"/>
        <v>0.08</v>
      </c>
      <c r="M49" s="217">
        <f t="shared" si="11"/>
        <v>0.08</v>
      </c>
      <c r="N49" s="217">
        <f t="shared" si="11"/>
        <v>0.08</v>
      </c>
      <c r="O49" s="217">
        <f t="shared" si="11"/>
        <v>0.08</v>
      </c>
      <c r="P49" s="217">
        <f t="shared" si="11"/>
        <v>0.08</v>
      </c>
      <c r="Q49" s="217">
        <f t="shared" si="11"/>
        <v>0.08</v>
      </c>
      <c r="R49" s="217">
        <f t="shared" si="11"/>
        <v>0.08</v>
      </c>
      <c r="S49" s="217">
        <f t="shared" si="11"/>
        <v>0.08</v>
      </c>
      <c r="T49" s="217">
        <f t="shared" si="11"/>
        <v>0.08</v>
      </c>
      <c r="U49" s="217">
        <f t="shared" si="11"/>
        <v>0.08</v>
      </c>
      <c r="V49" s="217">
        <f t="shared" si="11"/>
        <v>0.08</v>
      </c>
      <c r="W49" s="217">
        <f t="shared" si="11"/>
        <v>0.08</v>
      </c>
      <c r="X49" s="217">
        <f t="shared" si="11"/>
        <v>0.08</v>
      </c>
      <c r="Y49" s="217">
        <f t="shared" si="11"/>
        <v>0.08</v>
      </c>
      <c r="Z49" s="217">
        <f t="shared" si="11"/>
        <v>0.08</v>
      </c>
      <c r="AA49" s="217">
        <f t="shared" si="11"/>
        <v>0.08</v>
      </c>
      <c r="AB49" s="217">
        <f t="shared" si="11"/>
        <v>0.08</v>
      </c>
      <c r="AC49" s="217">
        <f t="shared" si="11"/>
        <v>0.08</v>
      </c>
      <c r="AD49" s="217">
        <f t="shared" si="11"/>
        <v>0.08</v>
      </c>
      <c r="AE49" s="217">
        <f t="shared" si="11"/>
        <v>0.08</v>
      </c>
      <c r="AF49" s="217">
        <f t="shared" si="11"/>
        <v>0.08</v>
      </c>
      <c r="AG49" s="217">
        <f t="shared" si="11"/>
        <v>0.08</v>
      </c>
      <c r="AH49" s="217">
        <f t="shared" si="11"/>
        <v>0.08</v>
      </c>
      <c r="AI49" s="217">
        <f t="shared" si="11"/>
        <v>0.08</v>
      </c>
      <c r="AJ49" s="217">
        <f t="shared" si="11"/>
        <v>0.08</v>
      </c>
      <c r="AK49" s="217">
        <f t="shared" si="11"/>
        <v>0.08</v>
      </c>
      <c r="AL49" s="217">
        <f t="shared" si="11"/>
        <v>0.08</v>
      </c>
      <c r="AM49" s="217">
        <f t="shared" si="11"/>
        <v>0.08</v>
      </c>
      <c r="AN49" s="217">
        <f t="shared" si="11"/>
        <v>0.08</v>
      </c>
      <c r="AO49" s="217">
        <f t="shared" si="11"/>
        <v>0.08</v>
      </c>
    </row>
    <row r="50" outlineLevel="1">
      <c r="A50" s="176"/>
      <c r="B50" s="210"/>
      <c r="C50" s="210"/>
      <c r="D50" s="210"/>
      <c r="E50" s="210"/>
      <c r="F50" s="210"/>
      <c r="G50" s="210"/>
      <c r="H50" s="210"/>
      <c r="I50" s="210"/>
      <c r="J50" s="210"/>
      <c r="K50" s="210"/>
      <c r="L50" s="210"/>
      <c r="M50" s="210"/>
      <c r="N50" s="210"/>
      <c r="O50" s="210"/>
      <c r="P50" s="210"/>
      <c r="Q50" s="210"/>
      <c r="R50" s="210"/>
      <c r="S50" s="210"/>
      <c r="T50" s="210"/>
      <c r="U50" s="210"/>
      <c r="V50" s="210"/>
      <c r="W50" s="210"/>
      <c r="X50" s="210"/>
      <c r="Y50" s="210"/>
      <c r="Z50" s="210"/>
      <c r="AA50" s="210"/>
      <c r="AB50" s="210"/>
      <c r="AC50" s="210"/>
      <c r="AD50" s="210"/>
      <c r="AE50" s="210"/>
      <c r="AF50" s="210"/>
      <c r="AG50" s="210"/>
      <c r="AH50" s="210"/>
      <c r="AI50" s="210"/>
      <c r="AJ50" s="210"/>
      <c r="AK50" s="210"/>
      <c r="AL50" s="210"/>
      <c r="AM50" s="210"/>
      <c r="AN50" s="210"/>
      <c r="AO50" s="210"/>
    </row>
    <row r="51" outlineLevel="1">
      <c r="A51" s="178" t="s">
        <v>198</v>
      </c>
      <c r="B51" s="210"/>
      <c r="C51" s="210"/>
      <c r="D51" s="210"/>
      <c r="E51" s="210"/>
      <c r="F51" s="210"/>
      <c r="G51" s="210"/>
      <c r="H51" s="210"/>
      <c r="I51" s="210"/>
      <c r="J51" s="210"/>
      <c r="K51" s="210"/>
      <c r="L51" s="210"/>
      <c r="M51" s="210"/>
      <c r="N51" s="210"/>
      <c r="O51" s="210"/>
      <c r="P51" s="210"/>
      <c r="Q51" s="210"/>
      <c r="R51" s="210"/>
      <c r="S51" s="210"/>
      <c r="T51" s="210"/>
      <c r="U51" s="210"/>
      <c r="V51" s="210"/>
      <c r="W51" s="210"/>
      <c r="X51" s="210"/>
      <c r="Y51" s="210"/>
      <c r="Z51" s="210"/>
      <c r="AA51" s="210"/>
      <c r="AB51" s="210"/>
      <c r="AC51" s="210"/>
      <c r="AD51" s="210"/>
      <c r="AE51" s="210"/>
      <c r="AF51" s="210"/>
      <c r="AG51" s="210"/>
      <c r="AH51" s="210"/>
      <c r="AI51" s="210"/>
      <c r="AJ51" s="210"/>
      <c r="AK51" s="210"/>
      <c r="AL51" s="210"/>
      <c r="AM51" s="210"/>
      <c r="AN51" s="210"/>
      <c r="AO51" s="210"/>
    </row>
    <row r="52" outlineLevel="1">
      <c r="A52" s="176" t="s">
        <v>199</v>
      </c>
      <c r="B52" s="127">
        <v>0.02</v>
      </c>
      <c r="C52" s="127">
        <v>0.02</v>
      </c>
      <c r="D52" s="127">
        <v>0.02</v>
      </c>
      <c r="E52" s="127">
        <v>0.02</v>
      </c>
      <c r="F52" s="127">
        <v>0.02</v>
      </c>
      <c r="G52" s="127">
        <v>0.02</v>
      </c>
      <c r="H52" s="127">
        <v>0.02</v>
      </c>
      <c r="I52" s="127">
        <v>0.02</v>
      </c>
      <c r="J52" s="127">
        <v>0.02</v>
      </c>
      <c r="K52" s="127">
        <v>0.02</v>
      </c>
      <c r="L52" s="127">
        <v>0.02</v>
      </c>
      <c r="M52" s="127">
        <v>0.02</v>
      </c>
      <c r="N52" s="127">
        <v>0.02</v>
      </c>
      <c r="O52" s="127">
        <v>0.02</v>
      </c>
      <c r="P52" s="127">
        <v>0.02</v>
      </c>
      <c r="Q52" s="127">
        <v>0.02</v>
      </c>
      <c r="R52" s="127">
        <v>0.02</v>
      </c>
      <c r="S52" s="127">
        <v>0.02</v>
      </c>
      <c r="T52" s="127">
        <v>0.02</v>
      </c>
      <c r="U52" s="127">
        <v>0.02</v>
      </c>
      <c r="V52" s="127">
        <v>0.02</v>
      </c>
      <c r="W52" s="127">
        <v>0.02</v>
      </c>
      <c r="X52" s="127">
        <v>0.02</v>
      </c>
      <c r="Y52" s="127">
        <v>0.02</v>
      </c>
      <c r="Z52" s="127">
        <v>0.02</v>
      </c>
      <c r="AA52" s="127">
        <v>0.02</v>
      </c>
      <c r="AB52" s="127">
        <v>0.02</v>
      </c>
      <c r="AC52" s="127">
        <v>0.02</v>
      </c>
      <c r="AD52" s="127">
        <v>0.02</v>
      </c>
      <c r="AE52" s="127">
        <v>0.02</v>
      </c>
      <c r="AF52" s="127">
        <v>0.02</v>
      </c>
      <c r="AG52" s="127">
        <v>0.02</v>
      </c>
      <c r="AH52" s="127">
        <v>0.02</v>
      </c>
      <c r="AI52" s="127">
        <v>0.02</v>
      </c>
      <c r="AJ52" s="127">
        <v>0.02</v>
      </c>
      <c r="AK52" s="127">
        <v>0.02</v>
      </c>
      <c r="AL52" s="127">
        <v>0.02</v>
      </c>
      <c r="AM52" s="127">
        <v>0.02</v>
      </c>
      <c r="AN52" s="127">
        <v>0.02</v>
      </c>
      <c r="AO52" s="127">
        <v>0.02</v>
      </c>
    </row>
    <row r="53" outlineLevel="1">
      <c r="A53" s="176" t="s">
        <v>200</v>
      </c>
      <c r="B53" s="127">
        <v>0.0</v>
      </c>
      <c r="C53" s="127">
        <v>0.0</v>
      </c>
      <c r="D53" s="127">
        <v>0.0</v>
      </c>
      <c r="E53" s="127">
        <v>0.0</v>
      </c>
      <c r="F53" s="127">
        <v>0.0</v>
      </c>
      <c r="G53" s="127">
        <v>0.0</v>
      </c>
      <c r="H53" s="127">
        <v>0.0</v>
      </c>
      <c r="I53" s="127">
        <v>0.0</v>
      </c>
      <c r="J53" s="127">
        <v>0.0</v>
      </c>
      <c r="K53" s="127">
        <v>0.0</v>
      </c>
      <c r="L53" s="127">
        <v>0.0</v>
      </c>
      <c r="M53" s="127">
        <v>0.0</v>
      </c>
      <c r="N53" s="127">
        <v>0.0</v>
      </c>
      <c r="O53" s="127">
        <v>0.0</v>
      </c>
      <c r="P53" s="127">
        <v>0.0</v>
      </c>
      <c r="Q53" s="127">
        <v>0.0</v>
      </c>
      <c r="R53" s="127">
        <v>0.0</v>
      </c>
      <c r="S53" s="127">
        <v>0.0</v>
      </c>
      <c r="T53" s="127">
        <v>0.0</v>
      </c>
      <c r="U53" s="127">
        <v>0.0</v>
      </c>
      <c r="V53" s="127">
        <v>0.0</v>
      </c>
      <c r="W53" s="127">
        <v>0.0</v>
      </c>
      <c r="X53" s="127">
        <v>0.0</v>
      </c>
      <c r="Y53" s="127">
        <v>0.0</v>
      </c>
      <c r="Z53" s="127">
        <v>0.0</v>
      </c>
      <c r="AA53" s="127">
        <v>0.0</v>
      </c>
      <c r="AB53" s="127">
        <v>0.0</v>
      </c>
      <c r="AC53" s="127">
        <v>0.0</v>
      </c>
      <c r="AD53" s="127">
        <v>0.0</v>
      </c>
      <c r="AE53" s="127">
        <v>0.0</v>
      </c>
      <c r="AF53" s="127">
        <v>0.0</v>
      </c>
      <c r="AG53" s="127">
        <v>0.0</v>
      </c>
      <c r="AH53" s="127">
        <v>0.0</v>
      </c>
      <c r="AI53" s="127">
        <v>0.0</v>
      </c>
      <c r="AJ53" s="127">
        <v>0.0</v>
      </c>
      <c r="AK53" s="127">
        <v>0.0</v>
      </c>
      <c r="AL53" s="127">
        <v>0.0</v>
      </c>
      <c r="AM53" s="127">
        <v>0.0</v>
      </c>
      <c r="AN53" s="127">
        <v>0.0</v>
      </c>
      <c r="AO53" s="127">
        <v>0.0</v>
      </c>
    </row>
    <row r="54" outlineLevel="1">
      <c r="A54" s="176" t="s">
        <v>201</v>
      </c>
      <c r="B54" s="214">
        <v>0.05</v>
      </c>
      <c r="C54" s="214">
        <v>0.05</v>
      </c>
      <c r="D54" s="214">
        <v>0.05</v>
      </c>
      <c r="E54" s="214">
        <v>0.05</v>
      </c>
      <c r="F54" s="214">
        <v>0.05</v>
      </c>
      <c r="G54" s="214">
        <v>0.05</v>
      </c>
      <c r="H54" s="214">
        <v>0.05</v>
      </c>
      <c r="I54" s="214">
        <v>0.05</v>
      </c>
      <c r="J54" s="214">
        <v>0.05</v>
      </c>
      <c r="K54" s="214">
        <v>0.05</v>
      </c>
      <c r="L54" s="214">
        <v>0.05</v>
      </c>
      <c r="M54" s="214">
        <v>0.05</v>
      </c>
      <c r="N54" s="214">
        <v>0.05</v>
      </c>
      <c r="O54" s="214">
        <v>0.05</v>
      </c>
      <c r="P54" s="214">
        <v>0.05</v>
      </c>
      <c r="Q54" s="214">
        <v>0.05</v>
      </c>
      <c r="R54" s="214">
        <v>0.05</v>
      </c>
      <c r="S54" s="214">
        <v>0.05</v>
      </c>
      <c r="T54" s="214">
        <v>0.05</v>
      </c>
      <c r="U54" s="214">
        <v>0.05</v>
      </c>
      <c r="V54" s="214">
        <v>0.05</v>
      </c>
      <c r="W54" s="214">
        <v>0.05</v>
      </c>
      <c r="X54" s="214">
        <v>0.05</v>
      </c>
      <c r="Y54" s="214">
        <v>0.05</v>
      </c>
      <c r="Z54" s="214">
        <v>0.05</v>
      </c>
      <c r="AA54" s="214">
        <v>0.05</v>
      </c>
      <c r="AB54" s="214">
        <v>0.05</v>
      </c>
      <c r="AC54" s="214">
        <v>0.05</v>
      </c>
      <c r="AD54" s="214">
        <v>0.05</v>
      </c>
      <c r="AE54" s="214">
        <v>0.05</v>
      </c>
      <c r="AF54" s="214">
        <v>0.05</v>
      </c>
      <c r="AG54" s="214">
        <v>0.05</v>
      </c>
      <c r="AH54" s="214">
        <v>0.05</v>
      </c>
      <c r="AI54" s="214">
        <v>0.05</v>
      </c>
      <c r="AJ54" s="214">
        <v>0.05</v>
      </c>
      <c r="AK54" s="214">
        <v>0.05</v>
      </c>
      <c r="AL54" s="214">
        <v>0.05</v>
      </c>
      <c r="AM54" s="214">
        <v>0.05</v>
      </c>
      <c r="AN54" s="214">
        <v>0.05</v>
      </c>
      <c r="AO54" s="214">
        <v>0.05</v>
      </c>
    </row>
    <row r="55" outlineLevel="1">
      <c r="A55" s="219" t="s">
        <v>202</v>
      </c>
      <c r="B55" s="217">
        <f t="shared" ref="B55:AO55" si="12">sum(B52:B54)</f>
        <v>0.07</v>
      </c>
      <c r="C55" s="217">
        <f t="shared" si="12"/>
        <v>0.07</v>
      </c>
      <c r="D55" s="217">
        <f t="shared" si="12"/>
        <v>0.07</v>
      </c>
      <c r="E55" s="217">
        <f t="shared" si="12"/>
        <v>0.07</v>
      </c>
      <c r="F55" s="217">
        <f t="shared" si="12"/>
        <v>0.07</v>
      </c>
      <c r="G55" s="217">
        <f t="shared" si="12"/>
        <v>0.07</v>
      </c>
      <c r="H55" s="217">
        <f t="shared" si="12"/>
        <v>0.07</v>
      </c>
      <c r="I55" s="217">
        <f t="shared" si="12"/>
        <v>0.07</v>
      </c>
      <c r="J55" s="217">
        <f t="shared" si="12"/>
        <v>0.07</v>
      </c>
      <c r="K55" s="217">
        <f t="shared" si="12"/>
        <v>0.07</v>
      </c>
      <c r="L55" s="217">
        <f t="shared" si="12"/>
        <v>0.07</v>
      </c>
      <c r="M55" s="217">
        <f t="shared" si="12"/>
        <v>0.07</v>
      </c>
      <c r="N55" s="217">
        <f t="shared" si="12"/>
        <v>0.07</v>
      </c>
      <c r="O55" s="217">
        <f t="shared" si="12"/>
        <v>0.07</v>
      </c>
      <c r="P55" s="217">
        <f t="shared" si="12"/>
        <v>0.07</v>
      </c>
      <c r="Q55" s="217">
        <f t="shared" si="12"/>
        <v>0.07</v>
      </c>
      <c r="R55" s="217">
        <f t="shared" si="12"/>
        <v>0.07</v>
      </c>
      <c r="S55" s="217">
        <f t="shared" si="12"/>
        <v>0.07</v>
      </c>
      <c r="T55" s="217">
        <f t="shared" si="12"/>
        <v>0.07</v>
      </c>
      <c r="U55" s="217">
        <f t="shared" si="12"/>
        <v>0.07</v>
      </c>
      <c r="V55" s="217">
        <f t="shared" si="12"/>
        <v>0.07</v>
      </c>
      <c r="W55" s="217">
        <f t="shared" si="12"/>
        <v>0.07</v>
      </c>
      <c r="X55" s="217">
        <f t="shared" si="12"/>
        <v>0.07</v>
      </c>
      <c r="Y55" s="217">
        <f t="shared" si="12"/>
        <v>0.07</v>
      </c>
      <c r="Z55" s="217">
        <f t="shared" si="12"/>
        <v>0.07</v>
      </c>
      <c r="AA55" s="217">
        <f t="shared" si="12"/>
        <v>0.07</v>
      </c>
      <c r="AB55" s="217">
        <f t="shared" si="12"/>
        <v>0.07</v>
      </c>
      <c r="AC55" s="217">
        <f t="shared" si="12"/>
        <v>0.07</v>
      </c>
      <c r="AD55" s="217">
        <f t="shared" si="12"/>
        <v>0.07</v>
      </c>
      <c r="AE55" s="217">
        <f t="shared" si="12"/>
        <v>0.07</v>
      </c>
      <c r="AF55" s="217">
        <f t="shared" si="12"/>
        <v>0.07</v>
      </c>
      <c r="AG55" s="217">
        <f t="shared" si="12"/>
        <v>0.07</v>
      </c>
      <c r="AH55" s="217">
        <f t="shared" si="12"/>
        <v>0.07</v>
      </c>
      <c r="AI55" s="217">
        <f t="shared" si="12"/>
        <v>0.07</v>
      </c>
      <c r="AJ55" s="217">
        <f t="shared" si="12"/>
        <v>0.07</v>
      </c>
      <c r="AK55" s="217">
        <f t="shared" si="12"/>
        <v>0.07</v>
      </c>
      <c r="AL55" s="217">
        <f t="shared" si="12"/>
        <v>0.07</v>
      </c>
      <c r="AM55" s="217">
        <f t="shared" si="12"/>
        <v>0.07</v>
      </c>
      <c r="AN55" s="217">
        <f t="shared" si="12"/>
        <v>0.07</v>
      </c>
      <c r="AO55" s="217">
        <f t="shared" si="12"/>
        <v>0.07</v>
      </c>
    </row>
    <row r="56" outlineLevel="1">
      <c r="A56" s="176"/>
      <c r="B56" s="210"/>
      <c r="C56" s="210"/>
      <c r="D56" s="210"/>
      <c r="E56" s="210"/>
      <c r="F56" s="210"/>
      <c r="G56" s="210"/>
      <c r="H56" s="210"/>
      <c r="I56" s="210"/>
      <c r="J56" s="210"/>
      <c r="K56" s="210"/>
      <c r="L56" s="210"/>
      <c r="M56" s="210"/>
      <c r="N56" s="210"/>
      <c r="O56" s="210"/>
      <c r="P56" s="210"/>
      <c r="Q56" s="210"/>
      <c r="R56" s="210"/>
      <c r="S56" s="210"/>
      <c r="T56" s="210"/>
      <c r="U56" s="210"/>
      <c r="V56" s="210"/>
      <c r="W56" s="210"/>
      <c r="X56" s="210"/>
      <c r="Y56" s="210"/>
      <c r="Z56" s="210"/>
      <c r="AA56" s="210"/>
      <c r="AB56" s="210"/>
      <c r="AC56" s="210"/>
      <c r="AD56" s="210"/>
      <c r="AE56" s="210"/>
      <c r="AF56" s="210"/>
      <c r="AG56" s="210"/>
      <c r="AH56" s="210"/>
      <c r="AI56" s="210"/>
      <c r="AJ56" s="210"/>
      <c r="AK56" s="210"/>
      <c r="AL56" s="210"/>
      <c r="AM56" s="210"/>
      <c r="AN56" s="210"/>
      <c r="AO56" s="210"/>
    </row>
    <row r="57">
      <c r="A57" s="71" t="s">
        <v>203</v>
      </c>
      <c r="B57" s="218">
        <f t="shared" ref="B57:AO57" si="13">1-sum(B44,B49,B55)</f>
        <v>0.85</v>
      </c>
      <c r="C57" s="218">
        <f t="shared" si="13"/>
        <v>0.85</v>
      </c>
      <c r="D57" s="218">
        <f t="shared" si="13"/>
        <v>0.85</v>
      </c>
      <c r="E57" s="218">
        <f t="shared" si="13"/>
        <v>0.85</v>
      </c>
      <c r="F57" s="218">
        <f t="shared" si="13"/>
        <v>0.85</v>
      </c>
      <c r="G57" s="218">
        <f t="shared" si="13"/>
        <v>0.85</v>
      </c>
      <c r="H57" s="218">
        <f t="shared" si="13"/>
        <v>0.85</v>
      </c>
      <c r="I57" s="218">
        <f t="shared" si="13"/>
        <v>0.85</v>
      </c>
      <c r="J57" s="218">
        <f t="shared" si="13"/>
        <v>0.85</v>
      </c>
      <c r="K57" s="218">
        <f t="shared" si="13"/>
        <v>0.85</v>
      </c>
      <c r="L57" s="218">
        <f t="shared" si="13"/>
        <v>0.85</v>
      </c>
      <c r="M57" s="218">
        <f t="shared" si="13"/>
        <v>0.85</v>
      </c>
      <c r="N57" s="218">
        <f t="shared" si="13"/>
        <v>0.85</v>
      </c>
      <c r="O57" s="218">
        <f t="shared" si="13"/>
        <v>0.85</v>
      </c>
      <c r="P57" s="218">
        <f t="shared" si="13"/>
        <v>0.85</v>
      </c>
      <c r="Q57" s="218">
        <f t="shared" si="13"/>
        <v>0.85</v>
      </c>
      <c r="R57" s="218">
        <f t="shared" si="13"/>
        <v>0.85</v>
      </c>
      <c r="S57" s="218">
        <f t="shared" si="13"/>
        <v>0.85</v>
      </c>
      <c r="T57" s="218">
        <f t="shared" si="13"/>
        <v>0.85</v>
      </c>
      <c r="U57" s="218">
        <f t="shared" si="13"/>
        <v>0.85</v>
      </c>
      <c r="V57" s="218">
        <f t="shared" si="13"/>
        <v>0.85</v>
      </c>
      <c r="W57" s="218">
        <f t="shared" si="13"/>
        <v>0.85</v>
      </c>
      <c r="X57" s="218">
        <f t="shared" si="13"/>
        <v>0.85</v>
      </c>
      <c r="Y57" s="218">
        <f t="shared" si="13"/>
        <v>0.85</v>
      </c>
      <c r="Z57" s="218">
        <f t="shared" si="13"/>
        <v>0.85</v>
      </c>
      <c r="AA57" s="218">
        <f t="shared" si="13"/>
        <v>0.85</v>
      </c>
      <c r="AB57" s="218">
        <f t="shared" si="13"/>
        <v>0.85</v>
      </c>
      <c r="AC57" s="218">
        <f t="shared" si="13"/>
        <v>0.85</v>
      </c>
      <c r="AD57" s="218">
        <f t="shared" si="13"/>
        <v>0.85</v>
      </c>
      <c r="AE57" s="218">
        <f t="shared" si="13"/>
        <v>0.85</v>
      </c>
      <c r="AF57" s="218">
        <f t="shared" si="13"/>
        <v>0.85</v>
      </c>
      <c r="AG57" s="218">
        <f t="shared" si="13"/>
        <v>0.85</v>
      </c>
      <c r="AH57" s="218">
        <f t="shared" si="13"/>
        <v>0.85</v>
      </c>
      <c r="AI57" s="218">
        <f t="shared" si="13"/>
        <v>0.85</v>
      </c>
      <c r="AJ57" s="218">
        <f t="shared" si="13"/>
        <v>0.85</v>
      </c>
      <c r="AK57" s="218">
        <f t="shared" si="13"/>
        <v>0.85</v>
      </c>
      <c r="AL57" s="218">
        <f t="shared" si="13"/>
        <v>0.85</v>
      </c>
      <c r="AM57" s="218">
        <f t="shared" si="13"/>
        <v>0.85</v>
      </c>
      <c r="AN57" s="218">
        <f t="shared" si="13"/>
        <v>0.85</v>
      </c>
      <c r="AO57" s="218">
        <f t="shared" si="13"/>
        <v>0.85</v>
      </c>
    </row>
    <row r="58">
      <c r="A58" s="43"/>
      <c r="B58" s="461"/>
      <c r="C58" s="461"/>
      <c r="D58" s="461"/>
      <c r="E58" s="461"/>
      <c r="F58" s="461"/>
      <c r="G58" s="461"/>
      <c r="H58" s="461"/>
      <c r="I58" s="461"/>
      <c r="J58" s="461"/>
      <c r="K58" s="461"/>
      <c r="L58" s="461"/>
      <c r="M58" s="461"/>
      <c r="N58" s="461"/>
      <c r="O58" s="461"/>
      <c r="P58" s="461"/>
      <c r="Q58" s="461"/>
      <c r="R58" s="461"/>
      <c r="S58" s="461"/>
      <c r="T58" s="461"/>
      <c r="U58" s="461"/>
      <c r="V58" s="461"/>
      <c r="W58" s="461"/>
      <c r="X58" s="461"/>
      <c r="Y58" s="461"/>
      <c r="Z58" s="461"/>
      <c r="AA58" s="461"/>
      <c r="AB58" s="461"/>
      <c r="AC58" s="461"/>
      <c r="AD58" s="461"/>
      <c r="AE58" s="461"/>
      <c r="AF58" s="461"/>
      <c r="AG58" s="461"/>
      <c r="AH58" s="461"/>
      <c r="AI58" s="461"/>
      <c r="AJ58" s="461"/>
      <c r="AK58" s="461"/>
      <c r="AL58" s="461"/>
      <c r="AM58" s="461"/>
      <c r="AN58" s="461"/>
      <c r="AO58" s="461"/>
    </row>
    <row r="59">
      <c r="A59" s="160" t="s">
        <v>204</v>
      </c>
      <c r="B59" s="397"/>
      <c r="C59" s="397"/>
      <c r="D59" s="397"/>
      <c r="E59" s="397"/>
      <c r="F59" s="397"/>
      <c r="G59" s="397"/>
      <c r="H59" s="397"/>
      <c r="I59" s="397"/>
      <c r="J59" s="397"/>
      <c r="K59" s="397"/>
      <c r="L59" s="397"/>
      <c r="M59" s="397"/>
      <c r="N59" s="397"/>
      <c r="O59" s="397"/>
      <c r="P59" s="397"/>
      <c r="Q59" s="397"/>
      <c r="R59" s="397"/>
      <c r="S59" s="397"/>
      <c r="T59" s="397"/>
      <c r="U59" s="397"/>
      <c r="V59" s="397"/>
      <c r="W59" s="397"/>
      <c r="X59" s="397"/>
      <c r="Y59" s="397"/>
      <c r="Z59" s="397"/>
      <c r="AA59" s="397"/>
      <c r="AB59" s="397"/>
      <c r="AC59" s="397"/>
      <c r="AD59" s="397"/>
      <c r="AE59" s="397"/>
      <c r="AF59" s="397"/>
      <c r="AG59" s="397"/>
      <c r="AH59" s="397"/>
      <c r="AI59" s="397"/>
      <c r="AJ59" s="397"/>
      <c r="AK59" s="397"/>
      <c r="AL59" s="397"/>
      <c r="AM59" s="397"/>
      <c r="AN59" s="397"/>
      <c r="AO59" s="397"/>
    </row>
    <row r="60">
      <c r="A60" s="351" t="s">
        <v>213</v>
      </c>
      <c r="B60" s="414">
        <f t="shared" ref="B60:AO60" si="14">B33*B57</f>
        <v>1402.339189</v>
      </c>
      <c r="C60" s="414">
        <f t="shared" si="14"/>
        <v>8341.940801</v>
      </c>
      <c r="D60" s="414">
        <f t="shared" si="14"/>
        <v>5073.846669</v>
      </c>
      <c r="E60" s="414">
        <f t="shared" si="14"/>
        <v>6631.273848</v>
      </c>
      <c r="F60" s="414">
        <f t="shared" si="14"/>
        <v>4724.083273</v>
      </c>
      <c r="G60" s="414">
        <f t="shared" si="14"/>
        <v>3644.362184</v>
      </c>
      <c r="H60" s="414">
        <f t="shared" si="14"/>
        <v>2618.796233</v>
      </c>
      <c r="I60" s="414">
        <f t="shared" si="14"/>
        <v>5440.726105</v>
      </c>
      <c r="J60" s="414">
        <f t="shared" si="14"/>
        <v>1611.926541</v>
      </c>
      <c r="K60" s="414">
        <f t="shared" si="14"/>
        <v>1241.299146</v>
      </c>
      <c r="L60" s="414">
        <f t="shared" si="14"/>
        <v>8727.744729</v>
      </c>
      <c r="M60" s="414">
        <f t="shared" si="14"/>
        <v>398.5459644</v>
      </c>
      <c r="N60" s="414">
        <f t="shared" si="14"/>
        <v>8727.744729</v>
      </c>
      <c r="O60" s="414">
        <f t="shared" si="14"/>
        <v>7775.449571</v>
      </c>
      <c r="P60" s="414">
        <f t="shared" si="14"/>
        <v>838.9697828</v>
      </c>
      <c r="Q60" s="414">
        <f t="shared" si="14"/>
        <v>4758.97707</v>
      </c>
      <c r="R60" s="414">
        <f t="shared" si="14"/>
        <v>2775.328288</v>
      </c>
      <c r="S60" s="414">
        <f t="shared" si="14"/>
        <v>2126.420213</v>
      </c>
      <c r="T60" s="414">
        <f t="shared" si="14"/>
        <v>4416.153462</v>
      </c>
      <c r="U60" s="414">
        <f t="shared" si="14"/>
        <v>2425.610335</v>
      </c>
      <c r="V60" s="414">
        <f t="shared" si="14"/>
        <v>7542.906596</v>
      </c>
      <c r="W60" s="414">
        <f t="shared" si="14"/>
        <v>5914.812869</v>
      </c>
      <c r="X60" s="414">
        <f t="shared" si="14"/>
        <v>3204.409142</v>
      </c>
      <c r="Y60" s="414">
        <f t="shared" si="14"/>
        <v>3754.973769</v>
      </c>
      <c r="Z60" s="414">
        <f t="shared" si="14"/>
        <v>776.1357045</v>
      </c>
      <c r="AA60" s="414">
        <f t="shared" si="14"/>
        <v>4303.255738</v>
      </c>
      <c r="AB60" s="414">
        <f t="shared" si="14"/>
        <v>5608.929002</v>
      </c>
      <c r="AC60" s="414">
        <f t="shared" si="14"/>
        <v>7826.969787</v>
      </c>
      <c r="AD60" s="414">
        <f t="shared" si="14"/>
        <v>6658.699438</v>
      </c>
      <c r="AE60" s="414">
        <f t="shared" si="14"/>
        <v>9661.270891</v>
      </c>
      <c r="AF60" s="414">
        <f t="shared" si="14"/>
        <v>9715.701379</v>
      </c>
      <c r="AG60" s="414">
        <f t="shared" si="14"/>
        <v>2253.259938</v>
      </c>
      <c r="AH60" s="414">
        <f t="shared" si="14"/>
        <v>1955.969824</v>
      </c>
      <c r="AI60" s="414">
        <f t="shared" si="14"/>
        <v>11085.03171</v>
      </c>
      <c r="AJ60" s="414">
        <f t="shared" si="14"/>
        <v>5732.737443</v>
      </c>
      <c r="AK60" s="414">
        <f t="shared" si="14"/>
        <v>3308.243152</v>
      </c>
      <c r="AL60" s="414">
        <f t="shared" si="14"/>
        <v>12027.79931</v>
      </c>
      <c r="AM60" s="414">
        <f t="shared" si="14"/>
        <v>7600.306915</v>
      </c>
      <c r="AN60" s="414">
        <f t="shared" si="14"/>
        <v>12027.79931</v>
      </c>
      <c r="AO60" s="414">
        <f t="shared" si="14"/>
        <v>97.99414791</v>
      </c>
    </row>
    <row r="61">
      <c r="A61" s="352" t="s">
        <v>314</v>
      </c>
      <c r="B61" s="462">
        <f t="shared" ref="B61:AO61" si="15">B60/B14</f>
        <v>0.008391154568</v>
      </c>
      <c r="C61" s="462">
        <f t="shared" si="15"/>
        <v>0.03576433606</v>
      </c>
      <c r="D61" s="462">
        <f t="shared" si="15"/>
        <v>0.02629407382</v>
      </c>
      <c r="E61" s="462">
        <f t="shared" si="15"/>
        <v>0.02991427977</v>
      </c>
      <c r="F61" s="462">
        <f t="shared" si="15"/>
        <v>0.02131076953</v>
      </c>
      <c r="G61" s="462">
        <f t="shared" si="15"/>
        <v>0.01644004945</v>
      </c>
      <c r="H61" s="462">
        <f t="shared" si="15"/>
        <v>0.01181362812</v>
      </c>
      <c r="I61" s="462">
        <f t="shared" si="15"/>
        <v>0.02454361056</v>
      </c>
      <c r="J61" s="462">
        <f t="shared" si="15"/>
        <v>0.007271547312</v>
      </c>
      <c r="K61" s="462">
        <f t="shared" si="15"/>
        <v>0.005599613406</v>
      </c>
      <c r="L61" s="462">
        <f t="shared" si="15"/>
        <v>0.0393716507</v>
      </c>
      <c r="M61" s="462">
        <f t="shared" si="15"/>
        <v>0.001797877113</v>
      </c>
      <c r="N61" s="462">
        <f t="shared" si="15"/>
        <v>0.0393716507</v>
      </c>
      <c r="O61" s="462">
        <f t="shared" si="15"/>
        <v>0.03507576058</v>
      </c>
      <c r="P61" s="462">
        <f t="shared" si="15"/>
        <v>0.003784669036</v>
      </c>
      <c r="Q61" s="462">
        <f t="shared" si="15"/>
        <v>0.02146817863</v>
      </c>
      <c r="R61" s="462">
        <f t="shared" si="15"/>
        <v>0.01251975846</v>
      </c>
      <c r="S61" s="462">
        <f t="shared" si="15"/>
        <v>0.009592475086</v>
      </c>
      <c r="T61" s="462">
        <f t="shared" si="15"/>
        <v>0.01992167013</v>
      </c>
      <c r="U61" s="462">
        <f t="shared" si="15"/>
        <v>0.0113253687</v>
      </c>
      <c r="V61" s="462">
        <f t="shared" si="15"/>
        <v>0.03521843433</v>
      </c>
      <c r="W61" s="462">
        <f t="shared" si="15"/>
        <v>0.02761673447</v>
      </c>
      <c r="X61" s="462">
        <f t="shared" si="15"/>
        <v>0.01496164264</v>
      </c>
      <c r="Y61" s="462">
        <f t="shared" si="15"/>
        <v>0.01753227293</v>
      </c>
      <c r="Z61" s="462">
        <f t="shared" si="15"/>
        <v>0.003623839695</v>
      </c>
      <c r="AA61" s="462">
        <f t="shared" si="15"/>
        <v>0.0200922453</v>
      </c>
      <c r="AB61" s="462">
        <f t="shared" si="15"/>
        <v>0.02226406595</v>
      </c>
      <c r="AC61" s="462">
        <f t="shared" si="15"/>
        <v>0.02658180608</v>
      </c>
      <c r="AD61" s="462">
        <f t="shared" si="15"/>
        <v>0.02261414852</v>
      </c>
      <c r="AE61" s="462">
        <f t="shared" si="15"/>
        <v>0.03281142463</v>
      </c>
      <c r="AF61" s="462">
        <f t="shared" si="15"/>
        <v>0.03299628043</v>
      </c>
      <c r="AG61" s="462">
        <f t="shared" si="15"/>
        <v>0.009059121171</v>
      </c>
      <c r="AH61" s="462">
        <f t="shared" si="15"/>
        <v>0.008953082193</v>
      </c>
      <c r="AI61" s="462">
        <f t="shared" si="15"/>
        <v>0.04719601899</v>
      </c>
      <c r="AJ61" s="462">
        <f t="shared" si="15"/>
        <v>0.02440790358</v>
      </c>
      <c r="AK61" s="462">
        <f t="shared" si="15"/>
        <v>0.01408529183</v>
      </c>
      <c r="AL61" s="462">
        <f t="shared" si="15"/>
        <v>0.0512099793</v>
      </c>
      <c r="AM61" s="462">
        <f t="shared" si="15"/>
        <v>0.03235933273</v>
      </c>
      <c r="AN61" s="462">
        <f t="shared" si="15"/>
        <v>0.0512099793</v>
      </c>
      <c r="AO61" s="462">
        <f t="shared" si="15"/>
        <v>0.0006516891099</v>
      </c>
    </row>
    <row r="62">
      <c r="A62" s="28" t="s">
        <v>209</v>
      </c>
      <c r="B62" s="463">
        <f t="array" ref="B62">B61/index(GiveDirectly!$B:$B,match("Units of value generated per philanthropic dollar spent, after accounting for all adjustments",GiveDirectly!$A:$A,0))</f>
        <v>2.501436777</v>
      </c>
      <c r="C62" s="463">
        <f t="array" ref="C62">C61/index(GiveDirectly!$B:$B,match("Units of value generated per philanthropic dollar spent, after accounting for all adjustments",GiveDirectly!$A:$A,0))</f>
        <v>10.66149179</v>
      </c>
      <c r="D62" s="463">
        <f t="array" ref="D62">D61/index(GiveDirectly!$B:$B,match("Units of value generated per philanthropic dollar spent, after accounting for all adjustments",GiveDirectly!$A:$A,0))</f>
        <v>7.838368695</v>
      </c>
      <c r="E62" s="463">
        <f t="array" ref="E62">E61/index(GiveDirectly!$B:$B,match("Units of value generated per philanthropic dollar spent, after accounting for all adjustments",GiveDirectly!$A:$A,0))</f>
        <v>8.917566586</v>
      </c>
      <c r="F62" s="463">
        <f t="array" ref="F62">F61/index(GiveDirectly!$B:$B,match("Units of value generated per philanthropic dollar spent, after accounting for all adjustments",GiveDirectly!$A:$A,0))</f>
        <v>6.352825733</v>
      </c>
      <c r="G62" s="463">
        <f t="array" ref="G62">G61/index(GiveDirectly!$B:$B,match("Units of value generated per philanthropic dollar spent, after accounting for all adjustments",GiveDirectly!$A:$A,0))</f>
        <v>4.900844572</v>
      </c>
      <c r="H62" s="463">
        <f t="array" ref="H62">H61/index(GiveDirectly!$B:$B,match("Units of value generated per philanthropic dollar spent, after accounting for all adjustments",GiveDirectly!$A:$A,0))</f>
        <v>3.521689847</v>
      </c>
      <c r="I62" s="463">
        <f t="array" ref="I62">I61/index(GiveDirectly!$B:$B,match("Units of value generated per philanthropic dollar spent, after accounting for all adjustments",GiveDirectly!$A:$A,0))</f>
        <v>7.316548589</v>
      </c>
      <c r="J62" s="463">
        <f t="array" ref="J62">J61/index(GiveDirectly!$B:$B,match("Units of value generated per philanthropic dollar spent, after accounting for all adjustments",GiveDirectly!$A:$A,0))</f>
        <v>2.167677371</v>
      </c>
      <c r="K62" s="463">
        <f t="array" ref="K62">K61/index(GiveDirectly!$B:$B,match("Units of value generated per philanthropic dollar spent, after accounting for all adjustments",GiveDirectly!$A:$A,0))</f>
        <v>1.669267179</v>
      </c>
      <c r="L62" s="463">
        <f t="array" ref="L62">L61/index(GiveDirectly!$B:$B,match("Units of value generated per philanthropic dollar spent, after accounting for all adjustments",GiveDirectly!$A:$A,0))</f>
        <v>11.73684673</v>
      </c>
      <c r="M62" s="463">
        <f t="array" ref="M62">M61/index(GiveDirectly!$B:$B,match("Units of value generated per philanthropic dollar spent, after accounting for all adjustments",GiveDirectly!$A:$A,0))</f>
        <v>0.5359543667</v>
      </c>
      <c r="N62" s="463">
        <f t="array" ref="N62">N61/index(GiveDirectly!$B:$B,match("Units of value generated per philanthropic dollar spent, after accounting for all adjustments",GiveDirectly!$A:$A,0))</f>
        <v>11.73684673</v>
      </c>
      <c r="O62" s="463">
        <f t="array" ref="O62">O61/index(GiveDirectly!$B:$B,match("Units of value generated per philanthropic dollar spent, after accounting for all adjustments",GiveDirectly!$A:$A,0))</f>
        <v>10.45622468</v>
      </c>
      <c r="P62" s="463">
        <f t="array" ref="P62">P61/index(GiveDirectly!$B:$B,match("Units of value generated per philanthropic dollar spent, after accounting for all adjustments",GiveDirectly!$A:$A,0))</f>
        <v>1.128224995</v>
      </c>
      <c r="Q62" s="463">
        <f t="array" ref="Q62">Q61/index(GiveDirectly!$B:$B,match("Units of value generated per philanthropic dollar spent, after accounting for all adjustments",GiveDirectly!$A:$A,0))</f>
        <v>6.399750014</v>
      </c>
      <c r="R62" s="463">
        <f t="array" ref="R62">R61/index(GiveDirectly!$B:$B,match("Units of value generated per philanthropic dollar spent, after accounting for all adjustments",GiveDirectly!$A:$A,0))</f>
        <v>3.73219013</v>
      </c>
      <c r="S62" s="463">
        <f t="array" ref="S62">S61/index(GiveDirectly!$B:$B,match("Units of value generated per philanthropic dollar spent, after accounting for all adjustments",GiveDirectly!$A:$A,0))</f>
        <v>2.859555234</v>
      </c>
      <c r="T62" s="463">
        <f t="array" ref="T62">T61/index(GiveDirectly!$B:$B,match("Units of value generated per philanthropic dollar spent, after accounting for all adjustments",GiveDirectly!$A:$A,0))</f>
        <v>5.938729639</v>
      </c>
      <c r="U62" s="463">
        <f t="array" ref="U62">U61/index(GiveDirectly!$B:$B,match("Units of value generated per philanthropic dollar spent, after accounting for all adjustments",GiveDirectly!$A:$A,0))</f>
        <v>3.376137761</v>
      </c>
      <c r="V62" s="463">
        <f t="array" ref="V62">V61/index(GiveDirectly!$B:$B,match("Units of value generated per philanthropic dollar spent, after accounting for all adjustments",GiveDirectly!$A:$A,0))</f>
        <v>10.4987563</v>
      </c>
      <c r="W62" s="463">
        <f t="array" ref="W62">W61/index(GiveDirectly!$B:$B,match("Units of value generated per philanthropic dollar spent, after accounting for all adjustments",GiveDirectly!$A:$A,0))</f>
        <v>8.232659131</v>
      </c>
      <c r="X62" s="463">
        <f t="array" ref="X62">X61/index(GiveDirectly!$B:$B,match("Units of value generated per philanthropic dollar spent, after accounting for all adjustments",GiveDirectly!$A:$A,0))</f>
        <v>4.46012558</v>
      </c>
      <c r="Y62" s="463">
        <f t="array" ref="Y62">Y61/index(GiveDirectly!$B:$B,match("Units of value generated per philanthropic dollar spent, after accounting for all adjustments",GiveDirectly!$A:$A,0))</f>
        <v>5.226440764</v>
      </c>
      <c r="Z62" s="463">
        <f t="array" ref="Z62">Z61/index(GiveDirectly!$B:$B,match("Units of value generated per philanthropic dollar spent, after accounting for all adjustments",GiveDirectly!$A:$A,0))</f>
        <v>1.080281124</v>
      </c>
      <c r="AA62" s="463">
        <f t="array" ref="AA62">AA61/index(GiveDirectly!$B:$B,match("Units of value generated per philanthropic dollar spent, after accounting for all adjustments",GiveDirectly!$A:$A,0))</f>
        <v>5.989578779</v>
      </c>
      <c r="AB62" s="463">
        <f t="array" ref="AB62">AB61/index(GiveDirectly!$B:$B,match("Units of value generated per philanthropic dollar spent, after accounting for all adjustments",GiveDirectly!$A:$A,0))</f>
        <v>6.637007212</v>
      </c>
      <c r="AC62" s="463">
        <f t="array" ref="AC62">AC61/index(GiveDirectly!$B:$B,match("Units of value generated per philanthropic dollar spent, after accounting for all adjustments",GiveDirectly!$A:$A,0))</f>
        <v>7.924142833</v>
      </c>
      <c r="AD62" s="463">
        <f t="array" ref="AD62">AD61/index(GiveDirectly!$B:$B,match("Units of value generated per philanthropic dollar spent, after accounting for all adjustments",GiveDirectly!$A:$A,0))</f>
        <v>6.741368227</v>
      </c>
      <c r="AE62" s="463">
        <f t="array" ref="AE62">AE61/index(GiveDirectly!$B:$B,match("Units of value generated per philanthropic dollar spent, after accounting for all adjustments",GiveDirectly!$A:$A,0))</f>
        <v>9.78121707</v>
      </c>
      <c r="AF62" s="463">
        <f t="array" ref="AF62">AF61/index(GiveDirectly!$B:$B,match("Units of value generated per philanthropic dollar spent, after accounting for all adjustments",GiveDirectly!$A:$A,0))</f>
        <v>9.836323322</v>
      </c>
      <c r="AG62" s="463">
        <f t="array" ref="AG62">AG61/index(GiveDirectly!$B:$B,match("Units of value generated per philanthropic dollar spent, after accounting for all adjustments",GiveDirectly!$A:$A,0))</f>
        <v>2.700560297</v>
      </c>
      <c r="AH62" s="463">
        <f t="array" ref="AH62">AH61/index(GiveDirectly!$B:$B,match("Units of value generated per philanthropic dollar spent, after accounting for all adjustments",GiveDirectly!$A:$A,0))</f>
        <v>2.668949652</v>
      </c>
      <c r="AI62" s="463">
        <f t="array" ref="AI62">AI61/index(GiveDirectly!$B:$B,match("Units of value generated per philanthropic dollar spent, after accounting for all adjustments",GiveDirectly!$A:$A,0))</f>
        <v>14.06932225</v>
      </c>
      <c r="AJ62" s="463">
        <f t="array" ref="AJ62">AJ61/index(GiveDirectly!$B:$B,match("Units of value generated per philanthropic dollar spent, after accounting for all adjustments",GiveDirectly!$A:$A,0))</f>
        <v>7.276093795</v>
      </c>
      <c r="AK62" s="463">
        <f t="array" ref="AK62">AK61/index(GiveDirectly!$B:$B,match("Units of value generated per philanthropic dollar spent, after accounting for all adjustments",GiveDirectly!$A:$A,0))</f>
        <v>4.198881896</v>
      </c>
      <c r="AL62" s="463">
        <f t="array" ref="AL62">AL61/index(GiveDirectly!$B:$B,match("Units of value generated per philanthropic dollar spent, after accounting for all adjustments",GiveDirectly!$A:$A,0))</f>
        <v>15.26589989</v>
      </c>
      <c r="AM62" s="463">
        <f t="array" ref="AM62">AM61/index(GiveDirectly!$B:$B,match("Units of value generated per philanthropic dollar spent, after accounting for all adjustments",GiveDirectly!$A:$A,0))</f>
        <v>9.646446664</v>
      </c>
      <c r="AN62" s="463">
        <f t="array" ref="AN62">AN61/index(GiveDirectly!$B:$B,match("Units of value generated per philanthropic dollar spent, after accounting for all adjustments",GiveDirectly!$A:$A,0))</f>
        <v>15.26589989</v>
      </c>
      <c r="AO62" s="463">
        <f t="array" ref="AO62">AO61/index(GiveDirectly!$B:$B,match("Units of value generated per philanthropic dollar spent, after accounting for all adjustments",GiveDirectly!$A:$A,0))</f>
        <v>0.1942711332</v>
      </c>
    </row>
    <row r="63">
      <c r="A63" s="43"/>
      <c r="B63" s="464"/>
      <c r="C63" s="464"/>
      <c r="D63" s="464"/>
      <c r="E63" s="464"/>
      <c r="F63" s="464"/>
      <c r="G63" s="464"/>
      <c r="H63" s="464"/>
      <c r="I63" s="464"/>
      <c r="J63" s="464"/>
      <c r="K63" s="464"/>
      <c r="L63" s="464"/>
      <c r="M63" s="464"/>
      <c r="N63" s="464"/>
      <c r="O63" s="464"/>
      <c r="P63" s="464"/>
      <c r="Q63" s="464"/>
      <c r="R63" s="464"/>
      <c r="S63" s="464"/>
      <c r="T63" s="464"/>
      <c r="U63" s="464"/>
      <c r="V63" s="464"/>
      <c r="W63" s="464"/>
      <c r="X63" s="464"/>
      <c r="Y63" s="464"/>
      <c r="Z63" s="464"/>
      <c r="AA63" s="464"/>
      <c r="AB63" s="464"/>
      <c r="AC63" s="464"/>
      <c r="AD63" s="464"/>
      <c r="AE63" s="464"/>
      <c r="AF63" s="464"/>
      <c r="AG63" s="464"/>
      <c r="AH63" s="464"/>
      <c r="AI63" s="464"/>
      <c r="AJ63" s="464"/>
      <c r="AK63" s="464"/>
      <c r="AL63" s="464"/>
      <c r="AM63" s="464"/>
      <c r="AN63" s="464"/>
      <c r="AO63" s="464"/>
    </row>
    <row r="64">
      <c r="A64" s="160" t="s">
        <v>315</v>
      </c>
      <c r="B64" s="208"/>
      <c r="C64" s="208"/>
      <c r="D64" s="208"/>
      <c r="E64" s="208"/>
      <c r="F64" s="208"/>
      <c r="G64" s="208"/>
      <c r="H64" s="208"/>
      <c r="I64" s="208"/>
      <c r="J64" s="208"/>
      <c r="K64" s="208"/>
      <c r="L64" s="208"/>
      <c r="M64" s="208"/>
      <c r="N64" s="208"/>
      <c r="O64" s="208"/>
      <c r="P64" s="208"/>
      <c r="Q64" s="208"/>
      <c r="R64" s="208"/>
      <c r="S64" s="208"/>
      <c r="T64" s="208"/>
      <c r="U64" s="208"/>
      <c r="V64" s="208"/>
      <c r="W64" s="208"/>
      <c r="X64" s="208"/>
      <c r="Y64" s="208"/>
      <c r="Z64" s="208"/>
      <c r="AA64" s="208"/>
      <c r="AB64" s="208"/>
      <c r="AC64" s="208"/>
      <c r="AD64" s="208"/>
      <c r="AE64" s="208"/>
      <c r="AF64" s="208"/>
      <c r="AG64" s="208"/>
      <c r="AH64" s="208"/>
      <c r="AI64" s="208"/>
      <c r="AJ64" s="208"/>
      <c r="AK64" s="208"/>
      <c r="AL64" s="208"/>
      <c r="AM64" s="208"/>
      <c r="AN64" s="208"/>
      <c r="AO64" s="208"/>
    </row>
    <row r="65" outlineLevel="1">
      <c r="A65" s="209" t="s">
        <v>211</v>
      </c>
      <c r="B65" s="224"/>
      <c r="C65" s="224"/>
      <c r="D65" s="224"/>
      <c r="E65" s="224"/>
      <c r="F65" s="224"/>
      <c r="G65" s="224"/>
      <c r="H65" s="224"/>
      <c r="I65" s="224"/>
      <c r="J65" s="224"/>
      <c r="K65" s="224"/>
      <c r="L65" s="224"/>
      <c r="M65" s="224"/>
      <c r="N65" s="224"/>
      <c r="O65" s="224"/>
      <c r="P65" s="224"/>
      <c r="Q65" s="224"/>
      <c r="R65" s="224"/>
      <c r="S65" s="224"/>
      <c r="T65" s="224"/>
      <c r="U65" s="224"/>
      <c r="V65" s="224"/>
      <c r="W65" s="224"/>
      <c r="X65" s="224"/>
      <c r="Y65" s="224"/>
      <c r="Z65" s="224"/>
      <c r="AA65" s="224"/>
      <c r="AB65" s="224"/>
      <c r="AC65" s="224"/>
      <c r="AD65" s="224"/>
      <c r="AE65" s="224"/>
      <c r="AF65" s="224"/>
      <c r="AG65" s="224"/>
      <c r="AH65" s="224"/>
      <c r="AI65" s="224"/>
      <c r="AJ65" s="224"/>
      <c r="AK65" s="224"/>
      <c r="AL65" s="224"/>
      <c r="AM65" s="224"/>
      <c r="AN65" s="224"/>
      <c r="AO65" s="224"/>
    </row>
    <row r="66" outlineLevel="1">
      <c r="A66" s="77" t="str">
        <f>IFERROR(__xludf.DUMMYFUNCTION("filter('Supplemental intervention-level'!C:C,'Supplemental intervention-level'!A:A=""Deworming"",'Supplemental intervention-level'!D:D=""Explicitly modeled"")"),"Developmental effects")</f>
        <v>Developmental effects</v>
      </c>
      <c r="B66" s="224"/>
      <c r="C66" s="224"/>
      <c r="D66" s="224"/>
      <c r="E66" s="224"/>
      <c r="F66" s="224"/>
      <c r="G66" s="224"/>
      <c r="H66" s="224"/>
      <c r="I66" s="224"/>
      <c r="J66" s="224"/>
      <c r="K66" s="224"/>
      <c r="L66" s="224"/>
      <c r="M66" s="224"/>
      <c r="N66" s="224"/>
      <c r="O66" s="224"/>
      <c r="P66" s="224"/>
      <c r="Q66" s="224"/>
      <c r="R66" s="224"/>
      <c r="S66" s="224"/>
      <c r="T66" s="224"/>
      <c r="U66" s="224"/>
      <c r="V66" s="224"/>
      <c r="W66" s="224"/>
      <c r="X66" s="224"/>
      <c r="Y66" s="224"/>
      <c r="Z66" s="224"/>
      <c r="AA66" s="224"/>
      <c r="AB66" s="224"/>
      <c r="AC66" s="224"/>
      <c r="AD66" s="224"/>
      <c r="AE66" s="224"/>
      <c r="AF66" s="224"/>
      <c r="AG66" s="224"/>
      <c r="AH66" s="224"/>
      <c r="AI66" s="224"/>
      <c r="AJ66" s="224"/>
      <c r="AK66" s="224"/>
      <c r="AL66" s="224"/>
      <c r="AM66" s="224"/>
      <c r="AN66" s="224"/>
      <c r="AO66" s="224"/>
    </row>
    <row r="67" outlineLevel="1">
      <c r="A67" s="71"/>
      <c r="B67" s="224"/>
      <c r="C67" s="224"/>
      <c r="D67" s="224"/>
      <c r="E67" s="224"/>
      <c r="F67" s="224"/>
      <c r="G67" s="224"/>
      <c r="H67" s="224"/>
      <c r="I67" s="224"/>
      <c r="J67" s="224"/>
      <c r="K67" s="224"/>
      <c r="L67" s="224"/>
      <c r="M67" s="224"/>
      <c r="N67" s="224"/>
      <c r="O67" s="224"/>
      <c r="P67" s="224"/>
      <c r="Q67" s="224"/>
      <c r="R67" s="224"/>
      <c r="S67" s="224"/>
      <c r="T67" s="224"/>
      <c r="U67" s="224"/>
      <c r="V67" s="224"/>
      <c r="W67" s="224"/>
      <c r="X67" s="224"/>
      <c r="Y67" s="224"/>
      <c r="Z67" s="224"/>
      <c r="AA67" s="224"/>
      <c r="AB67" s="224"/>
      <c r="AC67" s="224"/>
      <c r="AD67" s="224"/>
      <c r="AE67" s="224"/>
      <c r="AF67" s="224"/>
      <c r="AG67" s="224"/>
      <c r="AH67" s="224"/>
      <c r="AI67" s="224"/>
      <c r="AJ67" s="224"/>
      <c r="AK67" s="224"/>
      <c r="AL67" s="224"/>
      <c r="AM67" s="224"/>
      <c r="AN67" s="224"/>
      <c r="AO67" s="224"/>
    </row>
    <row r="68" outlineLevel="1">
      <c r="A68" s="209" t="s">
        <v>27</v>
      </c>
      <c r="B68" s="224"/>
      <c r="C68" s="224"/>
      <c r="D68" s="224"/>
      <c r="E68" s="224"/>
      <c r="F68" s="224"/>
      <c r="G68" s="224"/>
      <c r="H68" s="224"/>
      <c r="I68" s="224"/>
      <c r="J68" s="224"/>
      <c r="K68" s="224"/>
      <c r="L68" s="224"/>
      <c r="M68" s="224"/>
      <c r="N68" s="224"/>
      <c r="O68" s="224"/>
      <c r="P68" s="224"/>
      <c r="Q68" s="224"/>
      <c r="R68" s="224"/>
      <c r="S68" s="224"/>
      <c r="T68" s="224"/>
      <c r="U68" s="224"/>
      <c r="V68" s="224"/>
      <c r="W68" s="224"/>
      <c r="X68" s="224"/>
      <c r="Y68" s="224"/>
      <c r="Z68" s="224"/>
      <c r="AA68" s="224"/>
      <c r="AB68" s="224"/>
      <c r="AC68" s="224"/>
      <c r="AD68" s="224"/>
      <c r="AE68" s="224"/>
      <c r="AF68" s="224"/>
      <c r="AG68" s="224"/>
      <c r="AH68" s="224"/>
      <c r="AI68" s="224"/>
      <c r="AJ68" s="224"/>
      <c r="AK68" s="224"/>
      <c r="AL68" s="224"/>
      <c r="AM68" s="224"/>
      <c r="AN68" s="224"/>
      <c r="AO68" s="224"/>
    </row>
    <row r="69" outlineLevel="1">
      <c r="A69" s="77" t="str">
        <f>IFERROR(__xludf.DUMMYFUNCTION("filter('Supplemental intervention-level'!C:C,'Supplemental intervention-level'!A:A=""Deworming"",'Supplemental intervention-level'!D:D=""Not explicitly modeled"")"),"Direct health effects")</f>
        <v>Direct health effects</v>
      </c>
      <c r="B69" s="226">
        <f t="array" ref="B69">iferror(if(isblank($A69),"",index('Supplemental intervention-level'!$M:$M,match(1,('Supplemental intervention-level'!$C:$C=$A69)*('Supplemental intervention-level'!$A:$A="Deworming"),0))),"Not specified")</f>
        <v>0.008</v>
      </c>
      <c r="C69" s="226">
        <f t="array" ref="C69">iferror(if(isblank($A69),"",index('Supplemental intervention-level'!$M:$M,match(1,('Supplemental intervention-level'!$C:$C=$A69)*('Supplemental intervention-level'!$A:$A="Deworming"),0))),"Not specified")</f>
        <v>0.008</v>
      </c>
      <c r="D69" s="226">
        <f t="array" ref="D69">iferror(if(isblank($A69),"",index('Supplemental intervention-level'!$M:$M,match(1,('Supplemental intervention-level'!$C:$C=$A69)*('Supplemental intervention-level'!$A:$A="Deworming"),0))),"Not specified")</f>
        <v>0.008</v>
      </c>
      <c r="E69" s="226">
        <f t="array" ref="E69">iferror(if(isblank($A69),"",index('Supplemental intervention-level'!$M:$M,match(1,('Supplemental intervention-level'!$C:$C=$A69)*('Supplemental intervention-level'!$A:$A="Deworming"),0))),"Not specified")</f>
        <v>0.008</v>
      </c>
      <c r="F69" s="226">
        <f t="array" ref="F69">iferror(if(isblank($A69),"",index('Supplemental intervention-level'!$M:$M,match(1,('Supplemental intervention-level'!$C:$C=$A69)*('Supplemental intervention-level'!$A:$A="Deworming"),0))),"Not specified")</f>
        <v>0.008</v>
      </c>
      <c r="G69" s="226">
        <f t="array" ref="G69">iferror(if(isblank($A69),"",index('Supplemental intervention-level'!$M:$M,match(1,('Supplemental intervention-level'!$C:$C=$A69)*('Supplemental intervention-level'!$A:$A="Deworming"),0))),"Not specified")</f>
        <v>0.008</v>
      </c>
      <c r="H69" s="226">
        <f t="array" ref="H69">iferror(if(isblank($A69),"",index('Supplemental intervention-level'!$M:$M,match(1,('Supplemental intervention-level'!$C:$C=$A69)*('Supplemental intervention-level'!$A:$A="Deworming"),0))),"Not specified")</f>
        <v>0.008</v>
      </c>
      <c r="I69" s="226">
        <f t="array" ref="I69">iferror(if(isblank($A69),"",index('Supplemental intervention-level'!$M:$M,match(1,('Supplemental intervention-level'!$C:$C=$A69)*('Supplemental intervention-level'!$A:$A="Deworming"),0))),"Not specified")</f>
        <v>0.008</v>
      </c>
      <c r="J69" s="226">
        <f t="array" ref="J69">iferror(if(isblank($A69),"",index('Supplemental intervention-level'!$M:$M,match(1,('Supplemental intervention-level'!$C:$C=$A69)*('Supplemental intervention-level'!$A:$A="Deworming"),0))),"Not specified")</f>
        <v>0.008</v>
      </c>
      <c r="K69" s="226">
        <f t="array" ref="K69">iferror(if(isblank($A69),"",index('Supplemental intervention-level'!$M:$M,match(1,('Supplemental intervention-level'!$C:$C=$A69)*('Supplemental intervention-level'!$A:$A="Deworming"),0))),"Not specified")</f>
        <v>0.008</v>
      </c>
      <c r="L69" s="226">
        <f t="array" ref="L69">iferror(if(isblank($A69),"",index('Supplemental intervention-level'!$M:$M,match(1,('Supplemental intervention-level'!$C:$C=$A69)*('Supplemental intervention-level'!$A:$A="Deworming"),0))),"Not specified")</f>
        <v>0.008</v>
      </c>
      <c r="M69" s="226">
        <f t="array" ref="M69">iferror(if(isblank($A69),"",index('Supplemental intervention-level'!$M:$M,match(1,('Supplemental intervention-level'!$C:$C=$A69)*('Supplemental intervention-level'!$A:$A="Deworming"),0))),"Not specified")</f>
        <v>0.008</v>
      </c>
      <c r="N69" s="226">
        <f t="array" ref="N69">iferror(if(isblank($A69),"",index('Supplemental intervention-level'!$M:$M,match(1,('Supplemental intervention-level'!$C:$C=$A69)*('Supplemental intervention-level'!$A:$A="Deworming"),0))),"Not specified")</f>
        <v>0.008</v>
      </c>
      <c r="O69" s="226">
        <f t="array" ref="O69">iferror(if(isblank($A69),"",index('Supplemental intervention-level'!$M:$M,match(1,('Supplemental intervention-level'!$C:$C=$A69)*('Supplemental intervention-level'!$A:$A="Deworming"),0))),"Not specified")</f>
        <v>0.008</v>
      </c>
      <c r="P69" s="226">
        <f t="array" ref="P69">iferror(if(isblank($A69),"",index('Supplemental intervention-level'!$M:$M,match(1,('Supplemental intervention-level'!$C:$C=$A69)*('Supplemental intervention-level'!$A:$A="Deworming"),0))),"Not specified")</f>
        <v>0.008</v>
      </c>
      <c r="Q69" s="226">
        <f t="array" ref="Q69">iferror(if(isblank($A69),"",index('Supplemental intervention-level'!$M:$M,match(1,('Supplemental intervention-level'!$C:$C=$A69)*('Supplemental intervention-level'!$A:$A="Deworming"),0))),"Not specified")</f>
        <v>0.008</v>
      </c>
      <c r="R69" s="226">
        <f t="array" ref="R69">iferror(if(isblank($A69),"",index('Supplemental intervention-level'!$M:$M,match(1,('Supplemental intervention-level'!$C:$C=$A69)*('Supplemental intervention-level'!$A:$A="Deworming"),0))),"Not specified")</f>
        <v>0.008</v>
      </c>
      <c r="S69" s="226">
        <f t="array" ref="S69">iferror(if(isblank($A69),"",index('Supplemental intervention-level'!$M:$M,match(1,('Supplemental intervention-level'!$C:$C=$A69)*('Supplemental intervention-level'!$A:$A="Deworming"),0))),"Not specified")</f>
        <v>0.008</v>
      </c>
      <c r="T69" s="226">
        <f t="array" ref="T69">iferror(if(isblank($A69),"",index('Supplemental intervention-level'!$M:$M,match(1,('Supplemental intervention-level'!$C:$C=$A69)*('Supplemental intervention-level'!$A:$A="Deworming"),0))),"Not specified")</f>
        <v>0.008</v>
      </c>
      <c r="U69" s="226">
        <f t="array" ref="U69">iferror(if(isblank($A69),"",index('Supplemental intervention-level'!$M:$M,match(1,('Supplemental intervention-level'!$C:$C=$A69)*('Supplemental intervention-level'!$A:$A="Deworming"),0))),"Not specified")</f>
        <v>0.008</v>
      </c>
      <c r="V69" s="226">
        <f t="array" ref="V69">iferror(if(isblank($A69),"",index('Supplemental intervention-level'!$M:$M,match(1,('Supplemental intervention-level'!$C:$C=$A69)*('Supplemental intervention-level'!$A:$A="Deworming"),0))),"Not specified")</f>
        <v>0.008</v>
      </c>
      <c r="W69" s="226">
        <f t="array" ref="W69">iferror(if(isblank($A69),"",index('Supplemental intervention-level'!$M:$M,match(1,('Supplemental intervention-level'!$C:$C=$A69)*('Supplemental intervention-level'!$A:$A="Deworming"),0))),"Not specified")</f>
        <v>0.008</v>
      </c>
      <c r="X69" s="226">
        <f t="array" ref="X69">iferror(if(isblank($A69),"",index('Supplemental intervention-level'!$M:$M,match(1,('Supplemental intervention-level'!$C:$C=$A69)*('Supplemental intervention-level'!$A:$A="Deworming"),0))),"Not specified")</f>
        <v>0.008</v>
      </c>
      <c r="Y69" s="226">
        <f t="array" ref="Y69">iferror(if(isblank($A69),"",index('Supplemental intervention-level'!$M:$M,match(1,('Supplemental intervention-level'!$C:$C=$A69)*('Supplemental intervention-level'!$A:$A="Deworming"),0))),"Not specified")</f>
        <v>0.008</v>
      </c>
      <c r="Z69" s="226">
        <f t="array" ref="Z69">iferror(if(isblank($A69),"",index('Supplemental intervention-level'!$M:$M,match(1,('Supplemental intervention-level'!$C:$C=$A69)*('Supplemental intervention-level'!$A:$A="Deworming"),0))),"Not specified")</f>
        <v>0.008</v>
      </c>
      <c r="AA69" s="226">
        <f t="array" ref="AA69">iferror(if(isblank($A69),"",index('Supplemental intervention-level'!$M:$M,match(1,('Supplemental intervention-level'!$C:$C=$A69)*('Supplemental intervention-level'!$A:$A="Deworming"),0))),"Not specified")</f>
        <v>0.008</v>
      </c>
      <c r="AB69" s="226">
        <f t="array" ref="AB69">iferror(if(isblank($A69),"",index('Supplemental intervention-level'!$M:$M,match(1,('Supplemental intervention-level'!$C:$C=$A69)*('Supplemental intervention-level'!$A:$A="Deworming"),0))),"Not specified")</f>
        <v>0.008</v>
      </c>
      <c r="AC69" s="226">
        <f t="array" ref="AC69">iferror(if(isblank($A69),"",index('Supplemental intervention-level'!$M:$M,match(1,('Supplemental intervention-level'!$C:$C=$A69)*('Supplemental intervention-level'!$A:$A="Deworming"),0))),"Not specified")</f>
        <v>0.008</v>
      </c>
      <c r="AD69" s="226">
        <f t="array" ref="AD69">iferror(if(isblank($A69),"",index('Supplemental intervention-level'!$M:$M,match(1,('Supplemental intervention-level'!$C:$C=$A69)*('Supplemental intervention-level'!$A:$A="Deworming"),0))),"Not specified")</f>
        <v>0.008</v>
      </c>
      <c r="AE69" s="226">
        <f t="array" ref="AE69">iferror(if(isblank($A69),"",index('Supplemental intervention-level'!$M:$M,match(1,('Supplemental intervention-level'!$C:$C=$A69)*('Supplemental intervention-level'!$A:$A="Deworming"),0))),"Not specified")</f>
        <v>0.008</v>
      </c>
      <c r="AF69" s="226">
        <f t="array" ref="AF69">iferror(if(isblank($A69),"",index('Supplemental intervention-level'!$M:$M,match(1,('Supplemental intervention-level'!$C:$C=$A69)*('Supplemental intervention-level'!$A:$A="Deworming"),0))),"Not specified")</f>
        <v>0.008</v>
      </c>
      <c r="AG69" s="226">
        <f t="array" ref="AG69">iferror(if(isblank($A69),"",index('Supplemental intervention-level'!$M:$M,match(1,('Supplemental intervention-level'!$C:$C=$A69)*('Supplemental intervention-level'!$A:$A="Deworming"),0))),"Not specified")</f>
        <v>0.008</v>
      </c>
      <c r="AH69" s="226">
        <f t="array" ref="AH69">iferror(if(isblank($A69),"",index('Supplemental intervention-level'!$M:$M,match(1,('Supplemental intervention-level'!$C:$C=$A69)*('Supplemental intervention-level'!$A:$A="Deworming"),0))),"Not specified")</f>
        <v>0.008</v>
      </c>
      <c r="AI69" s="226">
        <f t="array" ref="AI69">iferror(if(isblank($A69),"",index('Supplemental intervention-level'!$M:$M,match(1,('Supplemental intervention-level'!$C:$C=$A69)*('Supplemental intervention-level'!$A:$A="Deworming"),0))),"Not specified")</f>
        <v>0.008</v>
      </c>
      <c r="AJ69" s="226">
        <f t="array" ref="AJ69">iferror(if(isblank($A69),"",index('Supplemental intervention-level'!$M:$M,match(1,('Supplemental intervention-level'!$C:$C=$A69)*('Supplemental intervention-level'!$A:$A="Deworming"),0))),"Not specified")</f>
        <v>0.008</v>
      </c>
      <c r="AK69" s="226">
        <f t="array" ref="AK69">iferror(if(isblank($A69),"",index('Supplemental intervention-level'!$M:$M,match(1,('Supplemental intervention-level'!$C:$C=$A69)*('Supplemental intervention-level'!$A:$A="Deworming"),0))),"Not specified")</f>
        <v>0.008</v>
      </c>
      <c r="AL69" s="226">
        <f t="array" ref="AL69">iferror(if(isblank($A69),"",index('Supplemental intervention-level'!$M:$M,match(1,('Supplemental intervention-level'!$C:$C=$A69)*('Supplemental intervention-level'!$A:$A="Deworming"),0))),"Not specified")</f>
        <v>0.008</v>
      </c>
      <c r="AM69" s="226">
        <f t="array" ref="AM69">iferror(if(isblank($A69),"",index('Supplemental intervention-level'!$M:$M,match(1,('Supplemental intervention-level'!$C:$C=$A69)*('Supplemental intervention-level'!$A:$A="Deworming"),0))),"Not specified")</f>
        <v>0.008</v>
      </c>
      <c r="AN69" s="226">
        <f t="array" ref="AN69">iferror(if(isblank($A69),"",index('Supplemental intervention-level'!$M:$M,match(1,('Supplemental intervention-level'!$C:$C=$A69)*('Supplemental intervention-level'!$A:$A="Deworming"),0))),"Not specified")</f>
        <v>0.008</v>
      </c>
      <c r="AO69" s="226">
        <f t="array" ref="AO69">iferror(if(isblank($A69),"",index('Supplemental intervention-level'!$M:$M,match(1,('Supplemental intervention-level'!$C:$C=$A69)*('Supplemental intervention-level'!$A:$A="Deworming"),0))),"Not specified")</f>
        <v>0.008</v>
      </c>
    </row>
    <row r="70" outlineLevel="1">
      <c r="A70" s="116" t="str">
        <f>IFERROR(__xludf.DUMMYFUNCTION("""COMPUTED_VALUE"""),"HIV reduction")</f>
        <v>HIV reduction</v>
      </c>
      <c r="B70" s="226">
        <f t="array" ref="B70">iferror(if(isblank($A70),"",index('Supplemental intervention-level'!$M:$M,match(1,('Supplemental intervention-level'!$C:$C=$A70)*('Supplemental intervention-level'!$A:$A="Deworming"),0))),"Not specified")</f>
        <v>0.06</v>
      </c>
      <c r="C70" s="226">
        <f t="array" ref="C70">iferror(if(isblank($A70),"",index('Supplemental intervention-level'!$M:$M,match(1,('Supplemental intervention-level'!$C:$C=$A70)*('Supplemental intervention-level'!$A:$A="Deworming"),0))),"Not specified")</f>
        <v>0.06</v>
      </c>
      <c r="D70" s="226">
        <f t="array" ref="D70">iferror(if(isblank($A70),"",index('Supplemental intervention-level'!$M:$M,match(1,('Supplemental intervention-level'!$C:$C=$A70)*('Supplemental intervention-level'!$A:$A="Deworming"),0))),"Not specified")</f>
        <v>0.06</v>
      </c>
      <c r="E70" s="226">
        <f t="array" ref="E70">iferror(if(isblank($A70),"",index('Supplemental intervention-level'!$M:$M,match(1,('Supplemental intervention-level'!$C:$C=$A70)*('Supplemental intervention-level'!$A:$A="Deworming"),0))),"Not specified")</f>
        <v>0.06</v>
      </c>
      <c r="F70" s="226">
        <f t="array" ref="F70">iferror(if(isblank($A70),"",index('Supplemental intervention-level'!$M:$M,match(1,('Supplemental intervention-level'!$C:$C=$A70)*('Supplemental intervention-level'!$A:$A="Deworming"),0))),"Not specified")</f>
        <v>0.06</v>
      </c>
      <c r="G70" s="226">
        <f t="array" ref="G70">iferror(if(isblank($A70),"",index('Supplemental intervention-level'!$M:$M,match(1,('Supplemental intervention-level'!$C:$C=$A70)*('Supplemental intervention-level'!$A:$A="Deworming"),0))),"Not specified")</f>
        <v>0.06</v>
      </c>
      <c r="H70" s="226">
        <f t="array" ref="H70">iferror(if(isblank($A70),"",index('Supplemental intervention-level'!$M:$M,match(1,('Supplemental intervention-level'!$C:$C=$A70)*('Supplemental intervention-level'!$A:$A="Deworming"),0))),"Not specified")</f>
        <v>0.06</v>
      </c>
      <c r="I70" s="226">
        <f t="array" ref="I70">iferror(if(isblank($A70),"",index('Supplemental intervention-level'!$M:$M,match(1,('Supplemental intervention-level'!$C:$C=$A70)*('Supplemental intervention-level'!$A:$A="Deworming"),0))),"Not specified")</f>
        <v>0.06</v>
      </c>
      <c r="J70" s="226">
        <f t="array" ref="J70">iferror(if(isblank($A70),"",index('Supplemental intervention-level'!$M:$M,match(1,('Supplemental intervention-level'!$C:$C=$A70)*('Supplemental intervention-level'!$A:$A="Deworming"),0))),"Not specified")</f>
        <v>0.06</v>
      </c>
      <c r="K70" s="226">
        <f t="array" ref="K70">iferror(if(isblank($A70),"",index('Supplemental intervention-level'!$M:$M,match(1,('Supplemental intervention-level'!$C:$C=$A70)*('Supplemental intervention-level'!$A:$A="Deworming"),0))),"Not specified")</f>
        <v>0.06</v>
      </c>
      <c r="L70" s="226">
        <f t="array" ref="L70">iferror(if(isblank($A70),"",index('Supplemental intervention-level'!$M:$M,match(1,('Supplemental intervention-level'!$C:$C=$A70)*('Supplemental intervention-level'!$A:$A="Deworming"),0))),"Not specified")</f>
        <v>0.06</v>
      </c>
      <c r="M70" s="226">
        <f t="array" ref="M70">iferror(if(isblank($A70),"",index('Supplemental intervention-level'!$M:$M,match(1,('Supplemental intervention-level'!$C:$C=$A70)*('Supplemental intervention-level'!$A:$A="Deworming"),0))),"Not specified")</f>
        <v>0.06</v>
      </c>
      <c r="N70" s="226">
        <f t="array" ref="N70">iferror(if(isblank($A70),"",index('Supplemental intervention-level'!$M:$M,match(1,('Supplemental intervention-level'!$C:$C=$A70)*('Supplemental intervention-level'!$A:$A="Deworming"),0))),"Not specified")</f>
        <v>0.06</v>
      </c>
      <c r="O70" s="226">
        <f t="array" ref="O70">iferror(if(isblank($A70),"",index('Supplemental intervention-level'!$M:$M,match(1,('Supplemental intervention-level'!$C:$C=$A70)*('Supplemental intervention-level'!$A:$A="Deworming"),0))),"Not specified")</f>
        <v>0.06</v>
      </c>
      <c r="P70" s="226">
        <f t="array" ref="P70">iferror(if(isblank($A70),"",index('Supplemental intervention-level'!$M:$M,match(1,('Supplemental intervention-level'!$C:$C=$A70)*('Supplemental intervention-level'!$A:$A="Deworming"),0))),"Not specified")</f>
        <v>0.06</v>
      </c>
      <c r="Q70" s="226">
        <f t="array" ref="Q70">iferror(if(isblank($A70),"",index('Supplemental intervention-level'!$M:$M,match(1,('Supplemental intervention-level'!$C:$C=$A70)*('Supplemental intervention-level'!$A:$A="Deworming"),0))),"Not specified")</f>
        <v>0.06</v>
      </c>
      <c r="R70" s="226">
        <f t="array" ref="R70">iferror(if(isblank($A70),"",index('Supplemental intervention-level'!$M:$M,match(1,('Supplemental intervention-level'!$C:$C=$A70)*('Supplemental intervention-level'!$A:$A="Deworming"),0))),"Not specified")</f>
        <v>0.06</v>
      </c>
      <c r="S70" s="226">
        <f t="array" ref="S70">iferror(if(isblank($A70),"",index('Supplemental intervention-level'!$M:$M,match(1,('Supplemental intervention-level'!$C:$C=$A70)*('Supplemental intervention-level'!$A:$A="Deworming"),0))),"Not specified")</f>
        <v>0.06</v>
      </c>
      <c r="T70" s="226">
        <f t="array" ref="T70">iferror(if(isblank($A70),"",index('Supplemental intervention-level'!$M:$M,match(1,('Supplemental intervention-level'!$C:$C=$A70)*('Supplemental intervention-level'!$A:$A="Deworming"),0))),"Not specified")</f>
        <v>0.06</v>
      </c>
      <c r="U70" s="226">
        <f t="array" ref="U70">iferror(if(isblank($A70),"",index('Supplemental intervention-level'!$M:$M,match(1,('Supplemental intervention-level'!$C:$C=$A70)*('Supplemental intervention-level'!$A:$A="Deworming"),0))),"Not specified")</f>
        <v>0.06</v>
      </c>
      <c r="V70" s="226">
        <f t="array" ref="V70">iferror(if(isblank($A70),"",index('Supplemental intervention-level'!$M:$M,match(1,('Supplemental intervention-level'!$C:$C=$A70)*('Supplemental intervention-level'!$A:$A="Deworming"),0))),"Not specified")</f>
        <v>0.06</v>
      </c>
      <c r="W70" s="226">
        <f t="array" ref="W70">iferror(if(isblank($A70),"",index('Supplemental intervention-level'!$M:$M,match(1,('Supplemental intervention-level'!$C:$C=$A70)*('Supplemental intervention-level'!$A:$A="Deworming"),0))),"Not specified")</f>
        <v>0.06</v>
      </c>
      <c r="X70" s="226">
        <f t="array" ref="X70">iferror(if(isblank($A70),"",index('Supplemental intervention-level'!$M:$M,match(1,('Supplemental intervention-level'!$C:$C=$A70)*('Supplemental intervention-level'!$A:$A="Deworming"),0))),"Not specified")</f>
        <v>0.06</v>
      </c>
      <c r="Y70" s="226">
        <f t="array" ref="Y70">iferror(if(isblank($A70),"",index('Supplemental intervention-level'!$M:$M,match(1,('Supplemental intervention-level'!$C:$C=$A70)*('Supplemental intervention-level'!$A:$A="Deworming"),0))),"Not specified")</f>
        <v>0.06</v>
      </c>
      <c r="Z70" s="226">
        <f t="array" ref="Z70">iferror(if(isblank($A70),"",index('Supplemental intervention-level'!$M:$M,match(1,('Supplemental intervention-level'!$C:$C=$A70)*('Supplemental intervention-level'!$A:$A="Deworming"),0))),"Not specified")</f>
        <v>0.06</v>
      </c>
      <c r="AA70" s="226">
        <f t="array" ref="AA70">iferror(if(isblank($A70),"",index('Supplemental intervention-level'!$M:$M,match(1,('Supplemental intervention-level'!$C:$C=$A70)*('Supplemental intervention-level'!$A:$A="Deworming"),0))),"Not specified")</f>
        <v>0.06</v>
      </c>
      <c r="AB70" s="226">
        <f t="array" ref="AB70">iferror(if(isblank($A70),"",index('Supplemental intervention-level'!$M:$M,match(1,('Supplemental intervention-level'!$C:$C=$A70)*('Supplemental intervention-level'!$A:$A="Deworming"),0))),"Not specified")</f>
        <v>0.06</v>
      </c>
      <c r="AC70" s="226">
        <f t="array" ref="AC70">iferror(if(isblank($A70),"",index('Supplemental intervention-level'!$M:$M,match(1,('Supplemental intervention-level'!$C:$C=$A70)*('Supplemental intervention-level'!$A:$A="Deworming"),0))),"Not specified")</f>
        <v>0.06</v>
      </c>
      <c r="AD70" s="226">
        <f t="array" ref="AD70">iferror(if(isblank($A70),"",index('Supplemental intervention-level'!$M:$M,match(1,('Supplemental intervention-level'!$C:$C=$A70)*('Supplemental intervention-level'!$A:$A="Deworming"),0))),"Not specified")</f>
        <v>0.06</v>
      </c>
      <c r="AE70" s="226">
        <f t="array" ref="AE70">iferror(if(isblank($A70),"",index('Supplemental intervention-level'!$M:$M,match(1,('Supplemental intervention-level'!$C:$C=$A70)*('Supplemental intervention-level'!$A:$A="Deworming"),0))),"Not specified")</f>
        <v>0.06</v>
      </c>
      <c r="AF70" s="226">
        <f t="array" ref="AF70">iferror(if(isblank($A70),"",index('Supplemental intervention-level'!$M:$M,match(1,('Supplemental intervention-level'!$C:$C=$A70)*('Supplemental intervention-level'!$A:$A="Deworming"),0))),"Not specified")</f>
        <v>0.06</v>
      </c>
      <c r="AG70" s="226">
        <f t="array" ref="AG70">iferror(if(isblank($A70),"",index('Supplemental intervention-level'!$M:$M,match(1,('Supplemental intervention-level'!$C:$C=$A70)*('Supplemental intervention-level'!$A:$A="Deworming"),0))),"Not specified")</f>
        <v>0.06</v>
      </c>
      <c r="AH70" s="226">
        <f t="array" ref="AH70">iferror(if(isblank($A70),"",index('Supplemental intervention-level'!$M:$M,match(1,('Supplemental intervention-level'!$C:$C=$A70)*('Supplemental intervention-level'!$A:$A="Deworming"),0))),"Not specified")</f>
        <v>0.06</v>
      </c>
      <c r="AI70" s="226">
        <f t="array" ref="AI70">iferror(if(isblank($A70),"",index('Supplemental intervention-level'!$M:$M,match(1,('Supplemental intervention-level'!$C:$C=$A70)*('Supplemental intervention-level'!$A:$A="Deworming"),0))),"Not specified")</f>
        <v>0.06</v>
      </c>
      <c r="AJ70" s="226">
        <f t="array" ref="AJ70">iferror(if(isblank($A70),"",index('Supplemental intervention-level'!$M:$M,match(1,('Supplemental intervention-level'!$C:$C=$A70)*('Supplemental intervention-level'!$A:$A="Deworming"),0))),"Not specified")</f>
        <v>0.06</v>
      </c>
      <c r="AK70" s="226">
        <f t="array" ref="AK70">iferror(if(isblank($A70),"",index('Supplemental intervention-level'!$M:$M,match(1,('Supplemental intervention-level'!$C:$C=$A70)*('Supplemental intervention-level'!$A:$A="Deworming"),0))),"Not specified")</f>
        <v>0.06</v>
      </c>
      <c r="AL70" s="226">
        <f t="array" ref="AL70">iferror(if(isblank($A70),"",index('Supplemental intervention-level'!$M:$M,match(1,('Supplemental intervention-level'!$C:$C=$A70)*('Supplemental intervention-level'!$A:$A="Deworming"),0))),"Not specified")</f>
        <v>0.06</v>
      </c>
      <c r="AM70" s="226">
        <f t="array" ref="AM70">iferror(if(isblank($A70),"",index('Supplemental intervention-level'!$M:$M,match(1,('Supplemental intervention-level'!$C:$C=$A70)*('Supplemental intervention-level'!$A:$A="Deworming"),0))),"Not specified")</f>
        <v>0.06</v>
      </c>
      <c r="AN70" s="226">
        <f t="array" ref="AN70">iferror(if(isblank($A70),"",index('Supplemental intervention-level'!$M:$M,match(1,('Supplemental intervention-level'!$C:$C=$A70)*('Supplemental intervention-level'!$A:$A="Deworming"),0))),"Not specified")</f>
        <v>0.06</v>
      </c>
      <c r="AO70" s="226">
        <f t="array" ref="AO70">iferror(if(isblank($A70),"",index('Supplemental intervention-level'!$M:$M,match(1,('Supplemental intervention-level'!$C:$C=$A70)*('Supplemental intervention-level'!$A:$A="Deworming"),0))),"Not specified")</f>
        <v>0.06</v>
      </c>
    </row>
    <row r="71" outlineLevel="1">
      <c r="A71" s="116" t="str">
        <f>IFERROR(__xludf.DUMMYFUNCTION("""COMPUTED_VALUE"""),"Possible increases in diseases of affluence (harms of deworming)")</f>
        <v>Possible increases in diseases of affluence (harms of deworming)</v>
      </c>
      <c r="B71" s="226">
        <f t="array" ref="B71">iferror(if(isblank($A71),"",index('Supplemental intervention-level'!$M:$M,match(1,('Supplemental intervention-level'!$C:$C=$A71)*('Supplemental intervention-level'!$A:$A="Deworming"),0))),"Not specified")</f>
        <v>-0.025</v>
      </c>
      <c r="C71" s="226">
        <f t="array" ref="C71">iferror(if(isblank($A71),"",index('Supplemental intervention-level'!$M:$M,match(1,('Supplemental intervention-level'!$C:$C=$A71)*('Supplemental intervention-level'!$A:$A="Deworming"),0))),"Not specified")</f>
        <v>-0.025</v>
      </c>
      <c r="D71" s="226">
        <f t="array" ref="D71">iferror(if(isblank($A71),"",index('Supplemental intervention-level'!$M:$M,match(1,('Supplemental intervention-level'!$C:$C=$A71)*('Supplemental intervention-level'!$A:$A="Deworming"),0))),"Not specified")</f>
        <v>-0.025</v>
      </c>
      <c r="E71" s="226">
        <f t="array" ref="E71">iferror(if(isblank($A71),"",index('Supplemental intervention-level'!$M:$M,match(1,('Supplemental intervention-level'!$C:$C=$A71)*('Supplemental intervention-level'!$A:$A="Deworming"),0))),"Not specified")</f>
        <v>-0.025</v>
      </c>
      <c r="F71" s="226">
        <f t="array" ref="F71">iferror(if(isblank($A71),"",index('Supplemental intervention-level'!$M:$M,match(1,('Supplemental intervention-level'!$C:$C=$A71)*('Supplemental intervention-level'!$A:$A="Deworming"),0))),"Not specified")</f>
        <v>-0.025</v>
      </c>
      <c r="G71" s="226">
        <f t="array" ref="G71">iferror(if(isblank($A71),"",index('Supplemental intervention-level'!$M:$M,match(1,('Supplemental intervention-level'!$C:$C=$A71)*('Supplemental intervention-level'!$A:$A="Deworming"),0))),"Not specified")</f>
        <v>-0.025</v>
      </c>
      <c r="H71" s="226">
        <f t="array" ref="H71">iferror(if(isblank($A71),"",index('Supplemental intervention-level'!$M:$M,match(1,('Supplemental intervention-level'!$C:$C=$A71)*('Supplemental intervention-level'!$A:$A="Deworming"),0))),"Not specified")</f>
        <v>-0.025</v>
      </c>
      <c r="I71" s="226">
        <f t="array" ref="I71">iferror(if(isblank($A71),"",index('Supplemental intervention-level'!$M:$M,match(1,('Supplemental intervention-level'!$C:$C=$A71)*('Supplemental intervention-level'!$A:$A="Deworming"),0))),"Not specified")</f>
        <v>-0.025</v>
      </c>
      <c r="J71" s="226">
        <f t="array" ref="J71">iferror(if(isblank($A71),"",index('Supplemental intervention-level'!$M:$M,match(1,('Supplemental intervention-level'!$C:$C=$A71)*('Supplemental intervention-level'!$A:$A="Deworming"),0))),"Not specified")</f>
        <v>-0.025</v>
      </c>
      <c r="K71" s="226">
        <f t="array" ref="K71">iferror(if(isblank($A71),"",index('Supplemental intervention-level'!$M:$M,match(1,('Supplemental intervention-level'!$C:$C=$A71)*('Supplemental intervention-level'!$A:$A="Deworming"),0))),"Not specified")</f>
        <v>-0.025</v>
      </c>
      <c r="L71" s="226">
        <f t="array" ref="L71">iferror(if(isblank($A71),"",index('Supplemental intervention-level'!$M:$M,match(1,('Supplemental intervention-level'!$C:$C=$A71)*('Supplemental intervention-level'!$A:$A="Deworming"),0))),"Not specified")</f>
        <v>-0.025</v>
      </c>
      <c r="M71" s="226">
        <f t="array" ref="M71">iferror(if(isblank($A71),"",index('Supplemental intervention-level'!$M:$M,match(1,('Supplemental intervention-level'!$C:$C=$A71)*('Supplemental intervention-level'!$A:$A="Deworming"),0))),"Not specified")</f>
        <v>-0.025</v>
      </c>
      <c r="N71" s="226">
        <f t="array" ref="N71">iferror(if(isblank($A71),"",index('Supplemental intervention-level'!$M:$M,match(1,('Supplemental intervention-level'!$C:$C=$A71)*('Supplemental intervention-level'!$A:$A="Deworming"),0))),"Not specified")</f>
        <v>-0.025</v>
      </c>
      <c r="O71" s="226">
        <f t="array" ref="O71">iferror(if(isblank($A71),"",index('Supplemental intervention-level'!$M:$M,match(1,('Supplemental intervention-level'!$C:$C=$A71)*('Supplemental intervention-level'!$A:$A="Deworming"),0))),"Not specified")</f>
        <v>-0.025</v>
      </c>
      <c r="P71" s="226">
        <f t="array" ref="P71">iferror(if(isblank($A71),"",index('Supplemental intervention-level'!$M:$M,match(1,('Supplemental intervention-level'!$C:$C=$A71)*('Supplemental intervention-level'!$A:$A="Deworming"),0))),"Not specified")</f>
        <v>-0.025</v>
      </c>
      <c r="Q71" s="226">
        <f t="array" ref="Q71">iferror(if(isblank($A71),"",index('Supplemental intervention-level'!$M:$M,match(1,('Supplemental intervention-level'!$C:$C=$A71)*('Supplemental intervention-level'!$A:$A="Deworming"),0))),"Not specified")</f>
        <v>-0.025</v>
      </c>
      <c r="R71" s="226">
        <f t="array" ref="R71">iferror(if(isblank($A71),"",index('Supplemental intervention-level'!$M:$M,match(1,('Supplemental intervention-level'!$C:$C=$A71)*('Supplemental intervention-level'!$A:$A="Deworming"),0))),"Not specified")</f>
        <v>-0.025</v>
      </c>
      <c r="S71" s="226">
        <f t="array" ref="S71">iferror(if(isblank($A71),"",index('Supplemental intervention-level'!$M:$M,match(1,('Supplemental intervention-level'!$C:$C=$A71)*('Supplemental intervention-level'!$A:$A="Deworming"),0))),"Not specified")</f>
        <v>-0.025</v>
      </c>
      <c r="T71" s="226">
        <f t="array" ref="T71">iferror(if(isblank($A71),"",index('Supplemental intervention-level'!$M:$M,match(1,('Supplemental intervention-level'!$C:$C=$A71)*('Supplemental intervention-level'!$A:$A="Deworming"),0))),"Not specified")</f>
        <v>-0.025</v>
      </c>
      <c r="U71" s="226">
        <f t="array" ref="U71">iferror(if(isblank($A71),"",index('Supplemental intervention-level'!$M:$M,match(1,('Supplemental intervention-level'!$C:$C=$A71)*('Supplemental intervention-level'!$A:$A="Deworming"),0))),"Not specified")</f>
        <v>-0.025</v>
      </c>
      <c r="V71" s="226">
        <f t="array" ref="V71">iferror(if(isblank($A71),"",index('Supplemental intervention-level'!$M:$M,match(1,('Supplemental intervention-level'!$C:$C=$A71)*('Supplemental intervention-level'!$A:$A="Deworming"),0))),"Not specified")</f>
        <v>-0.025</v>
      </c>
      <c r="W71" s="226">
        <f t="array" ref="W71">iferror(if(isblank($A71),"",index('Supplemental intervention-level'!$M:$M,match(1,('Supplemental intervention-level'!$C:$C=$A71)*('Supplemental intervention-level'!$A:$A="Deworming"),0))),"Not specified")</f>
        <v>-0.025</v>
      </c>
      <c r="X71" s="226">
        <f t="array" ref="X71">iferror(if(isblank($A71),"",index('Supplemental intervention-level'!$M:$M,match(1,('Supplemental intervention-level'!$C:$C=$A71)*('Supplemental intervention-level'!$A:$A="Deworming"),0))),"Not specified")</f>
        <v>-0.025</v>
      </c>
      <c r="Y71" s="226">
        <f t="array" ref="Y71">iferror(if(isblank($A71),"",index('Supplemental intervention-level'!$M:$M,match(1,('Supplemental intervention-level'!$C:$C=$A71)*('Supplemental intervention-level'!$A:$A="Deworming"),0))),"Not specified")</f>
        <v>-0.025</v>
      </c>
      <c r="Z71" s="226">
        <f t="array" ref="Z71">iferror(if(isblank($A71),"",index('Supplemental intervention-level'!$M:$M,match(1,('Supplemental intervention-level'!$C:$C=$A71)*('Supplemental intervention-level'!$A:$A="Deworming"),0))),"Not specified")</f>
        <v>-0.025</v>
      </c>
      <c r="AA71" s="226">
        <f t="array" ref="AA71">iferror(if(isblank($A71),"",index('Supplemental intervention-level'!$M:$M,match(1,('Supplemental intervention-level'!$C:$C=$A71)*('Supplemental intervention-level'!$A:$A="Deworming"),0))),"Not specified")</f>
        <v>-0.025</v>
      </c>
      <c r="AB71" s="226">
        <f t="array" ref="AB71">iferror(if(isblank($A71),"",index('Supplemental intervention-level'!$M:$M,match(1,('Supplemental intervention-level'!$C:$C=$A71)*('Supplemental intervention-level'!$A:$A="Deworming"),0))),"Not specified")</f>
        <v>-0.025</v>
      </c>
      <c r="AC71" s="226">
        <f t="array" ref="AC71">iferror(if(isblank($A71),"",index('Supplemental intervention-level'!$M:$M,match(1,('Supplemental intervention-level'!$C:$C=$A71)*('Supplemental intervention-level'!$A:$A="Deworming"),0))),"Not specified")</f>
        <v>-0.025</v>
      </c>
      <c r="AD71" s="226">
        <f t="array" ref="AD71">iferror(if(isblank($A71),"",index('Supplemental intervention-level'!$M:$M,match(1,('Supplemental intervention-level'!$C:$C=$A71)*('Supplemental intervention-level'!$A:$A="Deworming"),0))),"Not specified")</f>
        <v>-0.025</v>
      </c>
      <c r="AE71" s="226">
        <f t="array" ref="AE71">iferror(if(isblank($A71),"",index('Supplemental intervention-level'!$M:$M,match(1,('Supplemental intervention-level'!$C:$C=$A71)*('Supplemental intervention-level'!$A:$A="Deworming"),0))),"Not specified")</f>
        <v>-0.025</v>
      </c>
      <c r="AF71" s="226">
        <f t="array" ref="AF71">iferror(if(isblank($A71),"",index('Supplemental intervention-level'!$M:$M,match(1,('Supplemental intervention-level'!$C:$C=$A71)*('Supplemental intervention-level'!$A:$A="Deworming"),0))),"Not specified")</f>
        <v>-0.025</v>
      </c>
      <c r="AG71" s="226">
        <f t="array" ref="AG71">iferror(if(isblank($A71),"",index('Supplemental intervention-level'!$M:$M,match(1,('Supplemental intervention-level'!$C:$C=$A71)*('Supplemental intervention-level'!$A:$A="Deworming"),0))),"Not specified")</f>
        <v>-0.025</v>
      </c>
      <c r="AH71" s="226">
        <f t="array" ref="AH71">iferror(if(isblank($A71),"",index('Supplemental intervention-level'!$M:$M,match(1,('Supplemental intervention-level'!$C:$C=$A71)*('Supplemental intervention-level'!$A:$A="Deworming"),0))),"Not specified")</f>
        <v>-0.025</v>
      </c>
      <c r="AI71" s="226">
        <f t="array" ref="AI71">iferror(if(isblank($A71),"",index('Supplemental intervention-level'!$M:$M,match(1,('Supplemental intervention-level'!$C:$C=$A71)*('Supplemental intervention-level'!$A:$A="Deworming"),0))),"Not specified")</f>
        <v>-0.025</v>
      </c>
      <c r="AJ71" s="226">
        <f t="array" ref="AJ71">iferror(if(isblank($A71),"",index('Supplemental intervention-level'!$M:$M,match(1,('Supplemental intervention-level'!$C:$C=$A71)*('Supplemental intervention-level'!$A:$A="Deworming"),0))),"Not specified")</f>
        <v>-0.025</v>
      </c>
      <c r="AK71" s="226">
        <f t="array" ref="AK71">iferror(if(isblank($A71),"",index('Supplemental intervention-level'!$M:$M,match(1,('Supplemental intervention-level'!$C:$C=$A71)*('Supplemental intervention-level'!$A:$A="Deworming"),0))),"Not specified")</f>
        <v>-0.025</v>
      </c>
      <c r="AL71" s="226">
        <f t="array" ref="AL71">iferror(if(isblank($A71),"",index('Supplemental intervention-level'!$M:$M,match(1,('Supplemental intervention-level'!$C:$C=$A71)*('Supplemental intervention-level'!$A:$A="Deworming"),0))),"Not specified")</f>
        <v>-0.025</v>
      </c>
      <c r="AM71" s="226">
        <f t="array" ref="AM71">iferror(if(isblank($A71),"",index('Supplemental intervention-level'!$M:$M,match(1,('Supplemental intervention-level'!$C:$C=$A71)*('Supplemental intervention-level'!$A:$A="Deworming"),0))),"Not specified")</f>
        <v>-0.025</v>
      </c>
      <c r="AN71" s="226">
        <f t="array" ref="AN71">iferror(if(isblank($A71),"",index('Supplemental intervention-level'!$M:$M,match(1,('Supplemental intervention-level'!$C:$C=$A71)*('Supplemental intervention-level'!$A:$A="Deworming"),0))),"Not specified")</f>
        <v>-0.025</v>
      </c>
      <c r="AO71" s="226">
        <f t="array" ref="AO71">iferror(if(isblank($A71),"",index('Supplemental intervention-level'!$M:$M,match(1,('Supplemental intervention-level'!$C:$C=$A71)*('Supplemental intervention-level'!$A:$A="Deworming"),0))),"Not specified")</f>
        <v>-0.025</v>
      </c>
    </row>
    <row r="72" outlineLevel="1">
      <c r="A72" s="116" t="str">
        <f>IFERROR(__xludf.DUMMYFUNCTION("""COMPUTED_VALUE"""),"Averted mortality")</f>
        <v>Averted mortality</v>
      </c>
      <c r="B72" s="226">
        <f t="array" ref="B72">iferror(if(isblank($A72),"",index('Supplemental intervention-level'!$M:$M,match(1,('Supplemental intervention-level'!$C:$C=$A72)*('Supplemental intervention-level'!$A:$A="Deworming"),0))),"Not specified")</f>
        <v>0.035</v>
      </c>
      <c r="C72" s="226">
        <f t="array" ref="C72">iferror(if(isblank($A72),"",index('Supplemental intervention-level'!$M:$M,match(1,('Supplemental intervention-level'!$C:$C=$A72)*('Supplemental intervention-level'!$A:$A="Deworming"),0))),"Not specified")</f>
        <v>0.035</v>
      </c>
      <c r="D72" s="226">
        <f t="array" ref="D72">iferror(if(isblank($A72),"",index('Supplemental intervention-level'!$M:$M,match(1,('Supplemental intervention-level'!$C:$C=$A72)*('Supplemental intervention-level'!$A:$A="Deworming"),0))),"Not specified")</f>
        <v>0.035</v>
      </c>
      <c r="E72" s="226">
        <f t="array" ref="E72">iferror(if(isblank($A72),"",index('Supplemental intervention-level'!$M:$M,match(1,('Supplemental intervention-level'!$C:$C=$A72)*('Supplemental intervention-level'!$A:$A="Deworming"),0))),"Not specified")</f>
        <v>0.035</v>
      </c>
      <c r="F72" s="226">
        <f t="array" ref="F72">iferror(if(isblank($A72),"",index('Supplemental intervention-level'!$M:$M,match(1,('Supplemental intervention-level'!$C:$C=$A72)*('Supplemental intervention-level'!$A:$A="Deworming"),0))),"Not specified")</f>
        <v>0.035</v>
      </c>
      <c r="G72" s="226">
        <f t="array" ref="G72">iferror(if(isblank($A72),"",index('Supplemental intervention-level'!$M:$M,match(1,('Supplemental intervention-level'!$C:$C=$A72)*('Supplemental intervention-level'!$A:$A="Deworming"),0))),"Not specified")</f>
        <v>0.035</v>
      </c>
      <c r="H72" s="226">
        <f t="array" ref="H72">iferror(if(isblank($A72),"",index('Supplemental intervention-level'!$M:$M,match(1,('Supplemental intervention-level'!$C:$C=$A72)*('Supplemental intervention-level'!$A:$A="Deworming"),0))),"Not specified")</f>
        <v>0.035</v>
      </c>
      <c r="I72" s="226">
        <f t="array" ref="I72">iferror(if(isblank($A72),"",index('Supplemental intervention-level'!$M:$M,match(1,('Supplemental intervention-level'!$C:$C=$A72)*('Supplemental intervention-level'!$A:$A="Deworming"),0))),"Not specified")</f>
        <v>0.035</v>
      </c>
      <c r="J72" s="226">
        <f t="array" ref="J72">iferror(if(isblank($A72),"",index('Supplemental intervention-level'!$M:$M,match(1,('Supplemental intervention-level'!$C:$C=$A72)*('Supplemental intervention-level'!$A:$A="Deworming"),0))),"Not specified")</f>
        <v>0.035</v>
      </c>
      <c r="K72" s="226">
        <f t="array" ref="K72">iferror(if(isblank($A72),"",index('Supplemental intervention-level'!$M:$M,match(1,('Supplemental intervention-level'!$C:$C=$A72)*('Supplemental intervention-level'!$A:$A="Deworming"),0))),"Not specified")</f>
        <v>0.035</v>
      </c>
      <c r="L72" s="226">
        <f t="array" ref="L72">iferror(if(isblank($A72),"",index('Supplemental intervention-level'!$M:$M,match(1,('Supplemental intervention-level'!$C:$C=$A72)*('Supplemental intervention-level'!$A:$A="Deworming"),0))),"Not specified")</f>
        <v>0.035</v>
      </c>
      <c r="M72" s="226">
        <f t="array" ref="M72">iferror(if(isblank($A72),"",index('Supplemental intervention-level'!$M:$M,match(1,('Supplemental intervention-level'!$C:$C=$A72)*('Supplemental intervention-level'!$A:$A="Deworming"),0))),"Not specified")</f>
        <v>0.035</v>
      </c>
      <c r="N72" s="226">
        <f t="array" ref="N72">iferror(if(isblank($A72),"",index('Supplemental intervention-level'!$M:$M,match(1,('Supplemental intervention-level'!$C:$C=$A72)*('Supplemental intervention-level'!$A:$A="Deworming"),0))),"Not specified")</f>
        <v>0.035</v>
      </c>
      <c r="O72" s="226">
        <f t="array" ref="O72">iferror(if(isblank($A72),"",index('Supplemental intervention-level'!$M:$M,match(1,('Supplemental intervention-level'!$C:$C=$A72)*('Supplemental intervention-level'!$A:$A="Deworming"),0))),"Not specified")</f>
        <v>0.035</v>
      </c>
      <c r="P72" s="226">
        <f t="array" ref="P72">iferror(if(isblank($A72),"",index('Supplemental intervention-level'!$M:$M,match(1,('Supplemental intervention-level'!$C:$C=$A72)*('Supplemental intervention-level'!$A:$A="Deworming"),0))),"Not specified")</f>
        <v>0.035</v>
      </c>
      <c r="Q72" s="226">
        <f t="array" ref="Q72">iferror(if(isblank($A72),"",index('Supplemental intervention-level'!$M:$M,match(1,('Supplemental intervention-level'!$C:$C=$A72)*('Supplemental intervention-level'!$A:$A="Deworming"),0))),"Not specified")</f>
        <v>0.035</v>
      </c>
      <c r="R72" s="226">
        <f t="array" ref="R72">iferror(if(isblank($A72),"",index('Supplemental intervention-level'!$M:$M,match(1,('Supplemental intervention-level'!$C:$C=$A72)*('Supplemental intervention-level'!$A:$A="Deworming"),0))),"Not specified")</f>
        <v>0.035</v>
      </c>
      <c r="S72" s="226">
        <f t="array" ref="S72">iferror(if(isblank($A72),"",index('Supplemental intervention-level'!$M:$M,match(1,('Supplemental intervention-level'!$C:$C=$A72)*('Supplemental intervention-level'!$A:$A="Deworming"),0))),"Not specified")</f>
        <v>0.035</v>
      </c>
      <c r="T72" s="226">
        <f t="array" ref="T72">iferror(if(isblank($A72),"",index('Supplemental intervention-level'!$M:$M,match(1,('Supplemental intervention-level'!$C:$C=$A72)*('Supplemental intervention-level'!$A:$A="Deworming"),0))),"Not specified")</f>
        <v>0.035</v>
      </c>
      <c r="U72" s="226">
        <f t="array" ref="U72">iferror(if(isblank($A72),"",index('Supplemental intervention-level'!$M:$M,match(1,('Supplemental intervention-level'!$C:$C=$A72)*('Supplemental intervention-level'!$A:$A="Deworming"),0))),"Not specified")</f>
        <v>0.035</v>
      </c>
      <c r="V72" s="226">
        <f t="array" ref="V72">iferror(if(isblank($A72),"",index('Supplemental intervention-level'!$M:$M,match(1,('Supplemental intervention-level'!$C:$C=$A72)*('Supplemental intervention-level'!$A:$A="Deworming"),0))),"Not specified")</f>
        <v>0.035</v>
      </c>
      <c r="W72" s="226">
        <f t="array" ref="W72">iferror(if(isblank($A72),"",index('Supplemental intervention-level'!$M:$M,match(1,('Supplemental intervention-level'!$C:$C=$A72)*('Supplemental intervention-level'!$A:$A="Deworming"),0))),"Not specified")</f>
        <v>0.035</v>
      </c>
      <c r="X72" s="226">
        <f t="array" ref="X72">iferror(if(isblank($A72),"",index('Supplemental intervention-level'!$M:$M,match(1,('Supplemental intervention-level'!$C:$C=$A72)*('Supplemental intervention-level'!$A:$A="Deworming"),0))),"Not specified")</f>
        <v>0.035</v>
      </c>
      <c r="Y72" s="226">
        <f t="array" ref="Y72">iferror(if(isblank($A72),"",index('Supplemental intervention-level'!$M:$M,match(1,('Supplemental intervention-level'!$C:$C=$A72)*('Supplemental intervention-level'!$A:$A="Deworming"),0))),"Not specified")</f>
        <v>0.035</v>
      </c>
      <c r="Z72" s="226">
        <f t="array" ref="Z72">iferror(if(isblank($A72),"",index('Supplemental intervention-level'!$M:$M,match(1,('Supplemental intervention-level'!$C:$C=$A72)*('Supplemental intervention-level'!$A:$A="Deworming"),0))),"Not specified")</f>
        <v>0.035</v>
      </c>
      <c r="AA72" s="226">
        <f t="array" ref="AA72">iferror(if(isblank($A72),"",index('Supplemental intervention-level'!$M:$M,match(1,('Supplemental intervention-level'!$C:$C=$A72)*('Supplemental intervention-level'!$A:$A="Deworming"),0))),"Not specified")</f>
        <v>0.035</v>
      </c>
      <c r="AB72" s="226">
        <f t="array" ref="AB72">iferror(if(isblank($A72),"",index('Supplemental intervention-level'!$M:$M,match(1,('Supplemental intervention-level'!$C:$C=$A72)*('Supplemental intervention-level'!$A:$A="Deworming"),0))),"Not specified")</f>
        <v>0.035</v>
      </c>
      <c r="AC72" s="226">
        <f t="array" ref="AC72">iferror(if(isblank($A72),"",index('Supplemental intervention-level'!$M:$M,match(1,('Supplemental intervention-level'!$C:$C=$A72)*('Supplemental intervention-level'!$A:$A="Deworming"),0))),"Not specified")</f>
        <v>0.035</v>
      </c>
      <c r="AD72" s="226">
        <f t="array" ref="AD72">iferror(if(isblank($A72),"",index('Supplemental intervention-level'!$M:$M,match(1,('Supplemental intervention-level'!$C:$C=$A72)*('Supplemental intervention-level'!$A:$A="Deworming"),0))),"Not specified")</f>
        <v>0.035</v>
      </c>
      <c r="AE72" s="226">
        <f t="array" ref="AE72">iferror(if(isblank($A72),"",index('Supplemental intervention-level'!$M:$M,match(1,('Supplemental intervention-level'!$C:$C=$A72)*('Supplemental intervention-level'!$A:$A="Deworming"),0))),"Not specified")</f>
        <v>0.035</v>
      </c>
      <c r="AF72" s="226">
        <f t="array" ref="AF72">iferror(if(isblank($A72),"",index('Supplemental intervention-level'!$M:$M,match(1,('Supplemental intervention-level'!$C:$C=$A72)*('Supplemental intervention-level'!$A:$A="Deworming"),0))),"Not specified")</f>
        <v>0.035</v>
      </c>
      <c r="AG72" s="226">
        <f t="array" ref="AG72">iferror(if(isblank($A72),"",index('Supplemental intervention-level'!$M:$M,match(1,('Supplemental intervention-level'!$C:$C=$A72)*('Supplemental intervention-level'!$A:$A="Deworming"),0))),"Not specified")</f>
        <v>0.035</v>
      </c>
      <c r="AH72" s="226">
        <f t="array" ref="AH72">iferror(if(isblank($A72),"",index('Supplemental intervention-level'!$M:$M,match(1,('Supplemental intervention-level'!$C:$C=$A72)*('Supplemental intervention-level'!$A:$A="Deworming"),0))),"Not specified")</f>
        <v>0.035</v>
      </c>
      <c r="AI72" s="226">
        <f t="array" ref="AI72">iferror(if(isblank($A72),"",index('Supplemental intervention-level'!$M:$M,match(1,('Supplemental intervention-level'!$C:$C=$A72)*('Supplemental intervention-level'!$A:$A="Deworming"),0))),"Not specified")</f>
        <v>0.035</v>
      </c>
      <c r="AJ72" s="226">
        <f t="array" ref="AJ72">iferror(if(isblank($A72),"",index('Supplemental intervention-level'!$M:$M,match(1,('Supplemental intervention-level'!$C:$C=$A72)*('Supplemental intervention-level'!$A:$A="Deworming"),0))),"Not specified")</f>
        <v>0.035</v>
      </c>
      <c r="AK72" s="226">
        <f t="array" ref="AK72">iferror(if(isblank($A72),"",index('Supplemental intervention-level'!$M:$M,match(1,('Supplemental intervention-level'!$C:$C=$A72)*('Supplemental intervention-level'!$A:$A="Deworming"),0))),"Not specified")</f>
        <v>0.035</v>
      </c>
      <c r="AL72" s="226">
        <f t="array" ref="AL72">iferror(if(isblank($A72),"",index('Supplemental intervention-level'!$M:$M,match(1,('Supplemental intervention-level'!$C:$C=$A72)*('Supplemental intervention-level'!$A:$A="Deworming"),0))),"Not specified")</f>
        <v>0.035</v>
      </c>
      <c r="AM72" s="226">
        <f t="array" ref="AM72">iferror(if(isblank($A72),"",index('Supplemental intervention-level'!$M:$M,match(1,('Supplemental intervention-level'!$C:$C=$A72)*('Supplemental intervention-level'!$A:$A="Deworming"),0))),"Not specified")</f>
        <v>0.035</v>
      </c>
      <c r="AN72" s="226">
        <f t="array" ref="AN72">iferror(if(isblank($A72),"",index('Supplemental intervention-level'!$M:$M,match(1,('Supplemental intervention-level'!$C:$C=$A72)*('Supplemental intervention-level'!$A:$A="Deworming"),0))),"Not specified")</f>
        <v>0.035</v>
      </c>
      <c r="AO72" s="226">
        <f t="array" ref="AO72">iferror(if(isblank($A72),"",index('Supplemental intervention-level'!$M:$M,match(1,('Supplemental intervention-level'!$C:$C=$A72)*('Supplemental intervention-level'!$A:$A="Deworming"),0))),"Not specified")</f>
        <v>0.035</v>
      </c>
    </row>
    <row r="73" outlineLevel="1">
      <c r="A73" s="116" t="str">
        <f>IFERROR(__xludf.DUMMYFUNCTION("""COMPUTED_VALUE"""),"Short-term anemia effects")</f>
        <v>Short-term anemia effects</v>
      </c>
      <c r="B73" s="226">
        <f t="array" ref="B73">iferror(if(isblank($A73),"",index('Supplemental intervention-level'!$M:$M,match(1,('Supplemental intervention-level'!$C:$C=$A73)*('Supplemental intervention-level'!$A:$A="Deworming"),0))),"Not specified")</f>
        <v>0.09</v>
      </c>
      <c r="C73" s="226">
        <f t="array" ref="C73">iferror(if(isblank($A73),"",index('Supplemental intervention-level'!$M:$M,match(1,('Supplemental intervention-level'!$C:$C=$A73)*('Supplemental intervention-level'!$A:$A="Deworming"),0))),"Not specified")</f>
        <v>0.09</v>
      </c>
      <c r="D73" s="226">
        <f t="array" ref="D73">iferror(if(isblank($A73),"",index('Supplemental intervention-level'!$M:$M,match(1,('Supplemental intervention-level'!$C:$C=$A73)*('Supplemental intervention-level'!$A:$A="Deworming"),0))),"Not specified")</f>
        <v>0.09</v>
      </c>
      <c r="E73" s="226">
        <f t="array" ref="E73">iferror(if(isblank($A73),"",index('Supplemental intervention-level'!$M:$M,match(1,('Supplemental intervention-level'!$C:$C=$A73)*('Supplemental intervention-level'!$A:$A="Deworming"),0))),"Not specified")</f>
        <v>0.09</v>
      </c>
      <c r="F73" s="226">
        <f t="array" ref="F73">iferror(if(isblank($A73),"",index('Supplemental intervention-level'!$M:$M,match(1,('Supplemental intervention-level'!$C:$C=$A73)*('Supplemental intervention-level'!$A:$A="Deworming"),0))),"Not specified")</f>
        <v>0.09</v>
      </c>
      <c r="G73" s="226">
        <f t="array" ref="G73">iferror(if(isblank($A73),"",index('Supplemental intervention-level'!$M:$M,match(1,('Supplemental intervention-level'!$C:$C=$A73)*('Supplemental intervention-level'!$A:$A="Deworming"),0))),"Not specified")</f>
        <v>0.09</v>
      </c>
      <c r="H73" s="226">
        <f t="array" ref="H73">iferror(if(isblank($A73),"",index('Supplemental intervention-level'!$M:$M,match(1,('Supplemental intervention-level'!$C:$C=$A73)*('Supplemental intervention-level'!$A:$A="Deworming"),0))),"Not specified")</f>
        <v>0.09</v>
      </c>
      <c r="I73" s="226">
        <f t="array" ref="I73">iferror(if(isblank($A73),"",index('Supplemental intervention-level'!$M:$M,match(1,('Supplemental intervention-level'!$C:$C=$A73)*('Supplemental intervention-level'!$A:$A="Deworming"),0))),"Not specified")</f>
        <v>0.09</v>
      </c>
      <c r="J73" s="226">
        <f t="array" ref="J73">iferror(if(isblank($A73),"",index('Supplemental intervention-level'!$M:$M,match(1,('Supplemental intervention-level'!$C:$C=$A73)*('Supplemental intervention-level'!$A:$A="Deworming"),0))),"Not specified")</f>
        <v>0.09</v>
      </c>
      <c r="K73" s="226">
        <f t="array" ref="K73">iferror(if(isblank($A73),"",index('Supplemental intervention-level'!$M:$M,match(1,('Supplemental intervention-level'!$C:$C=$A73)*('Supplemental intervention-level'!$A:$A="Deworming"),0))),"Not specified")</f>
        <v>0.09</v>
      </c>
      <c r="L73" s="226">
        <f t="array" ref="L73">iferror(if(isblank($A73),"",index('Supplemental intervention-level'!$M:$M,match(1,('Supplemental intervention-level'!$C:$C=$A73)*('Supplemental intervention-level'!$A:$A="Deworming"),0))),"Not specified")</f>
        <v>0.09</v>
      </c>
      <c r="M73" s="226">
        <f t="array" ref="M73">iferror(if(isblank($A73),"",index('Supplemental intervention-level'!$M:$M,match(1,('Supplemental intervention-level'!$C:$C=$A73)*('Supplemental intervention-level'!$A:$A="Deworming"),0))),"Not specified")</f>
        <v>0.09</v>
      </c>
      <c r="N73" s="226">
        <f t="array" ref="N73">iferror(if(isblank($A73),"",index('Supplemental intervention-level'!$M:$M,match(1,('Supplemental intervention-level'!$C:$C=$A73)*('Supplemental intervention-level'!$A:$A="Deworming"),0))),"Not specified")</f>
        <v>0.09</v>
      </c>
      <c r="O73" s="226">
        <f t="array" ref="O73">iferror(if(isblank($A73),"",index('Supplemental intervention-level'!$M:$M,match(1,('Supplemental intervention-level'!$C:$C=$A73)*('Supplemental intervention-level'!$A:$A="Deworming"),0))),"Not specified")</f>
        <v>0.09</v>
      </c>
      <c r="P73" s="226">
        <f t="array" ref="P73">iferror(if(isblank($A73),"",index('Supplemental intervention-level'!$M:$M,match(1,('Supplemental intervention-level'!$C:$C=$A73)*('Supplemental intervention-level'!$A:$A="Deworming"),0))),"Not specified")</f>
        <v>0.09</v>
      </c>
      <c r="Q73" s="226">
        <f t="array" ref="Q73">iferror(if(isblank($A73),"",index('Supplemental intervention-level'!$M:$M,match(1,('Supplemental intervention-level'!$C:$C=$A73)*('Supplemental intervention-level'!$A:$A="Deworming"),0))),"Not specified")</f>
        <v>0.09</v>
      </c>
      <c r="R73" s="226">
        <f t="array" ref="R73">iferror(if(isblank($A73),"",index('Supplemental intervention-level'!$M:$M,match(1,('Supplemental intervention-level'!$C:$C=$A73)*('Supplemental intervention-level'!$A:$A="Deworming"),0))),"Not specified")</f>
        <v>0.09</v>
      </c>
      <c r="S73" s="226">
        <f t="array" ref="S73">iferror(if(isblank($A73),"",index('Supplemental intervention-level'!$M:$M,match(1,('Supplemental intervention-level'!$C:$C=$A73)*('Supplemental intervention-level'!$A:$A="Deworming"),0))),"Not specified")</f>
        <v>0.09</v>
      </c>
      <c r="T73" s="226">
        <f t="array" ref="T73">iferror(if(isblank($A73),"",index('Supplemental intervention-level'!$M:$M,match(1,('Supplemental intervention-level'!$C:$C=$A73)*('Supplemental intervention-level'!$A:$A="Deworming"),0))),"Not specified")</f>
        <v>0.09</v>
      </c>
      <c r="U73" s="226">
        <f t="array" ref="U73">iferror(if(isblank($A73),"",index('Supplemental intervention-level'!$M:$M,match(1,('Supplemental intervention-level'!$C:$C=$A73)*('Supplemental intervention-level'!$A:$A="Deworming"),0))),"Not specified")</f>
        <v>0.09</v>
      </c>
      <c r="V73" s="226">
        <f t="array" ref="V73">iferror(if(isblank($A73),"",index('Supplemental intervention-level'!$M:$M,match(1,('Supplemental intervention-level'!$C:$C=$A73)*('Supplemental intervention-level'!$A:$A="Deworming"),0))),"Not specified")</f>
        <v>0.09</v>
      </c>
      <c r="W73" s="226">
        <f t="array" ref="W73">iferror(if(isblank($A73),"",index('Supplemental intervention-level'!$M:$M,match(1,('Supplemental intervention-level'!$C:$C=$A73)*('Supplemental intervention-level'!$A:$A="Deworming"),0))),"Not specified")</f>
        <v>0.09</v>
      </c>
      <c r="X73" s="226">
        <f t="array" ref="X73">iferror(if(isblank($A73),"",index('Supplemental intervention-level'!$M:$M,match(1,('Supplemental intervention-level'!$C:$C=$A73)*('Supplemental intervention-level'!$A:$A="Deworming"),0))),"Not specified")</f>
        <v>0.09</v>
      </c>
      <c r="Y73" s="226">
        <f t="array" ref="Y73">iferror(if(isblank($A73),"",index('Supplemental intervention-level'!$M:$M,match(1,('Supplemental intervention-level'!$C:$C=$A73)*('Supplemental intervention-level'!$A:$A="Deworming"),0))),"Not specified")</f>
        <v>0.09</v>
      </c>
      <c r="Z73" s="226">
        <f t="array" ref="Z73">iferror(if(isblank($A73),"",index('Supplemental intervention-level'!$M:$M,match(1,('Supplemental intervention-level'!$C:$C=$A73)*('Supplemental intervention-level'!$A:$A="Deworming"),0))),"Not specified")</f>
        <v>0.09</v>
      </c>
      <c r="AA73" s="226">
        <f t="array" ref="AA73">iferror(if(isblank($A73),"",index('Supplemental intervention-level'!$M:$M,match(1,('Supplemental intervention-level'!$C:$C=$A73)*('Supplemental intervention-level'!$A:$A="Deworming"),0))),"Not specified")</f>
        <v>0.09</v>
      </c>
      <c r="AB73" s="226">
        <f t="array" ref="AB73">iferror(if(isblank($A73),"",index('Supplemental intervention-level'!$M:$M,match(1,('Supplemental intervention-level'!$C:$C=$A73)*('Supplemental intervention-level'!$A:$A="Deworming"),0))),"Not specified")</f>
        <v>0.09</v>
      </c>
      <c r="AC73" s="226">
        <f t="array" ref="AC73">iferror(if(isblank($A73),"",index('Supplemental intervention-level'!$M:$M,match(1,('Supplemental intervention-level'!$C:$C=$A73)*('Supplemental intervention-level'!$A:$A="Deworming"),0))),"Not specified")</f>
        <v>0.09</v>
      </c>
      <c r="AD73" s="226">
        <f t="array" ref="AD73">iferror(if(isblank($A73),"",index('Supplemental intervention-level'!$M:$M,match(1,('Supplemental intervention-level'!$C:$C=$A73)*('Supplemental intervention-level'!$A:$A="Deworming"),0))),"Not specified")</f>
        <v>0.09</v>
      </c>
      <c r="AE73" s="226">
        <f t="array" ref="AE73">iferror(if(isblank($A73),"",index('Supplemental intervention-level'!$M:$M,match(1,('Supplemental intervention-level'!$C:$C=$A73)*('Supplemental intervention-level'!$A:$A="Deworming"),0))),"Not specified")</f>
        <v>0.09</v>
      </c>
      <c r="AF73" s="226">
        <f t="array" ref="AF73">iferror(if(isblank($A73),"",index('Supplemental intervention-level'!$M:$M,match(1,('Supplemental intervention-level'!$C:$C=$A73)*('Supplemental intervention-level'!$A:$A="Deworming"),0))),"Not specified")</f>
        <v>0.09</v>
      </c>
      <c r="AG73" s="226">
        <f t="array" ref="AG73">iferror(if(isblank($A73),"",index('Supplemental intervention-level'!$M:$M,match(1,('Supplemental intervention-level'!$C:$C=$A73)*('Supplemental intervention-level'!$A:$A="Deworming"),0))),"Not specified")</f>
        <v>0.09</v>
      </c>
      <c r="AH73" s="226">
        <f t="array" ref="AH73">iferror(if(isblank($A73),"",index('Supplemental intervention-level'!$M:$M,match(1,('Supplemental intervention-level'!$C:$C=$A73)*('Supplemental intervention-level'!$A:$A="Deworming"),0))),"Not specified")</f>
        <v>0.09</v>
      </c>
      <c r="AI73" s="226">
        <f t="array" ref="AI73">iferror(if(isblank($A73),"",index('Supplemental intervention-level'!$M:$M,match(1,('Supplemental intervention-level'!$C:$C=$A73)*('Supplemental intervention-level'!$A:$A="Deworming"),0))),"Not specified")</f>
        <v>0.09</v>
      </c>
      <c r="AJ73" s="226">
        <f t="array" ref="AJ73">iferror(if(isblank($A73),"",index('Supplemental intervention-level'!$M:$M,match(1,('Supplemental intervention-level'!$C:$C=$A73)*('Supplemental intervention-level'!$A:$A="Deworming"),0))),"Not specified")</f>
        <v>0.09</v>
      </c>
      <c r="AK73" s="226">
        <f t="array" ref="AK73">iferror(if(isblank($A73),"",index('Supplemental intervention-level'!$M:$M,match(1,('Supplemental intervention-level'!$C:$C=$A73)*('Supplemental intervention-level'!$A:$A="Deworming"),0))),"Not specified")</f>
        <v>0.09</v>
      </c>
      <c r="AL73" s="226">
        <f t="array" ref="AL73">iferror(if(isblank($A73),"",index('Supplemental intervention-level'!$M:$M,match(1,('Supplemental intervention-level'!$C:$C=$A73)*('Supplemental intervention-level'!$A:$A="Deworming"),0))),"Not specified")</f>
        <v>0.09</v>
      </c>
      <c r="AM73" s="226">
        <f t="array" ref="AM73">iferror(if(isblank($A73),"",index('Supplemental intervention-level'!$M:$M,match(1,('Supplemental intervention-level'!$C:$C=$A73)*('Supplemental intervention-level'!$A:$A="Deworming"),0))),"Not specified")</f>
        <v>0.09</v>
      </c>
      <c r="AN73" s="226">
        <f t="array" ref="AN73">iferror(if(isblank($A73),"",index('Supplemental intervention-level'!$M:$M,match(1,('Supplemental intervention-level'!$C:$C=$A73)*('Supplemental intervention-level'!$A:$A="Deworming"),0))),"Not specified")</f>
        <v>0.09</v>
      </c>
      <c r="AO73" s="226">
        <f t="array" ref="AO73">iferror(if(isblank($A73),"",index('Supplemental intervention-level'!$M:$M,match(1,('Supplemental intervention-level'!$C:$C=$A73)*('Supplemental intervention-level'!$A:$A="Deworming"),0))),"Not specified")</f>
        <v>0.09</v>
      </c>
    </row>
    <row r="74" outlineLevel="1">
      <c r="A74" s="55" t="str">
        <f>IFERROR(__xludf.DUMMYFUNCTION("""COMPUTED_VALUE"""),"Investment of income increases")</f>
        <v>Investment of income increases</v>
      </c>
      <c r="B74" s="226">
        <f t="array" ref="B74">iferror(if(isblank($A74),"",index('Supplemental intervention-level'!$M:$M,match(1,('Supplemental intervention-level'!$C:$C=$A74)*('Supplemental intervention-level'!$A:$A="Deworming"),0))),"Not specified")</f>
        <v>0.1</v>
      </c>
      <c r="C74" s="226">
        <f t="array" ref="C74">iferror(if(isblank($A74),"",index('Supplemental intervention-level'!$M:$M,match(1,('Supplemental intervention-level'!$C:$C=$A74)*('Supplemental intervention-level'!$A:$A="Deworming"),0))),"Not specified")</f>
        <v>0.1</v>
      </c>
      <c r="D74" s="226">
        <f t="array" ref="D74">iferror(if(isblank($A74),"",index('Supplemental intervention-level'!$M:$M,match(1,('Supplemental intervention-level'!$C:$C=$A74)*('Supplemental intervention-level'!$A:$A="Deworming"),0))),"Not specified")</f>
        <v>0.1</v>
      </c>
      <c r="E74" s="226">
        <f t="array" ref="E74">iferror(if(isblank($A74),"",index('Supplemental intervention-level'!$M:$M,match(1,('Supplemental intervention-level'!$C:$C=$A74)*('Supplemental intervention-level'!$A:$A="Deworming"),0))),"Not specified")</f>
        <v>0.1</v>
      </c>
      <c r="F74" s="226">
        <f t="array" ref="F74">iferror(if(isblank($A74),"",index('Supplemental intervention-level'!$M:$M,match(1,('Supplemental intervention-level'!$C:$C=$A74)*('Supplemental intervention-level'!$A:$A="Deworming"),0))),"Not specified")</f>
        <v>0.1</v>
      </c>
      <c r="G74" s="226">
        <f t="array" ref="G74">iferror(if(isblank($A74),"",index('Supplemental intervention-level'!$M:$M,match(1,('Supplemental intervention-level'!$C:$C=$A74)*('Supplemental intervention-level'!$A:$A="Deworming"),0))),"Not specified")</f>
        <v>0.1</v>
      </c>
      <c r="H74" s="226">
        <f t="array" ref="H74">iferror(if(isblank($A74),"",index('Supplemental intervention-level'!$M:$M,match(1,('Supplemental intervention-level'!$C:$C=$A74)*('Supplemental intervention-level'!$A:$A="Deworming"),0))),"Not specified")</f>
        <v>0.1</v>
      </c>
      <c r="I74" s="226">
        <f t="array" ref="I74">iferror(if(isblank($A74),"",index('Supplemental intervention-level'!$M:$M,match(1,('Supplemental intervention-level'!$C:$C=$A74)*('Supplemental intervention-level'!$A:$A="Deworming"),0))),"Not specified")</f>
        <v>0.1</v>
      </c>
      <c r="J74" s="226">
        <f t="array" ref="J74">iferror(if(isblank($A74),"",index('Supplemental intervention-level'!$M:$M,match(1,('Supplemental intervention-level'!$C:$C=$A74)*('Supplemental intervention-level'!$A:$A="Deworming"),0))),"Not specified")</f>
        <v>0.1</v>
      </c>
      <c r="K74" s="226">
        <f t="array" ref="K74">iferror(if(isblank($A74),"",index('Supplemental intervention-level'!$M:$M,match(1,('Supplemental intervention-level'!$C:$C=$A74)*('Supplemental intervention-level'!$A:$A="Deworming"),0))),"Not specified")</f>
        <v>0.1</v>
      </c>
      <c r="L74" s="226">
        <f t="array" ref="L74">iferror(if(isblank($A74),"",index('Supplemental intervention-level'!$M:$M,match(1,('Supplemental intervention-level'!$C:$C=$A74)*('Supplemental intervention-level'!$A:$A="Deworming"),0))),"Not specified")</f>
        <v>0.1</v>
      </c>
      <c r="M74" s="226">
        <f t="array" ref="M74">iferror(if(isblank($A74),"",index('Supplemental intervention-level'!$M:$M,match(1,('Supplemental intervention-level'!$C:$C=$A74)*('Supplemental intervention-level'!$A:$A="Deworming"),0))),"Not specified")</f>
        <v>0.1</v>
      </c>
      <c r="N74" s="226">
        <f t="array" ref="N74">iferror(if(isblank($A74),"",index('Supplemental intervention-level'!$M:$M,match(1,('Supplemental intervention-level'!$C:$C=$A74)*('Supplemental intervention-level'!$A:$A="Deworming"),0))),"Not specified")</f>
        <v>0.1</v>
      </c>
      <c r="O74" s="226">
        <f t="array" ref="O74">iferror(if(isblank($A74),"",index('Supplemental intervention-level'!$M:$M,match(1,('Supplemental intervention-level'!$C:$C=$A74)*('Supplemental intervention-level'!$A:$A="Deworming"),0))),"Not specified")</f>
        <v>0.1</v>
      </c>
      <c r="P74" s="226">
        <f t="array" ref="P74">iferror(if(isblank($A74),"",index('Supplemental intervention-level'!$M:$M,match(1,('Supplemental intervention-level'!$C:$C=$A74)*('Supplemental intervention-level'!$A:$A="Deworming"),0))),"Not specified")</f>
        <v>0.1</v>
      </c>
      <c r="Q74" s="226">
        <f t="array" ref="Q74">iferror(if(isblank($A74),"",index('Supplemental intervention-level'!$M:$M,match(1,('Supplemental intervention-level'!$C:$C=$A74)*('Supplemental intervention-level'!$A:$A="Deworming"),0))),"Not specified")</f>
        <v>0.1</v>
      </c>
      <c r="R74" s="226">
        <f t="array" ref="R74">iferror(if(isblank($A74),"",index('Supplemental intervention-level'!$M:$M,match(1,('Supplemental intervention-level'!$C:$C=$A74)*('Supplemental intervention-level'!$A:$A="Deworming"),0))),"Not specified")</f>
        <v>0.1</v>
      </c>
      <c r="S74" s="226">
        <f t="array" ref="S74">iferror(if(isblank($A74),"",index('Supplemental intervention-level'!$M:$M,match(1,('Supplemental intervention-level'!$C:$C=$A74)*('Supplemental intervention-level'!$A:$A="Deworming"),0))),"Not specified")</f>
        <v>0.1</v>
      </c>
      <c r="T74" s="226">
        <f t="array" ref="T74">iferror(if(isblank($A74),"",index('Supplemental intervention-level'!$M:$M,match(1,('Supplemental intervention-level'!$C:$C=$A74)*('Supplemental intervention-level'!$A:$A="Deworming"),0))),"Not specified")</f>
        <v>0.1</v>
      </c>
      <c r="U74" s="226">
        <f t="array" ref="U74">iferror(if(isblank($A74),"",index('Supplemental intervention-level'!$M:$M,match(1,('Supplemental intervention-level'!$C:$C=$A74)*('Supplemental intervention-level'!$A:$A="Deworming"),0))),"Not specified")</f>
        <v>0.1</v>
      </c>
      <c r="V74" s="226">
        <f t="array" ref="V74">iferror(if(isblank($A74),"",index('Supplemental intervention-level'!$M:$M,match(1,('Supplemental intervention-level'!$C:$C=$A74)*('Supplemental intervention-level'!$A:$A="Deworming"),0))),"Not specified")</f>
        <v>0.1</v>
      </c>
      <c r="W74" s="226">
        <f t="array" ref="W74">iferror(if(isblank($A74),"",index('Supplemental intervention-level'!$M:$M,match(1,('Supplemental intervention-level'!$C:$C=$A74)*('Supplemental intervention-level'!$A:$A="Deworming"),0))),"Not specified")</f>
        <v>0.1</v>
      </c>
      <c r="X74" s="226">
        <f t="array" ref="X74">iferror(if(isblank($A74),"",index('Supplemental intervention-level'!$M:$M,match(1,('Supplemental intervention-level'!$C:$C=$A74)*('Supplemental intervention-level'!$A:$A="Deworming"),0))),"Not specified")</f>
        <v>0.1</v>
      </c>
      <c r="Y74" s="226">
        <f t="array" ref="Y74">iferror(if(isblank($A74),"",index('Supplemental intervention-level'!$M:$M,match(1,('Supplemental intervention-level'!$C:$C=$A74)*('Supplemental intervention-level'!$A:$A="Deworming"),0))),"Not specified")</f>
        <v>0.1</v>
      </c>
      <c r="Z74" s="226">
        <f t="array" ref="Z74">iferror(if(isblank($A74),"",index('Supplemental intervention-level'!$M:$M,match(1,('Supplemental intervention-level'!$C:$C=$A74)*('Supplemental intervention-level'!$A:$A="Deworming"),0))),"Not specified")</f>
        <v>0.1</v>
      </c>
      <c r="AA74" s="226">
        <f t="array" ref="AA74">iferror(if(isblank($A74),"",index('Supplemental intervention-level'!$M:$M,match(1,('Supplemental intervention-level'!$C:$C=$A74)*('Supplemental intervention-level'!$A:$A="Deworming"),0))),"Not specified")</f>
        <v>0.1</v>
      </c>
      <c r="AB74" s="226">
        <f t="array" ref="AB74">iferror(if(isblank($A74),"",index('Supplemental intervention-level'!$M:$M,match(1,('Supplemental intervention-level'!$C:$C=$A74)*('Supplemental intervention-level'!$A:$A="Deworming"),0))),"Not specified")</f>
        <v>0.1</v>
      </c>
      <c r="AC74" s="226">
        <f t="array" ref="AC74">iferror(if(isblank($A74),"",index('Supplemental intervention-level'!$M:$M,match(1,('Supplemental intervention-level'!$C:$C=$A74)*('Supplemental intervention-level'!$A:$A="Deworming"),0))),"Not specified")</f>
        <v>0.1</v>
      </c>
      <c r="AD74" s="226">
        <f t="array" ref="AD74">iferror(if(isblank($A74),"",index('Supplemental intervention-level'!$M:$M,match(1,('Supplemental intervention-level'!$C:$C=$A74)*('Supplemental intervention-level'!$A:$A="Deworming"),0))),"Not specified")</f>
        <v>0.1</v>
      </c>
      <c r="AE74" s="226">
        <f t="array" ref="AE74">iferror(if(isblank($A74),"",index('Supplemental intervention-level'!$M:$M,match(1,('Supplemental intervention-level'!$C:$C=$A74)*('Supplemental intervention-level'!$A:$A="Deworming"),0))),"Not specified")</f>
        <v>0.1</v>
      </c>
      <c r="AF74" s="226">
        <f t="array" ref="AF74">iferror(if(isblank($A74),"",index('Supplemental intervention-level'!$M:$M,match(1,('Supplemental intervention-level'!$C:$C=$A74)*('Supplemental intervention-level'!$A:$A="Deworming"),0))),"Not specified")</f>
        <v>0.1</v>
      </c>
      <c r="AG74" s="226">
        <f t="array" ref="AG74">iferror(if(isblank($A74),"",index('Supplemental intervention-level'!$M:$M,match(1,('Supplemental intervention-level'!$C:$C=$A74)*('Supplemental intervention-level'!$A:$A="Deworming"),0))),"Not specified")</f>
        <v>0.1</v>
      </c>
      <c r="AH74" s="226">
        <f t="array" ref="AH74">iferror(if(isblank($A74),"",index('Supplemental intervention-level'!$M:$M,match(1,('Supplemental intervention-level'!$C:$C=$A74)*('Supplemental intervention-level'!$A:$A="Deworming"),0))),"Not specified")</f>
        <v>0.1</v>
      </c>
      <c r="AI74" s="226">
        <f t="array" ref="AI74">iferror(if(isblank($A74),"",index('Supplemental intervention-level'!$M:$M,match(1,('Supplemental intervention-level'!$C:$C=$A74)*('Supplemental intervention-level'!$A:$A="Deworming"),0))),"Not specified")</f>
        <v>0.1</v>
      </c>
      <c r="AJ74" s="226">
        <f t="array" ref="AJ74">iferror(if(isblank($A74),"",index('Supplemental intervention-level'!$M:$M,match(1,('Supplemental intervention-level'!$C:$C=$A74)*('Supplemental intervention-level'!$A:$A="Deworming"),0))),"Not specified")</f>
        <v>0.1</v>
      </c>
      <c r="AK74" s="226">
        <f t="array" ref="AK74">iferror(if(isblank($A74),"",index('Supplemental intervention-level'!$M:$M,match(1,('Supplemental intervention-level'!$C:$C=$A74)*('Supplemental intervention-level'!$A:$A="Deworming"),0))),"Not specified")</f>
        <v>0.1</v>
      </c>
      <c r="AL74" s="226">
        <f t="array" ref="AL74">iferror(if(isblank($A74),"",index('Supplemental intervention-level'!$M:$M,match(1,('Supplemental intervention-level'!$C:$C=$A74)*('Supplemental intervention-level'!$A:$A="Deworming"),0))),"Not specified")</f>
        <v>0.1</v>
      </c>
      <c r="AM74" s="226">
        <f t="array" ref="AM74">iferror(if(isblank($A74),"",index('Supplemental intervention-level'!$M:$M,match(1,('Supplemental intervention-level'!$C:$C=$A74)*('Supplemental intervention-level'!$A:$A="Deworming"),0))),"Not specified")</f>
        <v>0.1</v>
      </c>
      <c r="AN74" s="226">
        <f t="array" ref="AN74">iferror(if(isblank($A74),"",index('Supplemental intervention-level'!$M:$M,match(1,('Supplemental intervention-level'!$C:$C=$A74)*('Supplemental intervention-level'!$A:$A="Deworming"),0))),"Not specified")</f>
        <v>0.1</v>
      </c>
      <c r="AO74" s="226">
        <f t="array" ref="AO74">iferror(if(isblank($A74),"",index('Supplemental intervention-level'!$M:$M,match(1,('Supplemental intervention-level'!$C:$C=$A74)*('Supplemental intervention-level'!$A:$A="Deworming"),0))),"Not specified")</f>
        <v>0.1</v>
      </c>
    </row>
    <row r="75" outlineLevel="1">
      <c r="A75" s="116" t="str">
        <f>IFERROR(__xludf.DUMMYFUNCTION("""COMPUTED_VALUE"""),"Non-income long-run benefits of deworming")</f>
        <v>Non-income long-run benefits of deworming</v>
      </c>
      <c r="B75" s="226">
        <f t="array" ref="B75">iferror(if(isblank($A75),"",index('Supplemental intervention-level'!$M:$M,match(1,('Supplemental intervention-level'!$C:$C=$A75)*('Supplemental intervention-level'!$A:$A="Deworming"),0))),"Not specified")</f>
        <v>0.04</v>
      </c>
      <c r="C75" s="226">
        <f t="array" ref="C75">iferror(if(isblank($A75),"",index('Supplemental intervention-level'!$M:$M,match(1,('Supplemental intervention-level'!$C:$C=$A75)*('Supplemental intervention-level'!$A:$A="Deworming"),0))),"Not specified")</f>
        <v>0.04</v>
      </c>
      <c r="D75" s="226">
        <f t="array" ref="D75">iferror(if(isblank($A75),"",index('Supplemental intervention-level'!$M:$M,match(1,('Supplemental intervention-level'!$C:$C=$A75)*('Supplemental intervention-level'!$A:$A="Deworming"),0))),"Not specified")</f>
        <v>0.04</v>
      </c>
      <c r="E75" s="226">
        <f t="array" ref="E75">iferror(if(isblank($A75),"",index('Supplemental intervention-level'!$M:$M,match(1,('Supplemental intervention-level'!$C:$C=$A75)*('Supplemental intervention-level'!$A:$A="Deworming"),0))),"Not specified")</f>
        <v>0.04</v>
      </c>
      <c r="F75" s="226">
        <f t="array" ref="F75">iferror(if(isblank($A75),"",index('Supplemental intervention-level'!$M:$M,match(1,('Supplemental intervention-level'!$C:$C=$A75)*('Supplemental intervention-level'!$A:$A="Deworming"),0))),"Not specified")</f>
        <v>0.04</v>
      </c>
      <c r="G75" s="226">
        <f t="array" ref="G75">iferror(if(isblank($A75),"",index('Supplemental intervention-level'!$M:$M,match(1,('Supplemental intervention-level'!$C:$C=$A75)*('Supplemental intervention-level'!$A:$A="Deworming"),0))),"Not specified")</f>
        <v>0.04</v>
      </c>
      <c r="H75" s="226">
        <f t="array" ref="H75">iferror(if(isblank($A75),"",index('Supplemental intervention-level'!$M:$M,match(1,('Supplemental intervention-level'!$C:$C=$A75)*('Supplemental intervention-level'!$A:$A="Deworming"),0))),"Not specified")</f>
        <v>0.04</v>
      </c>
      <c r="I75" s="226">
        <f t="array" ref="I75">iferror(if(isblank($A75),"",index('Supplemental intervention-level'!$M:$M,match(1,('Supplemental intervention-level'!$C:$C=$A75)*('Supplemental intervention-level'!$A:$A="Deworming"),0))),"Not specified")</f>
        <v>0.04</v>
      </c>
      <c r="J75" s="226">
        <f t="array" ref="J75">iferror(if(isblank($A75),"",index('Supplemental intervention-level'!$M:$M,match(1,('Supplemental intervention-level'!$C:$C=$A75)*('Supplemental intervention-level'!$A:$A="Deworming"),0))),"Not specified")</f>
        <v>0.04</v>
      </c>
      <c r="K75" s="226">
        <f t="array" ref="K75">iferror(if(isblank($A75),"",index('Supplemental intervention-level'!$M:$M,match(1,('Supplemental intervention-level'!$C:$C=$A75)*('Supplemental intervention-level'!$A:$A="Deworming"),0))),"Not specified")</f>
        <v>0.04</v>
      </c>
      <c r="L75" s="226">
        <f t="array" ref="L75">iferror(if(isblank($A75),"",index('Supplemental intervention-level'!$M:$M,match(1,('Supplemental intervention-level'!$C:$C=$A75)*('Supplemental intervention-level'!$A:$A="Deworming"),0))),"Not specified")</f>
        <v>0.04</v>
      </c>
      <c r="M75" s="226">
        <f t="array" ref="M75">iferror(if(isblank($A75),"",index('Supplemental intervention-level'!$M:$M,match(1,('Supplemental intervention-level'!$C:$C=$A75)*('Supplemental intervention-level'!$A:$A="Deworming"),0))),"Not specified")</f>
        <v>0.04</v>
      </c>
      <c r="N75" s="226">
        <f t="array" ref="N75">iferror(if(isblank($A75),"",index('Supplemental intervention-level'!$M:$M,match(1,('Supplemental intervention-level'!$C:$C=$A75)*('Supplemental intervention-level'!$A:$A="Deworming"),0))),"Not specified")</f>
        <v>0.04</v>
      </c>
      <c r="O75" s="226">
        <f t="array" ref="O75">iferror(if(isblank($A75),"",index('Supplemental intervention-level'!$M:$M,match(1,('Supplemental intervention-level'!$C:$C=$A75)*('Supplemental intervention-level'!$A:$A="Deworming"),0))),"Not specified")</f>
        <v>0.04</v>
      </c>
      <c r="P75" s="226">
        <f t="array" ref="P75">iferror(if(isblank($A75),"",index('Supplemental intervention-level'!$M:$M,match(1,('Supplemental intervention-level'!$C:$C=$A75)*('Supplemental intervention-level'!$A:$A="Deworming"),0))),"Not specified")</f>
        <v>0.04</v>
      </c>
      <c r="Q75" s="226">
        <f t="array" ref="Q75">iferror(if(isblank($A75),"",index('Supplemental intervention-level'!$M:$M,match(1,('Supplemental intervention-level'!$C:$C=$A75)*('Supplemental intervention-level'!$A:$A="Deworming"),0))),"Not specified")</f>
        <v>0.04</v>
      </c>
      <c r="R75" s="226">
        <f t="array" ref="R75">iferror(if(isblank($A75),"",index('Supplemental intervention-level'!$M:$M,match(1,('Supplemental intervention-level'!$C:$C=$A75)*('Supplemental intervention-level'!$A:$A="Deworming"),0))),"Not specified")</f>
        <v>0.04</v>
      </c>
      <c r="S75" s="226">
        <f t="array" ref="S75">iferror(if(isblank($A75),"",index('Supplemental intervention-level'!$M:$M,match(1,('Supplemental intervention-level'!$C:$C=$A75)*('Supplemental intervention-level'!$A:$A="Deworming"),0))),"Not specified")</f>
        <v>0.04</v>
      </c>
      <c r="T75" s="226">
        <f t="array" ref="T75">iferror(if(isblank($A75),"",index('Supplemental intervention-level'!$M:$M,match(1,('Supplemental intervention-level'!$C:$C=$A75)*('Supplemental intervention-level'!$A:$A="Deworming"),0))),"Not specified")</f>
        <v>0.04</v>
      </c>
      <c r="U75" s="226">
        <f t="array" ref="U75">iferror(if(isblank($A75),"",index('Supplemental intervention-level'!$M:$M,match(1,('Supplemental intervention-level'!$C:$C=$A75)*('Supplemental intervention-level'!$A:$A="Deworming"),0))),"Not specified")</f>
        <v>0.04</v>
      </c>
      <c r="V75" s="226">
        <f t="array" ref="V75">iferror(if(isblank($A75),"",index('Supplemental intervention-level'!$M:$M,match(1,('Supplemental intervention-level'!$C:$C=$A75)*('Supplemental intervention-level'!$A:$A="Deworming"),0))),"Not specified")</f>
        <v>0.04</v>
      </c>
      <c r="W75" s="226">
        <f t="array" ref="W75">iferror(if(isblank($A75),"",index('Supplemental intervention-level'!$M:$M,match(1,('Supplemental intervention-level'!$C:$C=$A75)*('Supplemental intervention-level'!$A:$A="Deworming"),0))),"Not specified")</f>
        <v>0.04</v>
      </c>
      <c r="X75" s="226">
        <f t="array" ref="X75">iferror(if(isblank($A75),"",index('Supplemental intervention-level'!$M:$M,match(1,('Supplemental intervention-level'!$C:$C=$A75)*('Supplemental intervention-level'!$A:$A="Deworming"),0))),"Not specified")</f>
        <v>0.04</v>
      </c>
      <c r="Y75" s="226">
        <f t="array" ref="Y75">iferror(if(isblank($A75),"",index('Supplemental intervention-level'!$M:$M,match(1,('Supplemental intervention-level'!$C:$C=$A75)*('Supplemental intervention-level'!$A:$A="Deworming"),0))),"Not specified")</f>
        <v>0.04</v>
      </c>
      <c r="Z75" s="226">
        <f t="array" ref="Z75">iferror(if(isblank($A75),"",index('Supplemental intervention-level'!$M:$M,match(1,('Supplemental intervention-level'!$C:$C=$A75)*('Supplemental intervention-level'!$A:$A="Deworming"),0))),"Not specified")</f>
        <v>0.04</v>
      </c>
      <c r="AA75" s="226">
        <f t="array" ref="AA75">iferror(if(isblank($A75),"",index('Supplemental intervention-level'!$M:$M,match(1,('Supplemental intervention-level'!$C:$C=$A75)*('Supplemental intervention-level'!$A:$A="Deworming"),0))),"Not specified")</f>
        <v>0.04</v>
      </c>
      <c r="AB75" s="226">
        <f t="array" ref="AB75">iferror(if(isblank($A75),"",index('Supplemental intervention-level'!$M:$M,match(1,('Supplemental intervention-level'!$C:$C=$A75)*('Supplemental intervention-level'!$A:$A="Deworming"),0))),"Not specified")</f>
        <v>0.04</v>
      </c>
      <c r="AC75" s="226">
        <f t="array" ref="AC75">iferror(if(isblank($A75),"",index('Supplemental intervention-level'!$M:$M,match(1,('Supplemental intervention-level'!$C:$C=$A75)*('Supplemental intervention-level'!$A:$A="Deworming"),0))),"Not specified")</f>
        <v>0.04</v>
      </c>
      <c r="AD75" s="226">
        <f t="array" ref="AD75">iferror(if(isblank($A75),"",index('Supplemental intervention-level'!$M:$M,match(1,('Supplemental intervention-level'!$C:$C=$A75)*('Supplemental intervention-level'!$A:$A="Deworming"),0))),"Not specified")</f>
        <v>0.04</v>
      </c>
      <c r="AE75" s="226">
        <f t="array" ref="AE75">iferror(if(isblank($A75),"",index('Supplemental intervention-level'!$M:$M,match(1,('Supplemental intervention-level'!$C:$C=$A75)*('Supplemental intervention-level'!$A:$A="Deworming"),0))),"Not specified")</f>
        <v>0.04</v>
      </c>
      <c r="AF75" s="226">
        <f t="array" ref="AF75">iferror(if(isblank($A75),"",index('Supplemental intervention-level'!$M:$M,match(1,('Supplemental intervention-level'!$C:$C=$A75)*('Supplemental intervention-level'!$A:$A="Deworming"),0))),"Not specified")</f>
        <v>0.04</v>
      </c>
      <c r="AG75" s="226">
        <f t="array" ref="AG75">iferror(if(isblank($A75),"",index('Supplemental intervention-level'!$M:$M,match(1,('Supplemental intervention-level'!$C:$C=$A75)*('Supplemental intervention-level'!$A:$A="Deworming"),0))),"Not specified")</f>
        <v>0.04</v>
      </c>
      <c r="AH75" s="226">
        <f t="array" ref="AH75">iferror(if(isblank($A75),"",index('Supplemental intervention-level'!$M:$M,match(1,('Supplemental intervention-level'!$C:$C=$A75)*('Supplemental intervention-level'!$A:$A="Deworming"),0))),"Not specified")</f>
        <v>0.04</v>
      </c>
      <c r="AI75" s="226">
        <f t="array" ref="AI75">iferror(if(isblank($A75),"",index('Supplemental intervention-level'!$M:$M,match(1,('Supplemental intervention-level'!$C:$C=$A75)*('Supplemental intervention-level'!$A:$A="Deworming"),0))),"Not specified")</f>
        <v>0.04</v>
      </c>
      <c r="AJ75" s="226">
        <f t="array" ref="AJ75">iferror(if(isblank($A75),"",index('Supplemental intervention-level'!$M:$M,match(1,('Supplemental intervention-level'!$C:$C=$A75)*('Supplemental intervention-level'!$A:$A="Deworming"),0))),"Not specified")</f>
        <v>0.04</v>
      </c>
      <c r="AK75" s="226">
        <f t="array" ref="AK75">iferror(if(isblank($A75),"",index('Supplemental intervention-level'!$M:$M,match(1,('Supplemental intervention-level'!$C:$C=$A75)*('Supplemental intervention-level'!$A:$A="Deworming"),0))),"Not specified")</f>
        <v>0.04</v>
      </c>
      <c r="AL75" s="226">
        <f t="array" ref="AL75">iferror(if(isblank($A75),"",index('Supplemental intervention-level'!$M:$M,match(1,('Supplemental intervention-level'!$C:$C=$A75)*('Supplemental intervention-level'!$A:$A="Deworming"),0))),"Not specified")</f>
        <v>0.04</v>
      </c>
      <c r="AM75" s="226">
        <f t="array" ref="AM75">iferror(if(isblank($A75),"",index('Supplemental intervention-level'!$M:$M,match(1,('Supplemental intervention-level'!$C:$C=$A75)*('Supplemental intervention-level'!$A:$A="Deworming"),0))),"Not specified")</f>
        <v>0.04</v>
      </c>
      <c r="AN75" s="226">
        <f t="array" ref="AN75">iferror(if(isblank($A75),"",index('Supplemental intervention-level'!$M:$M,match(1,('Supplemental intervention-level'!$C:$C=$A75)*('Supplemental intervention-level'!$A:$A="Deworming"),0))),"Not specified")</f>
        <v>0.04</v>
      </c>
      <c r="AO75" s="226">
        <f t="array" ref="AO75">iferror(if(isblank($A75),"",index('Supplemental intervention-level'!$M:$M,match(1,('Supplemental intervention-level'!$C:$C=$A75)*('Supplemental intervention-level'!$A:$A="Deworming"),0))),"Not specified")</f>
        <v>0.04</v>
      </c>
    </row>
    <row r="76" outlineLevel="1">
      <c r="A76" s="116" t="str">
        <f>IFERROR(__xludf.DUMMYFUNCTION("""COMPUTED_VALUE"""),"Other NTD prevention (relevant to Sightsavers and END Fund)")</f>
        <v>Other NTD prevention (relevant to Sightsavers and END Fund)</v>
      </c>
      <c r="B76" s="226">
        <f t="array" ref="B76">iferror(if(isblank($A76),"",index('Supplemental intervention-level'!$M:$M,match(1,('Supplemental intervention-level'!$C:$C=$A76)*('Supplemental intervention-level'!$A:$A="Deworming"),0))),"Not specified")</f>
        <v>0.14</v>
      </c>
      <c r="C76" s="226">
        <f t="array" ref="C76">iferror(if(isblank($A76),"",index('Supplemental intervention-level'!$M:$M,match(1,('Supplemental intervention-level'!$C:$C=$A76)*('Supplemental intervention-level'!$A:$A="Deworming"),0))),"Not specified")</f>
        <v>0.14</v>
      </c>
      <c r="D76" s="226">
        <f t="array" ref="D76">iferror(if(isblank($A76),"",index('Supplemental intervention-level'!$M:$M,match(1,('Supplemental intervention-level'!$C:$C=$A76)*('Supplemental intervention-level'!$A:$A="Deworming"),0))),"Not specified")</f>
        <v>0.14</v>
      </c>
      <c r="E76" s="226">
        <f t="array" ref="E76">iferror(if(isblank($A76),"",index('Supplemental intervention-level'!$M:$M,match(1,('Supplemental intervention-level'!$C:$C=$A76)*('Supplemental intervention-level'!$A:$A="Deworming"),0))),"Not specified")</f>
        <v>0.14</v>
      </c>
      <c r="F76" s="226">
        <f t="array" ref="F76">iferror(if(isblank($A76),"",index('Supplemental intervention-level'!$M:$M,match(1,('Supplemental intervention-level'!$C:$C=$A76)*('Supplemental intervention-level'!$A:$A="Deworming"),0))),"Not specified")</f>
        <v>0.14</v>
      </c>
      <c r="G76" s="226">
        <f t="array" ref="G76">iferror(if(isblank($A76),"",index('Supplemental intervention-level'!$M:$M,match(1,('Supplemental intervention-level'!$C:$C=$A76)*('Supplemental intervention-level'!$A:$A="Deworming"),0))),"Not specified")</f>
        <v>0.14</v>
      </c>
      <c r="H76" s="226">
        <f t="array" ref="H76">iferror(if(isblank($A76),"",index('Supplemental intervention-level'!$M:$M,match(1,('Supplemental intervention-level'!$C:$C=$A76)*('Supplemental intervention-level'!$A:$A="Deworming"),0))),"Not specified")</f>
        <v>0.14</v>
      </c>
      <c r="I76" s="226">
        <f t="array" ref="I76">iferror(if(isblank($A76),"",index('Supplemental intervention-level'!$M:$M,match(1,('Supplemental intervention-level'!$C:$C=$A76)*('Supplemental intervention-level'!$A:$A="Deworming"),0))),"Not specified")</f>
        <v>0.14</v>
      </c>
      <c r="J76" s="226">
        <f t="array" ref="J76">iferror(if(isblank($A76),"",index('Supplemental intervention-level'!$M:$M,match(1,('Supplemental intervention-level'!$C:$C=$A76)*('Supplemental intervention-level'!$A:$A="Deworming"),0))),"Not specified")</f>
        <v>0.14</v>
      </c>
      <c r="K76" s="226">
        <f t="array" ref="K76">iferror(if(isblank($A76),"",index('Supplemental intervention-level'!$M:$M,match(1,('Supplemental intervention-level'!$C:$C=$A76)*('Supplemental intervention-level'!$A:$A="Deworming"),0))),"Not specified")</f>
        <v>0.14</v>
      </c>
      <c r="L76" s="226">
        <f t="array" ref="L76">iferror(if(isblank($A76),"",index('Supplemental intervention-level'!$M:$M,match(1,('Supplemental intervention-level'!$C:$C=$A76)*('Supplemental intervention-level'!$A:$A="Deworming"),0))),"Not specified")</f>
        <v>0.14</v>
      </c>
      <c r="M76" s="226">
        <f t="array" ref="M76">iferror(if(isblank($A76),"",index('Supplemental intervention-level'!$M:$M,match(1,('Supplemental intervention-level'!$C:$C=$A76)*('Supplemental intervention-level'!$A:$A="Deworming"),0))),"Not specified")</f>
        <v>0.14</v>
      </c>
      <c r="N76" s="226">
        <f t="array" ref="N76">iferror(if(isblank($A76),"",index('Supplemental intervention-level'!$M:$M,match(1,('Supplemental intervention-level'!$C:$C=$A76)*('Supplemental intervention-level'!$A:$A="Deworming"),0))),"Not specified")</f>
        <v>0.14</v>
      </c>
      <c r="O76" s="226">
        <f t="array" ref="O76">iferror(if(isblank($A76),"",index('Supplemental intervention-level'!$M:$M,match(1,('Supplemental intervention-level'!$C:$C=$A76)*('Supplemental intervention-level'!$A:$A="Deworming"),0))),"Not specified")</f>
        <v>0.14</v>
      </c>
      <c r="P76" s="226">
        <f t="array" ref="P76">iferror(if(isblank($A76),"",index('Supplemental intervention-level'!$M:$M,match(1,('Supplemental intervention-level'!$C:$C=$A76)*('Supplemental intervention-level'!$A:$A="Deworming"),0))),"Not specified")</f>
        <v>0.14</v>
      </c>
      <c r="Q76" s="226">
        <f t="array" ref="Q76">iferror(if(isblank($A76),"",index('Supplemental intervention-level'!$M:$M,match(1,('Supplemental intervention-level'!$C:$C=$A76)*('Supplemental intervention-level'!$A:$A="Deworming"),0))),"Not specified")</f>
        <v>0.14</v>
      </c>
      <c r="R76" s="226">
        <f t="array" ref="R76">iferror(if(isblank($A76),"",index('Supplemental intervention-level'!$M:$M,match(1,('Supplemental intervention-level'!$C:$C=$A76)*('Supplemental intervention-level'!$A:$A="Deworming"),0))),"Not specified")</f>
        <v>0.14</v>
      </c>
      <c r="S76" s="226">
        <f t="array" ref="S76">iferror(if(isblank($A76),"",index('Supplemental intervention-level'!$M:$M,match(1,('Supplemental intervention-level'!$C:$C=$A76)*('Supplemental intervention-level'!$A:$A="Deworming"),0))),"Not specified")</f>
        <v>0.14</v>
      </c>
      <c r="T76" s="226">
        <f t="array" ref="T76">iferror(if(isblank($A76),"",index('Supplemental intervention-level'!$M:$M,match(1,('Supplemental intervention-level'!$C:$C=$A76)*('Supplemental intervention-level'!$A:$A="Deworming"),0))),"Not specified")</f>
        <v>0.14</v>
      </c>
      <c r="U76" s="226">
        <f t="array" ref="U76">iferror(if(isblank($A76),"",index('Supplemental intervention-level'!$M:$M,match(1,('Supplemental intervention-level'!$C:$C=$A76)*('Supplemental intervention-level'!$A:$A="Deworming"),0))),"Not specified")</f>
        <v>0.14</v>
      </c>
      <c r="V76" s="226">
        <f t="array" ref="V76">iferror(if(isblank($A76),"",index('Supplemental intervention-level'!$M:$M,match(1,('Supplemental intervention-level'!$C:$C=$A76)*('Supplemental intervention-level'!$A:$A="Deworming"),0))),"Not specified")</f>
        <v>0.14</v>
      </c>
      <c r="W76" s="226">
        <f t="array" ref="W76">iferror(if(isblank($A76),"",index('Supplemental intervention-level'!$M:$M,match(1,('Supplemental intervention-level'!$C:$C=$A76)*('Supplemental intervention-level'!$A:$A="Deworming"),0))),"Not specified")</f>
        <v>0.14</v>
      </c>
      <c r="X76" s="226">
        <f t="array" ref="X76">iferror(if(isblank($A76),"",index('Supplemental intervention-level'!$M:$M,match(1,('Supplemental intervention-level'!$C:$C=$A76)*('Supplemental intervention-level'!$A:$A="Deworming"),0))),"Not specified")</f>
        <v>0.14</v>
      </c>
      <c r="Y76" s="226">
        <f t="array" ref="Y76">iferror(if(isblank($A76),"",index('Supplemental intervention-level'!$M:$M,match(1,('Supplemental intervention-level'!$C:$C=$A76)*('Supplemental intervention-level'!$A:$A="Deworming"),0))),"Not specified")</f>
        <v>0.14</v>
      </c>
      <c r="Z76" s="226">
        <f t="array" ref="Z76">iferror(if(isblank($A76),"",index('Supplemental intervention-level'!$M:$M,match(1,('Supplemental intervention-level'!$C:$C=$A76)*('Supplemental intervention-level'!$A:$A="Deworming"),0))),"Not specified")</f>
        <v>0.14</v>
      </c>
      <c r="AA76" s="226">
        <f t="array" ref="AA76">iferror(if(isblank($A76),"",index('Supplemental intervention-level'!$M:$M,match(1,('Supplemental intervention-level'!$C:$C=$A76)*('Supplemental intervention-level'!$A:$A="Deworming"),0))),"Not specified")</f>
        <v>0.14</v>
      </c>
      <c r="AB76" s="226">
        <f t="array" ref="AB76">iferror(if(isblank($A76),"",index('Supplemental intervention-level'!$M:$M,match(1,('Supplemental intervention-level'!$C:$C=$A76)*('Supplemental intervention-level'!$A:$A="Deworming"),0))),"Not specified")</f>
        <v>0.14</v>
      </c>
      <c r="AC76" s="226">
        <f t="array" ref="AC76">iferror(if(isblank($A76),"",index('Supplemental intervention-level'!$M:$M,match(1,('Supplemental intervention-level'!$C:$C=$A76)*('Supplemental intervention-level'!$A:$A="Deworming"),0))),"Not specified")</f>
        <v>0.14</v>
      </c>
      <c r="AD76" s="226">
        <f t="array" ref="AD76">iferror(if(isblank($A76),"",index('Supplemental intervention-level'!$M:$M,match(1,('Supplemental intervention-level'!$C:$C=$A76)*('Supplemental intervention-level'!$A:$A="Deworming"),0))),"Not specified")</f>
        <v>0.14</v>
      </c>
      <c r="AE76" s="226">
        <f t="array" ref="AE76">iferror(if(isblank($A76),"",index('Supplemental intervention-level'!$M:$M,match(1,('Supplemental intervention-level'!$C:$C=$A76)*('Supplemental intervention-level'!$A:$A="Deworming"),0))),"Not specified")</f>
        <v>0.14</v>
      </c>
      <c r="AF76" s="226">
        <f t="array" ref="AF76">iferror(if(isblank($A76),"",index('Supplemental intervention-level'!$M:$M,match(1,('Supplemental intervention-level'!$C:$C=$A76)*('Supplemental intervention-level'!$A:$A="Deworming"),0))),"Not specified")</f>
        <v>0.14</v>
      </c>
      <c r="AG76" s="226">
        <f t="array" ref="AG76">iferror(if(isblank($A76),"",index('Supplemental intervention-level'!$M:$M,match(1,('Supplemental intervention-level'!$C:$C=$A76)*('Supplemental intervention-level'!$A:$A="Deworming"),0))),"Not specified")</f>
        <v>0.14</v>
      </c>
      <c r="AH76" s="226">
        <f t="array" ref="AH76">iferror(if(isblank($A76),"",index('Supplemental intervention-level'!$M:$M,match(1,('Supplemental intervention-level'!$C:$C=$A76)*('Supplemental intervention-level'!$A:$A="Deworming"),0))),"Not specified")</f>
        <v>0.14</v>
      </c>
      <c r="AI76" s="226">
        <f t="array" ref="AI76">iferror(if(isblank($A76),"",index('Supplemental intervention-level'!$M:$M,match(1,('Supplemental intervention-level'!$C:$C=$A76)*('Supplemental intervention-level'!$A:$A="Deworming"),0))),"Not specified")</f>
        <v>0.14</v>
      </c>
      <c r="AJ76" s="226">
        <f t="array" ref="AJ76">iferror(if(isblank($A76),"",index('Supplemental intervention-level'!$M:$M,match(1,('Supplemental intervention-level'!$C:$C=$A76)*('Supplemental intervention-level'!$A:$A="Deworming"),0))),"Not specified")</f>
        <v>0.14</v>
      </c>
      <c r="AK76" s="226">
        <f t="array" ref="AK76">iferror(if(isblank($A76),"",index('Supplemental intervention-level'!$M:$M,match(1,('Supplemental intervention-level'!$C:$C=$A76)*('Supplemental intervention-level'!$A:$A="Deworming"),0))),"Not specified")</f>
        <v>0.14</v>
      </c>
      <c r="AL76" s="226">
        <f t="array" ref="AL76">iferror(if(isblank($A76),"",index('Supplemental intervention-level'!$M:$M,match(1,('Supplemental intervention-level'!$C:$C=$A76)*('Supplemental intervention-level'!$A:$A="Deworming"),0))),"Not specified")</f>
        <v>0.14</v>
      </c>
      <c r="AM76" s="226">
        <f t="array" ref="AM76">iferror(if(isblank($A76),"",index('Supplemental intervention-level'!$M:$M,match(1,('Supplemental intervention-level'!$C:$C=$A76)*('Supplemental intervention-level'!$A:$A="Deworming"),0))),"Not specified")</f>
        <v>0.14</v>
      </c>
      <c r="AN76" s="226">
        <f t="array" ref="AN76">iferror(if(isblank($A76),"",index('Supplemental intervention-level'!$M:$M,match(1,('Supplemental intervention-level'!$C:$C=$A76)*('Supplemental intervention-level'!$A:$A="Deworming"),0))),"Not specified")</f>
        <v>0.14</v>
      </c>
      <c r="AO76" s="226">
        <f t="array" ref="AO76">iferror(if(isblank($A76),"",index('Supplemental intervention-level'!$M:$M,match(1,('Supplemental intervention-level'!$C:$C=$A76)*('Supplemental intervention-level'!$A:$A="Deworming"),0))),"Not specified")</f>
        <v>0.14</v>
      </c>
    </row>
    <row r="77" outlineLevel="1">
      <c r="A77" s="116" t="str">
        <f>IFERROR(__xludf.DUMMYFUNCTION("""COMPUTED_VALUE"""),"Drug resistance")</f>
        <v>Drug resistance</v>
      </c>
      <c r="B77" s="226">
        <f t="array" ref="B77">iferror(if(isblank($A77),"",index('Supplemental intervention-level'!$M:$M,match(1,('Supplemental intervention-level'!$C:$C=$A77)*('Supplemental intervention-level'!$A:$A="Deworming"),0))),"Not specified")</f>
        <v>-0.04</v>
      </c>
      <c r="C77" s="226">
        <f t="array" ref="C77">iferror(if(isblank($A77),"",index('Supplemental intervention-level'!$M:$M,match(1,('Supplemental intervention-level'!$C:$C=$A77)*('Supplemental intervention-level'!$A:$A="Deworming"),0))),"Not specified")</f>
        <v>-0.04</v>
      </c>
      <c r="D77" s="226">
        <f t="array" ref="D77">iferror(if(isblank($A77),"",index('Supplemental intervention-level'!$M:$M,match(1,('Supplemental intervention-level'!$C:$C=$A77)*('Supplemental intervention-level'!$A:$A="Deworming"),0))),"Not specified")</f>
        <v>-0.04</v>
      </c>
      <c r="E77" s="226">
        <f t="array" ref="E77">iferror(if(isblank($A77),"",index('Supplemental intervention-level'!$M:$M,match(1,('Supplemental intervention-level'!$C:$C=$A77)*('Supplemental intervention-level'!$A:$A="Deworming"),0))),"Not specified")</f>
        <v>-0.04</v>
      </c>
      <c r="F77" s="226">
        <f t="array" ref="F77">iferror(if(isblank($A77),"",index('Supplemental intervention-level'!$M:$M,match(1,('Supplemental intervention-level'!$C:$C=$A77)*('Supplemental intervention-level'!$A:$A="Deworming"),0))),"Not specified")</f>
        <v>-0.04</v>
      </c>
      <c r="G77" s="226">
        <f t="array" ref="G77">iferror(if(isblank($A77),"",index('Supplemental intervention-level'!$M:$M,match(1,('Supplemental intervention-level'!$C:$C=$A77)*('Supplemental intervention-level'!$A:$A="Deworming"),0))),"Not specified")</f>
        <v>-0.04</v>
      </c>
      <c r="H77" s="226">
        <f t="array" ref="H77">iferror(if(isblank($A77),"",index('Supplemental intervention-level'!$M:$M,match(1,('Supplemental intervention-level'!$C:$C=$A77)*('Supplemental intervention-level'!$A:$A="Deworming"),0))),"Not specified")</f>
        <v>-0.04</v>
      </c>
      <c r="I77" s="226">
        <f t="array" ref="I77">iferror(if(isblank($A77),"",index('Supplemental intervention-level'!$M:$M,match(1,('Supplemental intervention-level'!$C:$C=$A77)*('Supplemental intervention-level'!$A:$A="Deworming"),0))),"Not specified")</f>
        <v>-0.04</v>
      </c>
      <c r="J77" s="226">
        <f t="array" ref="J77">iferror(if(isblank($A77),"",index('Supplemental intervention-level'!$M:$M,match(1,('Supplemental intervention-level'!$C:$C=$A77)*('Supplemental intervention-level'!$A:$A="Deworming"),0))),"Not specified")</f>
        <v>-0.04</v>
      </c>
      <c r="K77" s="226">
        <f t="array" ref="K77">iferror(if(isblank($A77),"",index('Supplemental intervention-level'!$M:$M,match(1,('Supplemental intervention-level'!$C:$C=$A77)*('Supplemental intervention-level'!$A:$A="Deworming"),0))),"Not specified")</f>
        <v>-0.04</v>
      </c>
      <c r="L77" s="226">
        <f t="array" ref="L77">iferror(if(isblank($A77),"",index('Supplemental intervention-level'!$M:$M,match(1,('Supplemental intervention-level'!$C:$C=$A77)*('Supplemental intervention-level'!$A:$A="Deworming"),0))),"Not specified")</f>
        <v>-0.04</v>
      </c>
      <c r="M77" s="226">
        <f t="array" ref="M77">iferror(if(isblank($A77),"",index('Supplemental intervention-level'!$M:$M,match(1,('Supplemental intervention-level'!$C:$C=$A77)*('Supplemental intervention-level'!$A:$A="Deworming"),0))),"Not specified")</f>
        <v>-0.04</v>
      </c>
      <c r="N77" s="226">
        <f t="array" ref="N77">iferror(if(isblank($A77),"",index('Supplemental intervention-level'!$M:$M,match(1,('Supplemental intervention-level'!$C:$C=$A77)*('Supplemental intervention-level'!$A:$A="Deworming"),0))),"Not specified")</f>
        <v>-0.04</v>
      </c>
      <c r="O77" s="226">
        <f t="array" ref="O77">iferror(if(isblank($A77),"",index('Supplemental intervention-level'!$M:$M,match(1,('Supplemental intervention-level'!$C:$C=$A77)*('Supplemental intervention-level'!$A:$A="Deworming"),0))),"Not specified")</f>
        <v>-0.04</v>
      </c>
      <c r="P77" s="226">
        <f t="array" ref="P77">iferror(if(isblank($A77),"",index('Supplemental intervention-level'!$M:$M,match(1,('Supplemental intervention-level'!$C:$C=$A77)*('Supplemental intervention-level'!$A:$A="Deworming"),0))),"Not specified")</f>
        <v>-0.04</v>
      </c>
      <c r="Q77" s="226">
        <f t="array" ref="Q77">iferror(if(isblank($A77),"",index('Supplemental intervention-level'!$M:$M,match(1,('Supplemental intervention-level'!$C:$C=$A77)*('Supplemental intervention-level'!$A:$A="Deworming"),0))),"Not specified")</f>
        <v>-0.04</v>
      </c>
      <c r="R77" s="226">
        <f t="array" ref="R77">iferror(if(isblank($A77),"",index('Supplemental intervention-level'!$M:$M,match(1,('Supplemental intervention-level'!$C:$C=$A77)*('Supplemental intervention-level'!$A:$A="Deworming"),0))),"Not specified")</f>
        <v>-0.04</v>
      </c>
      <c r="S77" s="226">
        <f t="array" ref="S77">iferror(if(isblank($A77),"",index('Supplemental intervention-level'!$M:$M,match(1,('Supplemental intervention-level'!$C:$C=$A77)*('Supplemental intervention-level'!$A:$A="Deworming"),0))),"Not specified")</f>
        <v>-0.04</v>
      </c>
      <c r="T77" s="226">
        <f t="array" ref="T77">iferror(if(isblank($A77),"",index('Supplemental intervention-level'!$M:$M,match(1,('Supplemental intervention-level'!$C:$C=$A77)*('Supplemental intervention-level'!$A:$A="Deworming"),0))),"Not specified")</f>
        <v>-0.04</v>
      </c>
      <c r="U77" s="226">
        <f t="array" ref="U77">iferror(if(isblank($A77),"",index('Supplemental intervention-level'!$M:$M,match(1,('Supplemental intervention-level'!$C:$C=$A77)*('Supplemental intervention-level'!$A:$A="Deworming"),0))),"Not specified")</f>
        <v>-0.04</v>
      </c>
      <c r="V77" s="226">
        <f t="array" ref="V77">iferror(if(isblank($A77),"",index('Supplemental intervention-level'!$M:$M,match(1,('Supplemental intervention-level'!$C:$C=$A77)*('Supplemental intervention-level'!$A:$A="Deworming"),0))),"Not specified")</f>
        <v>-0.04</v>
      </c>
      <c r="W77" s="226">
        <f t="array" ref="W77">iferror(if(isblank($A77),"",index('Supplemental intervention-level'!$M:$M,match(1,('Supplemental intervention-level'!$C:$C=$A77)*('Supplemental intervention-level'!$A:$A="Deworming"),0))),"Not specified")</f>
        <v>-0.04</v>
      </c>
      <c r="X77" s="226">
        <f t="array" ref="X77">iferror(if(isblank($A77),"",index('Supplemental intervention-level'!$M:$M,match(1,('Supplemental intervention-level'!$C:$C=$A77)*('Supplemental intervention-level'!$A:$A="Deworming"),0))),"Not specified")</f>
        <v>-0.04</v>
      </c>
      <c r="Y77" s="226">
        <f t="array" ref="Y77">iferror(if(isblank($A77),"",index('Supplemental intervention-level'!$M:$M,match(1,('Supplemental intervention-level'!$C:$C=$A77)*('Supplemental intervention-level'!$A:$A="Deworming"),0))),"Not specified")</f>
        <v>-0.04</v>
      </c>
      <c r="Z77" s="226">
        <f t="array" ref="Z77">iferror(if(isblank($A77),"",index('Supplemental intervention-level'!$M:$M,match(1,('Supplemental intervention-level'!$C:$C=$A77)*('Supplemental intervention-level'!$A:$A="Deworming"),0))),"Not specified")</f>
        <v>-0.04</v>
      </c>
      <c r="AA77" s="226">
        <f t="array" ref="AA77">iferror(if(isblank($A77),"",index('Supplemental intervention-level'!$M:$M,match(1,('Supplemental intervention-level'!$C:$C=$A77)*('Supplemental intervention-level'!$A:$A="Deworming"),0))),"Not specified")</f>
        <v>-0.04</v>
      </c>
      <c r="AB77" s="226">
        <f t="array" ref="AB77">iferror(if(isblank($A77),"",index('Supplemental intervention-level'!$M:$M,match(1,('Supplemental intervention-level'!$C:$C=$A77)*('Supplemental intervention-level'!$A:$A="Deworming"),0))),"Not specified")</f>
        <v>-0.04</v>
      </c>
      <c r="AC77" s="226">
        <f t="array" ref="AC77">iferror(if(isblank($A77),"",index('Supplemental intervention-level'!$M:$M,match(1,('Supplemental intervention-level'!$C:$C=$A77)*('Supplemental intervention-level'!$A:$A="Deworming"),0))),"Not specified")</f>
        <v>-0.04</v>
      </c>
      <c r="AD77" s="226">
        <f t="array" ref="AD77">iferror(if(isblank($A77),"",index('Supplemental intervention-level'!$M:$M,match(1,('Supplemental intervention-level'!$C:$C=$A77)*('Supplemental intervention-level'!$A:$A="Deworming"),0))),"Not specified")</f>
        <v>-0.04</v>
      </c>
      <c r="AE77" s="226">
        <f t="array" ref="AE77">iferror(if(isblank($A77),"",index('Supplemental intervention-level'!$M:$M,match(1,('Supplemental intervention-level'!$C:$C=$A77)*('Supplemental intervention-level'!$A:$A="Deworming"),0))),"Not specified")</f>
        <v>-0.04</v>
      </c>
      <c r="AF77" s="226">
        <f t="array" ref="AF77">iferror(if(isblank($A77),"",index('Supplemental intervention-level'!$M:$M,match(1,('Supplemental intervention-level'!$C:$C=$A77)*('Supplemental intervention-level'!$A:$A="Deworming"),0))),"Not specified")</f>
        <v>-0.04</v>
      </c>
      <c r="AG77" s="226">
        <f t="array" ref="AG77">iferror(if(isblank($A77),"",index('Supplemental intervention-level'!$M:$M,match(1,('Supplemental intervention-level'!$C:$C=$A77)*('Supplemental intervention-level'!$A:$A="Deworming"),0))),"Not specified")</f>
        <v>-0.04</v>
      </c>
      <c r="AH77" s="226">
        <f t="array" ref="AH77">iferror(if(isblank($A77),"",index('Supplemental intervention-level'!$M:$M,match(1,('Supplemental intervention-level'!$C:$C=$A77)*('Supplemental intervention-level'!$A:$A="Deworming"),0))),"Not specified")</f>
        <v>-0.04</v>
      </c>
      <c r="AI77" s="226">
        <f t="array" ref="AI77">iferror(if(isblank($A77),"",index('Supplemental intervention-level'!$M:$M,match(1,('Supplemental intervention-level'!$C:$C=$A77)*('Supplemental intervention-level'!$A:$A="Deworming"),0))),"Not specified")</f>
        <v>-0.04</v>
      </c>
      <c r="AJ77" s="226">
        <f t="array" ref="AJ77">iferror(if(isblank($A77),"",index('Supplemental intervention-level'!$M:$M,match(1,('Supplemental intervention-level'!$C:$C=$A77)*('Supplemental intervention-level'!$A:$A="Deworming"),0))),"Not specified")</f>
        <v>-0.04</v>
      </c>
      <c r="AK77" s="226">
        <f t="array" ref="AK77">iferror(if(isblank($A77),"",index('Supplemental intervention-level'!$M:$M,match(1,('Supplemental intervention-level'!$C:$C=$A77)*('Supplemental intervention-level'!$A:$A="Deworming"),0))),"Not specified")</f>
        <v>-0.04</v>
      </c>
      <c r="AL77" s="226">
        <f t="array" ref="AL77">iferror(if(isblank($A77),"",index('Supplemental intervention-level'!$M:$M,match(1,('Supplemental intervention-level'!$C:$C=$A77)*('Supplemental intervention-level'!$A:$A="Deworming"),0))),"Not specified")</f>
        <v>-0.04</v>
      </c>
      <c r="AM77" s="226">
        <f t="array" ref="AM77">iferror(if(isblank($A77),"",index('Supplemental intervention-level'!$M:$M,match(1,('Supplemental intervention-level'!$C:$C=$A77)*('Supplemental intervention-level'!$A:$A="Deworming"),0))),"Not specified")</f>
        <v>-0.04</v>
      </c>
      <c r="AN77" s="226">
        <f t="array" ref="AN77">iferror(if(isblank($A77),"",index('Supplemental intervention-level'!$M:$M,match(1,('Supplemental intervention-level'!$C:$C=$A77)*('Supplemental intervention-level'!$A:$A="Deworming"),0))),"Not specified")</f>
        <v>-0.04</v>
      </c>
      <c r="AO77" s="226">
        <f t="array" ref="AO77">iferror(if(isblank($A77),"",index('Supplemental intervention-level'!$M:$M,match(1,('Supplemental intervention-level'!$C:$C=$A77)*('Supplemental intervention-level'!$A:$A="Deworming"),0))),"Not specified")</f>
        <v>-0.04</v>
      </c>
    </row>
    <row r="78" outlineLevel="1">
      <c r="A78" s="116" t="str">
        <f>IFERROR(__xludf.DUMMYFUNCTION("""COMPUTED_VALUE"""),"Unprogrammed deworming")</f>
        <v>Unprogrammed deworming</v>
      </c>
      <c r="B78" s="226">
        <f t="array" ref="B78">iferror(if(isblank($A78),"",index('Supplemental intervention-level'!$M:$M,match(1,('Supplemental intervention-level'!$C:$C=$A78)*('Supplemental intervention-level'!$A:$A="Deworming"),0))),"Not specified")</f>
        <v>-0.14</v>
      </c>
      <c r="C78" s="226">
        <f t="array" ref="C78">iferror(if(isblank($A78),"",index('Supplemental intervention-level'!$M:$M,match(1,('Supplemental intervention-level'!$C:$C=$A78)*('Supplemental intervention-level'!$A:$A="Deworming"),0))),"Not specified")</f>
        <v>-0.14</v>
      </c>
      <c r="D78" s="226">
        <f t="array" ref="D78">iferror(if(isblank($A78),"",index('Supplemental intervention-level'!$M:$M,match(1,('Supplemental intervention-level'!$C:$C=$A78)*('Supplemental intervention-level'!$A:$A="Deworming"),0))),"Not specified")</f>
        <v>-0.14</v>
      </c>
      <c r="E78" s="226">
        <f t="array" ref="E78">iferror(if(isblank($A78),"",index('Supplemental intervention-level'!$M:$M,match(1,('Supplemental intervention-level'!$C:$C=$A78)*('Supplemental intervention-level'!$A:$A="Deworming"),0))),"Not specified")</f>
        <v>-0.14</v>
      </c>
      <c r="F78" s="226">
        <f t="array" ref="F78">iferror(if(isblank($A78),"",index('Supplemental intervention-level'!$M:$M,match(1,('Supplemental intervention-level'!$C:$C=$A78)*('Supplemental intervention-level'!$A:$A="Deworming"),0))),"Not specified")</f>
        <v>-0.14</v>
      </c>
      <c r="G78" s="226">
        <f t="array" ref="G78">iferror(if(isblank($A78),"",index('Supplemental intervention-level'!$M:$M,match(1,('Supplemental intervention-level'!$C:$C=$A78)*('Supplemental intervention-level'!$A:$A="Deworming"),0))),"Not specified")</f>
        <v>-0.14</v>
      </c>
      <c r="H78" s="226">
        <f t="array" ref="H78">iferror(if(isblank($A78),"",index('Supplemental intervention-level'!$M:$M,match(1,('Supplemental intervention-level'!$C:$C=$A78)*('Supplemental intervention-level'!$A:$A="Deworming"),0))),"Not specified")</f>
        <v>-0.14</v>
      </c>
      <c r="I78" s="226">
        <f t="array" ref="I78">iferror(if(isblank($A78),"",index('Supplemental intervention-level'!$M:$M,match(1,('Supplemental intervention-level'!$C:$C=$A78)*('Supplemental intervention-level'!$A:$A="Deworming"),0))),"Not specified")</f>
        <v>-0.14</v>
      </c>
      <c r="J78" s="226">
        <f t="array" ref="J78">iferror(if(isblank($A78),"",index('Supplemental intervention-level'!$M:$M,match(1,('Supplemental intervention-level'!$C:$C=$A78)*('Supplemental intervention-level'!$A:$A="Deworming"),0))),"Not specified")</f>
        <v>-0.14</v>
      </c>
      <c r="K78" s="226">
        <f t="array" ref="K78">iferror(if(isblank($A78),"",index('Supplemental intervention-level'!$M:$M,match(1,('Supplemental intervention-level'!$C:$C=$A78)*('Supplemental intervention-level'!$A:$A="Deworming"),0))),"Not specified")</f>
        <v>-0.14</v>
      </c>
      <c r="L78" s="226">
        <f t="array" ref="L78">iferror(if(isblank($A78),"",index('Supplemental intervention-level'!$M:$M,match(1,('Supplemental intervention-level'!$C:$C=$A78)*('Supplemental intervention-level'!$A:$A="Deworming"),0))),"Not specified")</f>
        <v>-0.14</v>
      </c>
      <c r="M78" s="226">
        <f t="array" ref="M78">iferror(if(isblank($A78),"",index('Supplemental intervention-level'!$M:$M,match(1,('Supplemental intervention-level'!$C:$C=$A78)*('Supplemental intervention-level'!$A:$A="Deworming"),0))),"Not specified")</f>
        <v>-0.14</v>
      </c>
      <c r="N78" s="226">
        <f t="array" ref="N78">iferror(if(isblank($A78),"",index('Supplemental intervention-level'!$M:$M,match(1,('Supplemental intervention-level'!$C:$C=$A78)*('Supplemental intervention-level'!$A:$A="Deworming"),0))),"Not specified")</f>
        <v>-0.14</v>
      </c>
      <c r="O78" s="226">
        <f t="array" ref="O78">iferror(if(isblank($A78),"",index('Supplemental intervention-level'!$M:$M,match(1,('Supplemental intervention-level'!$C:$C=$A78)*('Supplemental intervention-level'!$A:$A="Deworming"),0))),"Not specified")</f>
        <v>-0.14</v>
      </c>
      <c r="P78" s="226">
        <f t="array" ref="P78">iferror(if(isblank($A78),"",index('Supplemental intervention-level'!$M:$M,match(1,('Supplemental intervention-level'!$C:$C=$A78)*('Supplemental intervention-level'!$A:$A="Deworming"),0))),"Not specified")</f>
        <v>-0.14</v>
      </c>
      <c r="Q78" s="226">
        <f t="array" ref="Q78">iferror(if(isblank($A78),"",index('Supplemental intervention-level'!$M:$M,match(1,('Supplemental intervention-level'!$C:$C=$A78)*('Supplemental intervention-level'!$A:$A="Deworming"),0))),"Not specified")</f>
        <v>-0.14</v>
      </c>
      <c r="R78" s="226">
        <f t="array" ref="R78">iferror(if(isblank($A78),"",index('Supplemental intervention-level'!$M:$M,match(1,('Supplemental intervention-level'!$C:$C=$A78)*('Supplemental intervention-level'!$A:$A="Deworming"),0))),"Not specified")</f>
        <v>-0.14</v>
      </c>
      <c r="S78" s="226">
        <f t="array" ref="S78">iferror(if(isblank($A78),"",index('Supplemental intervention-level'!$M:$M,match(1,('Supplemental intervention-level'!$C:$C=$A78)*('Supplemental intervention-level'!$A:$A="Deworming"),0))),"Not specified")</f>
        <v>-0.14</v>
      </c>
      <c r="T78" s="226">
        <f t="array" ref="T78">iferror(if(isblank($A78),"",index('Supplemental intervention-level'!$M:$M,match(1,('Supplemental intervention-level'!$C:$C=$A78)*('Supplemental intervention-level'!$A:$A="Deworming"),0))),"Not specified")</f>
        <v>-0.14</v>
      </c>
      <c r="U78" s="226">
        <f t="array" ref="U78">iferror(if(isblank($A78),"",index('Supplemental intervention-level'!$M:$M,match(1,('Supplemental intervention-level'!$C:$C=$A78)*('Supplemental intervention-level'!$A:$A="Deworming"),0))),"Not specified")</f>
        <v>-0.14</v>
      </c>
      <c r="V78" s="226">
        <f t="array" ref="V78">iferror(if(isblank($A78),"",index('Supplemental intervention-level'!$M:$M,match(1,('Supplemental intervention-level'!$C:$C=$A78)*('Supplemental intervention-level'!$A:$A="Deworming"),0))),"Not specified")</f>
        <v>-0.14</v>
      </c>
      <c r="W78" s="226">
        <f t="array" ref="W78">iferror(if(isblank($A78),"",index('Supplemental intervention-level'!$M:$M,match(1,('Supplemental intervention-level'!$C:$C=$A78)*('Supplemental intervention-level'!$A:$A="Deworming"),0))),"Not specified")</f>
        <v>-0.14</v>
      </c>
      <c r="X78" s="226">
        <f t="array" ref="X78">iferror(if(isblank($A78),"",index('Supplemental intervention-level'!$M:$M,match(1,('Supplemental intervention-level'!$C:$C=$A78)*('Supplemental intervention-level'!$A:$A="Deworming"),0))),"Not specified")</f>
        <v>-0.14</v>
      </c>
      <c r="Y78" s="226">
        <f t="array" ref="Y78">iferror(if(isblank($A78),"",index('Supplemental intervention-level'!$M:$M,match(1,('Supplemental intervention-level'!$C:$C=$A78)*('Supplemental intervention-level'!$A:$A="Deworming"),0))),"Not specified")</f>
        <v>-0.14</v>
      </c>
      <c r="Z78" s="226">
        <f t="array" ref="Z78">iferror(if(isblank($A78),"",index('Supplemental intervention-level'!$M:$M,match(1,('Supplemental intervention-level'!$C:$C=$A78)*('Supplemental intervention-level'!$A:$A="Deworming"),0))),"Not specified")</f>
        <v>-0.14</v>
      </c>
      <c r="AA78" s="226">
        <f t="array" ref="AA78">iferror(if(isblank($A78),"",index('Supplemental intervention-level'!$M:$M,match(1,('Supplemental intervention-level'!$C:$C=$A78)*('Supplemental intervention-level'!$A:$A="Deworming"),0))),"Not specified")</f>
        <v>-0.14</v>
      </c>
      <c r="AB78" s="226">
        <f t="array" ref="AB78">iferror(if(isblank($A78),"",index('Supplemental intervention-level'!$M:$M,match(1,('Supplemental intervention-level'!$C:$C=$A78)*('Supplemental intervention-level'!$A:$A="Deworming"),0))),"Not specified")</f>
        <v>-0.14</v>
      </c>
      <c r="AC78" s="226">
        <f t="array" ref="AC78">iferror(if(isblank($A78),"",index('Supplemental intervention-level'!$M:$M,match(1,('Supplemental intervention-level'!$C:$C=$A78)*('Supplemental intervention-level'!$A:$A="Deworming"),0))),"Not specified")</f>
        <v>-0.14</v>
      </c>
      <c r="AD78" s="226">
        <f t="array" ref="AD78">iferror(if(isblank($A78),"",index('Supplemental intervention-level'!$M:$M,match(1,('Supplemental intervention-level'!$C:$C=$A78)*('Supplemental intervention-level'!$A:$A="Deworming"),0))),"Not specified")</f>
        <v>-0.14</v>
      </c>
      <c r="AE78" s="226">
        <f t="array" ref="AE78">iferror(if(isblank($A78),"",index('Supplemental intervention-level'!$M:$M,match(1,('Supplemental intervention-level'!$C:$C=$A78)*('Supplemental intervention-level'!$A:$A="Deworming"),0))),"Not specified")</f>
        <v>-0.14</v>
      </c>
      <c r="AF78" s="226">
        <f t="array" ref="AF78">iferror(if(isblank($A78),"",index('Supplemental intervention-level'!$M:$M,match(1,('Supplemental intervention-level'!$C:$C=$A78)*('Supplemental intervention-level'!$A:$A="Deworming"),0))),"Not specified")</f>
        <v>-0.14</v>
      </c>
      <c r="AG78" s="226">
        <f t="array" ref="AG78">iferror(if(isblank($A78),"",index('Supplemental intervention-level'!$M:$M,match(1,('Supplemental intervention-level'!$C:$C=$A78)*('Supplemental intervention-level'!$A:$A="Deworming"),0))),"Not specified")</f>
        <v>-0.14</v>
      </c>
      <c r="AH78" s="226">
        <f t="array" ref="AH78">iferror(if(isblank($A78),"",index('Supplemental intervention-level'!$M:$M,match(1,('Supplemental intervention-level'!$C:$C=$A78)*('Supplemental intervention-level'!$A:$A="Deworming"),0))),"Not specified")</f>
        <v>-0.14</v>
      </c>
      <c r="AI78" s="226">
        <f t="array" ref="AI78">iferror(if(isblank($A78),"",index('Supplemental intervention-level'!$M:$M,match(1,('Supplemental intervention-level'!$C:$C=$A78)*('Supplemental intervention-level'!$A:$A="Deworming"),0))),"Not specified")</f>
        <v>-0.14</v>
      </c>
      <c r="AJ78" s="226">
        <f t="array" ref="AJ78">iferror(if(isblank($A78),"",index('Supplemental intervention-level'!$M:$M,match(1,('Supplemental intervention-level'!$C:$C=$A78)*('Supplemental intervention-level'!$A:$A="Deworming"),0))),"Not specified")</f>
        <v>-0.14</v>
      </c>
      <c r="AK78" s="226">
        <f t="array" ref="AK78">iferror(if(isblank($A78),"",index('Supplemental intervention-level'!$M:$M,match(1,('Supplemental intervention-level'!$C:$C=$A78)*('Supplemental intervention-level'!$A:$A="Deworming"),0))),"Not specified")</f>
        <v>-0.14</v>
      </c>
      <c r="AL78" s="226">
        <f t="array" ref="AL78">iferror(if(isblank($A78),"",index('Supplemental intervention-level'!$M:$M,match(1,('Supplemental intervention-level'!$C:$C=$A78)*('Supplemental intervention-level'!$A:$A="Deworming"),0))),"Not specified")</f>
        <v>-0.14</v>
      </c>
      <c r="AM78" s="226">
        <f t="array" ref="AM78">iferror(if(isblank($A78),"",index('Supplemental intervention-level'!$M:$M,match(1,('Supplemental intervention-level'!$C:$C=$A78)*('Supplemental intervention-level'!$A:$A="Deworming"),0))),"Not specified")</f>
        <v>-0.14</v>
      </c>
      <c r="AN78" s="226">
        <f t="array" ref="AN78">iferror(if(isblank($A78),"",index('Supplemental intervention-level'!$M:$M,match(1,('Supplemental intervention-level'!$C:$C=$A78)*('Supplemental intervention-level'!$A:$A="Deworming"),0))),"Not specified")</f>
        <v>-0.14</v>
      </c>
      <c r="AO78" s="226">
        <f t="array" ref="AO78">iferror(if(isblank($A78),"",index('Supplemental intervention-level'!$M:$M,match(1,('Supplemental intervention-level'!$C:$C=$A78)*('Supplemental intervention-level'!$A:$A="Deworming"),0))),"Not specified")</f>
        <v>-0.14</v>
      </c>
    </row>
    <row r="79" outlineLevel="1">
      <c r="A79" s="55" t="str">
        <f>IFERROR(__xludf.DUMMYFUNCTION("""COMPUTED_VALUE"""),"Marginal funding goes to lower priority areas")</f>
        <v>Marginal funding goes to lower priority areas</v>
      </c>
      <c r="B79" s="226">
        <f t="array" ref="B79">iferror(if(isblank($A79),"",index('Supplemental intervention-level'!$M:$M,match(1,('Supplemental intervention-level'!$C:$C=$A79)*('Supplemental intervention-level'!$A:$A="Deworming"),0))),"Not specified")</f>
        <v>-0.025</v>
      </c>
      <c r="C79" s="226">
        <f t="array" ref="C79">iferror(if(isblank($A79),"",index('Supplemental intervention-level'!$M:$M,match(1,('Supplemental intervention-level'!$C:$C=$A79)*('Supplemental intervention-level'!$A:$A="Deworming"),0))),"Not specified")</f>
        <v>-0.025</v>
      </c>
      <c r="D79" s="226">
        <f t="array" ref="D79">iferror(if(isblank($A79),"",index('Supplemental intervention-level'!$M:$M,match(1,('Supplemental intervention-level'!$C:$C=$A79)*('Supplemental intervention-level'!$A:$A="Deworming"),0))),"Not specified")</f>
        <v>-0.025</v>
      </c>
      <c r="E79" s="226">
        <f t="array" ref="E79">iferror(if(isblank($A79),"",index('Supplemental intervention-level'!$M:$M,match(1,('Supplemental intervention-level'!$C:$C=$A79)*('Supplemental intervention-level'!$A:$A="Deworming"),0))),"Not specified")</f>
        <v>-0.025</v>
      </c>
      <c r="F79" s="226">
        <f t="array" ref="F79">iferror(if(isblank($A79),"",index('Supplemental intervention-level'!$M:$M,match(1,('Supplemental intervention-level'!$C:$C=$A79)*('Supplemental intervention-level'!$A:$A="Deworming"),0))),"Not specified")</f>
        <v>-0.025</v>
      </c>
      <c r="G79" s="226">
        <f t="array" ref="G79">iferror(if(isblank($A79),"",index('Supplemental intervention-level'!$M:$M,match(1,('Supplemental intervention-level'!$C:$C=$A79)*('Supplemental intervention-level'!$A:$A="Deworming"),0))),"Not specified")</f>
        <v>-0.025</v>
      </c>
      <c r="H79" s="226">
        <f t="array" ref="H79">iferror(if(isblank($A79),"",index('Supplemental intervention-level'!$M:$M,match(1,('Supplemental intervention-level'!$C:$C=$A79)*('Supplemental intervention-level'!$A:$A="Deworming"),0))),"Not specified")</f>
        <v>-0.025</v>
      </c>
      <c r="I79" s="226">
        <f t="array" ref="I79">iferror(if(isblank($A79),"",index('Supplemental intervention-level'!$M:$M,match(1,('Supplemental intervention-level'!$C:$C=$A79)*('Supplemental intervention-level'!$A:$A="Deworming"),0))),"Not specified")</f>
        <v>-0.025</v>
      </c>
      <c r="J79" s="226">
        <f t="array" ref="J79">iferror(if(isblank($A79),"",index('Supplemental intervention-level'!$M:$M,match(1,('Supplemental intervention-level'!$C:$C=$A79)*('Supplemental intervention-level'!$A:$A="Deworming"),0))),"Not specified")</f>
        <v>-0.025</v>
      </c>
      <c r="K79" s="226">
        <f t="array" ref="K79">iferror(if(isblank($A79),"",index('Supplemental intervention-level'!$M:$M,match(1,('Supplemental intervention-level'!$C:$C=$A79)*('Supplemental intervention-level'!$A:$A="Deworming"),0))),"Not specified")</f>
        <v>-0.025</v>
      </c>
      <c r="L79" s="226">
        <f t="array" ref="L79">iferror(if(isblank($A79),"",index('Supplemental intervention-level'!$M:$M,match(1,('Supplemental intervention-level'!$C:$C=$A79)*('Supplemental intervention-level'!$A:$A="Deworming"),0))),"Not specified")</f>
        <v>-0.025</v>
      </c>
      <c r="M79" s="226">
        <f t="array" ref="M79">iferror(if(isblank($A79),"",index('Supplemental intervention-level'!$M:$M,match(1,('Supplemental intervention-level'!$C:$C=$A79)*('Supplemental intervention-level'!$A:$A="Deworming"),0))),"Not specified")</f>
        <v>-0.025</v>
      </c>
      <c r="N79" s="226">
        <f t="array" ref="N79">iferror(if(isblank($A79),"",index('Supplemental intervention-level'!$M:$M,match(1,('Supplemental intervention-level'!$C:$C=$A79)*('Supplemental intervention-level'!$A:$A="Deworming"),0))),"Not specified")</f>
        <v>-0.025</v>
      </c>
      <c r="O79" s="226">
        <f t="array" ref="O79">iferror(if(isblank($A79),"",index('Supplemental intervention-level'!$M:$M,match(1,('Supplemental intervention-level'!$C:$C=$A79)*('Supplemental intervention-level'!$A:$A="Deworming"),0))),"Not specified")</f>
        <v>-0.025</v>
      </c>
      <c r="P79" s="226">
        <f t="array" ref="P79">iferror(if(isblank($A79),"",index('Supplemental intervention-level'!$M:$M,match(1,('Supplemental intervention-level'!$C:$C=$A79)*('Supplemental intervention-level'!$A:$A="Deworming"),0))),"Not specified")</f>
        <v>-0.025</v>
      </c>
      <c r="Q79" s="226">
        <f t="array" ref="Q79">iferror(if(isblank($A79),"",index('Supplemental intervention-level'!$M:$M,match(1,('Supplemental intervention-level'!$C:$C=$A79)*('Supplemental intervention-level'!$A:$A="Deworming"),0))),"Not specified")</f>
        <v>-0.025</v>
      </c>
      <c r="R79" s="226">
        <f t="array" ref="R79">iferror(if(isblank($A79),"",index('Supplemental intervention-level'!$M:$M,match(1,('Supplemental intervention-level'!$C:$C=$A79)*('Supplemental intervention-level'!$A:$A="Deworming"),0))),"Not specified")</f>
        <v>-0.025</v>
      </c>
      <c r="S79" s="226">
        <f t="array" ref="S79">iferror(if(isblank($A79),"",index('Supplemental intervention-level'!$M:$M,match(1,('Supplemental intervention-level'!$C:$C=$A79)*('Supplemental intervention-level'!$A:$A="Deworming"),0))),"Not specified")</f>
        <v>-0.025</v>
      </c>
      <c r="T79" s="226">
        <f t="array" ref="T79">iferror(if(isblank($A79),"",index('Supplemental intervention-level'!$M:$M,match(1,('Supplemental intervention-level'!$C:$C=$A79)*('Supplemental intervention-level'!$A:$A="Deworming"),0))),"Not specified")</f>
        <v>-0.025</v>
      </c>
      <c r="U79" s="226">
        <f t="array" ref="U79">iferror(if(isblank($A79),"",index('Supplemental intervention-level'!$M:$M,match(1,('Supplemental intervention-level'!$C:$C=$A79)*('Supplemental intervention-level'!$A:$A="Deworming"),0))),"Not specified")</f>
        <v>-0.025</v>
      </c>
      <c r="V79" s="226">
        <f t="array" ref="V79">iferror(if(isblank($A79),"",index('Supplemental intervention-level'!$M:$M,match(1,('Supplemental intervention-level'!$C:$C=$A79)*('Supplemental intervention-level'!$A:$A="Deworming"),0))),"Not specified")</f>
        <v>-0.025</v>
      </c>
      <c r="W79" s="226">
        <f t="array" ref="W79">iferror(if(isblank($A79),"",index('Supplemental intervention-level'!$M:$M,match(1,('Supplemental intervention-level'!$C:$C=$A79)*('Supplemental intervention-level'!$A:$A="Deworming"),0))),"Not specified")</f>
        <v>-0.025</v>
      </c>
      <c r="X79" s="226">
        <f t="array" ref="X79">iferror(if(isblank($A79),"",index('Supplemental intervention-level'!$M:$M,match(1,('Supplemental intervention-level'!$C:$C=$A79)*('Supplemental intervention-level'!$A:$A="Deworming"),0))),"Not specified")</f>
        <v>-0.025</v>
      </c>
      <c r="Y79" s="226">
        <f t="array" ref="Y79">iferror(if(isblank($A79),"",index('Supplemental intervention-level'!$M:$M,match(1,('Supplemental intervention-level'!$C:$C=$A79)*('Supplemental intervention-level'!$A:$A="Deworming"),0))),"Not specified")</f>
        <v>-0.025</v>
      </c>
      <c r="Z79" s="226">
        <f t="array" ref="Z79">iferror(if(isblank($A79),"",index('Supplemental intervention-level'!$M:$M,match(1,('Supplemental intervention-level'!$C:$C=$A79)*('Supplemental intervention-level'!$A:$A="Deworming"),0))),"Not specified")</f>
        <v>-0.025</v>
      </c>
      <c r="AA79" s="226">
        <f t="array" ref="AA79">iferror(if(isblank($A79),"",index('Supplemental intervention-level'!$M:$M,match(1,('Supplemental intervention-level'!$C:$C=$A79)*('Supplemental intervention-level'!$A:$A="Deworming"),0))),"Not specified")</f>
        <v>-0.025</v>
      </c>
      <c r="AB79" s="226">
        <f t="array" ref="AB79">iferror(if(isblank($A79),"",index('Supplemental intervention-level'!$M:$M,match(1,('Supplemental intervention-level'!$C:$C=$A79)*('Supplemental intervention-level'!$A:$A="Deworming"),0))),"Not specified")</f>
        <v>-0.025</v>
      </c>
      <c r="AC79" s="226">
        <f t="array" ref="AC79">iferror(if(isblank($A79),"",index('Supplemental intervention-level'!$M:$M,match(1,('Supplemental intervention-level'!$C:$C=$A79)*('Supplemental intervention-level'!$A:$A="Deworming"),0))),"Not specified")</f>
        <v>-0.025</v>
      </c>
      <c r="AD79" s="226">
        <f t="array" ref="AD79">iferror(if(isblank($A79),"",index('Supplemental intervention-level'!$M:$M,match(1,('Supplemental intervention-level'!$C:$C=$A79)*('Supplemental intervention-level'!$A:$A="Deworming"),0))),"Not specified")</f>
        <v>-0.025</v>
      </c>
      <c r="AE79" s="226">
        <f t="array" ref="AE79">iferror(if(isblank($A79),"",index('Supplemental intervention-level'!$M:$M,match(1,('Supplemental intervention-level'!$C:$C=$A79)*('Supplemental intervention-level'!$A:$A="Deworming"),0))),"Not specified")</f>
        <v>-0.025</v>
      </c>
      <c r="AF79" s="226">
        <f t="array" ref="AF79">iferror(if(isblank($A79),"",index('Supplemental intervention-level'!$M:$M,match(1,('Supplemental intervention-level'!$C:$C=$A79)*('Supplemental intervention-level'!$A:$A="Deworming"),0))),"Not specified")</f>
        <v>-0.025</v>
      </c>
      <c r="AG79" s="226">
        <f t="array" ref="AG79">iferror(if(isblank($A79),"",index('Supplemental intervention-level'!$M:$M,match(1,('Supplemental intervention-level'!$C:$C=$A79)*('Supplemental intervention-level'!$A:$A="Deworming"),0))),"Not specified")</f>
        <v>-0.025</v>
      </c>
      <c r="AH79" s="226">
        <f t="array" ref="AH79">iferror(if(isblank($A79),"",index('Supplemental intervention-level'!$M:$M,match(1,('Supplemental intervention-level'!$C:$C=$A79)*('Supplemental intervention-level'!$A:$A="Deworming"),0))),"Not specified")</f>
        <v>-0.025</v>
      </c>
      <c r="AI79" s="226">
        <f t="array" ref="AI79">iferror(if(isblank($A79),"",index('Supplemental intervention-level'!$M:$M,match(1,('Supplemental intervention-level'!$C:$C=$A79)*('Supplemental intervention-level'!$A:$A="Deworming"),0))),"Not specified")</f>
        <v>-0.025</v>
      </c>
      <c r="AJ79" s="226">
        <f t="array" ref="AJ79">iferror(if(isblank($A79),"",index('Supplemental intervention-level'!$M:$M,match(1,('Supplemental intervention-level'!$C:$C=$A79)*('Supplemental intervention-level'!$A:$A="Deworming"),0))),"Not specified")</f>
        <v>-0.025</v>
      </c>
      <c r="AK79" s="226">
        <f t="array" ref="AK79">iferror(if(isblank($A79),"",index('Supplemental intervention-level'!$M:$M,match(1,('Supplemental intervention-level'!$C:$C=$A79)*('Supplemental intervention-level'!$A:$A="Deworming"),0))),"Not specified")</f>
        <v>-0.025</v>
      </c>
      <c r="AL79" s="226">
        <f t="array" ref="AL79">iferror(if(isblank($A79),"",index('Supplemental intervention-level'!$M:$M,match(1,('Supplemental intervention-level'!$C:$C=$A79)*('Supplemental intervention-level'!$A:$A="Deworming"),0))),"Not specified")</f>
        <v>-0.025</v>
      </c>
      <c r="AM79" s="226">
        <f t="array" ref="AM79">iferror(if(isblank($A79),"",index('Supplemental intervention-level'!$M:$M,match(1,('Supplemental intervention-level'!$C:$C=$A79)*('Supplemental intervention-level'!$A:$A="Deworming"),0))),"Not specified")</f>
        <v>-0.025</v>
      </c>
      <c r="AN79" s="226">
        <f t="array" ref="AN79">iferror(if(isblank($A79),"",index('Supplemental intervention-level'!$M:$M,match(1,('Supplemental intervention-level'!$C:$C=$A79)*('Supplemental intervention-level'!$A:$A="Deworming"),0))),"Not specified")</f>
        <v>-0.025</v>
      </c>
      <c r="AO79" s="226">
        <f t="array" ref="AO79">iferror(if(isblank($A79),"",index('Supplemental intervention-level'!$M:$M,match(1,('Supplemental intervention-level'!$C:$C=$A79)*('Supplemental intervention-level'!$A:$A="Deworming"),0))),"Not specified")</f>
        <v>-0.025</v>
      </c>
    </row>
    <row r="80" outlineLevel="1">
      <c r="A80" s="55" t="str">
        <f>IFERROR(__xludf.DUMMYFUNCTION("""COMPUTED_VALUE"""),"General equilibrium effects")</f>
        <v>General equilibrium effects</v>
      </c>
      <c r="B80" s="226">
        <f t="array" ref="B80">iferror(if(isblank($A80),"",index('Supplemental intervention-level'!$M:$M,match(1,('Supplemental intervention-level'!$C:$C=$A80)*('Supplemental intervention-level'!$A:$A="Deworming"),0))),"Not specified")</f>
        <v>-0.03</v>
      </c>
      <c r="C80" s="226">
        <f t="array" ref="C80">iferror(if(isblank($A80),"",index('Supplemental intervention-level'!$M:$M,match(1,('Supplemental intervention-level'!$C:$C=$A80)*('Supplemental intervention-level'!$A:$A="Deworming"),0))),"Not specified")</f>
        <v>-0.03</v>
      </c>
      <c r="D80" s="226">
        <f t="array" ref="D80">iferror(if(isblank($A80),"",index('Supplemental intervention-level'!$M:$M,match(1,('Supplemental intervention-level'!$C:$C=$A80)*('Supplemental intervention-level'!$A:$A="Deworming"),0))),"Not specified")</f>
        <v>-0.03</v>
      </c>
      <c r="E80" s="226">
        <f t="array" ref="E80">iferror(if(isblank($A80),"",index('Supplemental intervention-level'!$M:$M,match(1,('Supplemental intervention-level'!$C:$C=$A80)*('Supplemental intervention-level'!$A:$A="Deworming"),0))),"Not specified")</f>
        <v>-0.03</v>
      </c>
      <c r="F80" s="226">
        <f t="array" ref="F80">iferror(if(isblank($A80),"",index('Supplemental intervention-level'!$M:$M,match(1,('Supplemental intervention-level'!$C:$C=$A80)*('Supplemental intervention-level'!$A:$A="Deworming"),0))),"Not specified")</f>
        <v>-0.03</v>
      </c>
      <c r="G80" s="226">
        <f t="array" ref="G80">iferror(if(isblank($A80),"",index('Supplemental intervention-level'!$M:$M,match(1,('Supplemental intervention-level'!$C:$C=$A80)*('Supplemental intervention-level'!$A:$A="Deworming"),0))),"Not specified")</f>
        <v>-0.03</v>
      </c>
      <c r="H80" s="226">
        <f t="array" ref="H80">iferror(if(isblank($A80),"",index('Supplemental intervention-level'!$M:$M,match(1,('Supplemental intervention-level'!$C:$C=$A80)*('Supplemental intervention-level'!$A:$A="Deworming"),0))),"Not specified")</f>
        <v>-0.03</v>
      </c>
      <c r="I80" s="226">
        <f t="array" ref="I80">iferror(if(isblank($A80),"",index('Supplemental intervention-level'!$M:$M,match(1,('Supplemental intervention-level'!$C:$C=$A80)*('Supplemental intervention-level'!$A:$A="Deworming"),0))),"Not specified")</f>
        <v>-0.03</v>
      </c>
      <c r="J80" s="226">
        <f t="array" ref="J80">iferror(if(isblank($A80),"",index('Supplemental intervention-level'!$M:$M,match(1,('Supplemental intervention-level'!$C:$C=$A80)*('Supplemental intervention-level'!$A:$A="Deworming"),0))),"Not specified")</f>
        <v>-0.03</v>
      </c>
      <c r="K80" s="226">
        <f t="array" ref="K80">iferror(if(isblank($A80),"",index('Supplemental intervention-level'!$M:$M,match(1,('Supplemental intervention-level'!$C:$C=$A80)*('Supplemental intervention-level'!$A:$A="Deworming"),0))),"Not specified")</f>
        <v>-0.03</v>
      </c>
      <c r="L80" s="226">
        <f t="array" ref="L80">iferror(if(isblank($A80),"",index('Supplemental intervention-level'!$M:$M,match(1,('Supplemental intervention-level'!$C:$C=$A80)*('Supplemental intervention-level'!$A:$A="Deworming"),0))),"Not specified")</f>
        <v>-0.03</v>
      </c>
      <c r="M80" s="226">
        <f t="array" ref="M80">iferror(if(isblank($A80),"",index('Supplemental intervention-level'!$M:$M,match(1,('Supplemental intervention-level'!$C:$C=$A80)*('Supplemental intervention-level'!$A:$A="Deworming"),0))),"Not specified")</f>
        <v>-0.03</v>
      </c>
      <c r="N80" s="226">
        <f t="array" ref="N80">iferror(if(isblank($A80),"",index('Supplemental intervention-level'!$M:$M,match(1,('Supplemental intervention-level'!$C:$C=$A80)*('Supplemental intervention-level'!$A:$A="Deworming"),0))),"Not specified")</f>
        <v>-0.03</v>
      </c>
      <c r="O80" s="226">
        <f t="array" ref="O80">iferror(if(isblank($A80),"",index('Supplemental intervention-level'!$M:$M,match(1,('Supplemental intervention-level'!$C:$C=$A80)*('Supplemental intervention-level'!$A:$A="Deworming"),0))),"Not specified")</f>
        <v>-0.03</v>
      </c>
      <c r="P80" s="226">
        <f t="array" ref="P80">iferror(if(isblank($A80),"",index('Supplemental intervention-level'!$M:$M,match(1,('Supplemental intervention-level'!$C:$C=$A80)*('Supplemental intervention-level'!$A:$A="Deworming"),0))),"Not specified")</f>
        <v>-0.03</v>
      </c>
      <c r="Q80" s="226">
        <f t="array" ref="Q80">iferror(if(isblank($A80),"",index('Supplemental intervention-level'!$M:$M,match(1,('Supplemental intervention-level'!$C:$C=$A80)*('Supplemental intervention-level'!$A:$A="Deworming"),0))),"Not specified")</f>
        <v>-0.03</v>
      </c>
      <c r="R80" s="226">
        <f t="array" ref="R80">iferror(if(isblank($A80),"",index('Supplemental intervention-level'!$M:$M,match(1,('Supplemental intervention-level'!$C:$C=$A80)*('Supplemental intervention-level'!$A:$A="Deworming"),0))),"Not specified")</f>
        <v>-0.03</v>
      </c>
      <c r="S80" s="226">
        <f t="array" ref="S80">iferror(if(isblank($A80),"",index('Supplemental intervention-level'!$M:$M,match(1,('Supplemental intervention-level'!$C:$C=$A80)*('Supplemental intervention-level'!$A:$A="Deworming"),0))),"Not specified")</f>
        <v>-0.03</v>
      </c>
      <c r="T80" s="226">
        <f t="array" ref="T80">iferror(if(isblank($A80),"",index('Supplemental intervention-level'!$M:$M,match(1,('Supplemental intervention-level'!$C:$C=$A80)*('Supplemental intervention-level'!$A:$A="Deworming"),0))),"Not specified")</f>
        <v>-0.03</v>
      </c>
      <c r="U80" s="226">
        <f t="array" ref="U80">iferror(if(isblank($A80),"",index('Supplemental intervention-level'!$M:$M,match(1,('Supplemental intervention-level'!$C:$C=$A80)*('Supplemental intervention-level'!$A:$A="Deworming"),0))),"Not specified")</f>
        <v>-0.03</v>
      </c>
      <c r="V80" s="226">
        <f t="array" ref="V80">iferror(if(isblank($A80),"",index('Supplemental intervention-level'!$M:$M,match(1,('Supplemental intervention-level'!$C:$C=$A80)*('Supplemental intervention-level'!$A:$A="Deworming"),0))),"Not specified")</f>
        <v>-0.03</v>
      </c>
      <c r="W80" s="226">
        <f t="array" ref="W80">iferror(if(isblank($A80),"",index('Supplemental intervention-level'!$M:$M,match(1,('Supplemental intervention-level'!$C:$C=$A80)*('Supplemental intervention-level'!$A:$A="Deworming"),0))),"Not specified")</f>
        <v>-0.03</v>
      </c>
      <c r="X80" s="226">
        <f t="array" ref="X80">iferror(if(isblank($A80),"",index('Supplemental intervention-level'!$M:$M,match(1,('Supplemental intervention-level'!$C:$C=$A80)*('Supplemental intervention-level'!$A:$A="Deworming"),0))),"Not specified")</f>
        <v>-0.03</v>
      </c>
      <c r="Y80" s="226">
        <f t="array" ref="Y80">iferror(if(isblank($A80),"",index('Supplemental intervention-level'!$M:$M,match(1,('Supplemental intervention-level'!$C:$C=$A80)*('Supplemental intervention-level'!$A:$A="Deworming"),0))),"Not specified")</f>
        <v>-0.03</v>
      </c>
      <c r="Z80" s="226">
        <f t="array" ref="Z80">iferror(if(isblank($A80),"",index('Supplemental intervention-level'!$M:$M,match(1,('Supplemental intervention-level'!$C:$C=$A80)*('Supplemental intervention-level'!$A:$A="Deworming"),0))),"Not specified")</f>
        <v>-0.03</v>
      </c>
      <c r="AA80" s="226">
        <f t="array" ref="AA80">iferror(if(isblank($A80),"",index('Supplemental intervention-level'!$M:$M,match(1,('Supplemental intervention-level'!$C:$C=$A80)*('Supplemental intervention-level'!$A:$A="Deworming"),0))),"Not specified")</f>
        <v>-0.03</v>
      </c>
      <c r="AB80" s="226">
        <f t="array" ref="AB80">iferror(if(isblank($A80),"",index('Supplemental intervention-level'!$M:$M,match(1,('Supplemental intervention-level'!$C:$C=$A80)*('Supplemental intervention-level'!$A:$A="Deworming"),0))),"Not specified")</f>
        <v>-0.03</v>
      </c>
      <c r="AC80" s="226">
        <f t="array" ref="AC80">iferror(if(isblank($A80),"",index('Supplemental intervention-level'!$M:$M,match(1,('Supplemental intervention-level'!$C:$C=$A80)*('Supplemental intervention-level'!$A:$A="Deworming"),0))),"Not specified")</f>
        <v>-0.03</v>
      </c>
      <c r="AD80" s="226">
        <f t="array" ref="AD80">iferror(if(isblank($A80),"",index('Supplemental intervention-level'!$M:$M,match(1,('Supplemental intervention-level'!$C:$C=$A80)*('Supplemental intervention-level'!$A:$A="Deworming"),0))),"Not specified")</f>
        <v>-0.03</v>
      </c>
      <c r="AE80" s="226">
        <f t="array" ref="AE80">iferror(if(isblank($A80),"",index('Supplemental intervention-level'!$M:$M,match(1,('Supplemental intervention-level'!$C:$C=$A80)*('Supplemental intervention-level'!$A:$A="Deworming"),0))),"Not specified")</f>
        <v>-0.03</v>
      </c>
      <c r="AF80" s="226">
        <f t="array" ref="AF80">iferror(if(isblank($A80),"",index('Supplemental intervention-level'!$M:$M,match(1,('Supplemental intervention-level'!$C:$C=$A80)*('Supplemental intervention-level'!$A:$A="Deworming"),0))),"Not specified")</f>
        <v>-0.03</v>
      </c>
      <c r="AG80" s="226">
        <f t="array" ref="AG80">iferror(if(isblank($A80),"",index('Supplemental intervention-level'!$M:$M,match(1,('Supplemental intervention-level'!$C:$C=$A80)*('Supplemental intervention-level'!$A:$A="Deworming"),0))),"Not specified")</f>
        <v>-0.03</v>
      </c>
      <c r="AH80" s="226">
        <f t="array" ref="AH80">iferror(if(isblank($A80),"",index('Supplemental intervention-level'!$M:$M,match(1,('Supplemental intervention-level'!$C:$C=$A80)*('Supplemental intervention-level'!$A:$A="Deworming"),0))),"Not specified")</f>
        <v>-0.03</v>
      </c>
      <c r="AI80" s="226">
        <f t="array" ref="AI80">iferror(if(isblank($A80),"",index('Supplemental intervention-level'!$M:$M,match(1,('Supplemental intervention-level'!$C:$C=$A80)*('Supplemental intervention-level'!$A:$A="Deworming"),0))),"Not specified")</f>
        <v>-0.03</v>
      </c>
      <c r="AJ80" s="226">
        <f t="array" ref="AJ80">iferror(if(isblank($A80),"",index('Supplemental intervention-level'!$M:$M,match(1,('Supplemental intervention-level'!$C:$C=$A80)*('Supplemental intervention-level'!$A:$A="Deworming"),0))),"Not specified")</f>
        <v>-0.03</v>
      </c>
      <c r="AK80" s="226">
        <f t="array" ref="AK80">iferror(if(isblank($A80),"",index('Supplemental intervention-level'!$M:$M,match(1,('Supplemental intervention-level'!$C:$C=$A80)*('Supplemental intervention-level'!$A:$A="Deworming"),0))),"Not specified")</f>
        <v>-0.03</v>
      </c>
      <c r="AL80" s="226">
        <f t="array" ref="AL80">iferror(if(isblank($A80),"",index('Supplemental intervention-level'!$M:$M,match(1,('Supplemental intervention-level'!$C:$C=$A80)*('Supplemental intervention-level'!$A:$A="Deworming"),0))),"Not specified")</f>
        <v>-0.03</v>
      </c>
      <c r="AM80" s="226">
        <f t="array" ref="AM80">iferror(if(isblank($A80),"",index('Supplemental intervention-level'!$M:$M,match(1,('Supplemental intervention-level'!$C:$C=$A80)*('Supplemental intervention-level'!$A:$A="Deworming"),0))),"Not specified")</f>
        <v>-0.03</v>
      </c>
      <c r="AN80" s="226">
        <f t="array" ref="AN80">iferror(if(isblank($A80),"",index('Supplemental intervention-level'!$M:$M,match(1,('Supplemental intervention-level'!$C:$C=$A80)*('Supplemental intervention-level'!$A:$A="Deworming"),0))),"Not specified")</f>
        <v>-0.03</v>
      </c>
      <c r="AO80" s="226">
        <f t="array" ref="AO80">iferror(if(isblank($A80),"",index('Supplemental intervention-level'!$M:$M,match(1,('Supplemental intervention-level'!$C:$C=$A80)*('Supplemental intervention-level'!$A:$A="Deworming"),0))),"Not specified")</f>
        <v>-0.03</v>
      </c>
    </row>
    <row r="81" outlineLevel="1">
      <c r="A81" s="55"/>
      <c r="B81" s="226" t="str">
        <f t="array" ref="B81">iferror(if(isblank($A81),"",index('Supplemental intervention-level'!$M:$M,match(1,('Supplemental intervention-level'!$C:$C=$A81)*('Supplemental intervention-level'!$A:$A="Deworming"),0))),"Not specified")</f>
        <v/>
      </c>
      <c r="C81" s="226" t="str">
        <f t="array" ref="C81">iferror(if(isblank($A81),"",index('Supplemental intervention-level'!$M:$M,match(1,('Supplemental intervention-level'!$C:$C=$A81)*('Supplemental intervention-level'!$A:$A="Deworming"),0))),"Not specified")</f>
        <v/>
      </c>
      <c r="D81" s="226" t="str">
        <f t="array" ref="D81">iferror(if(isblank($A81),"",index('Supplemental intervention-level'!$M:$M,match(1,('Supplemental intervention-level'!$C:$C=$A81)*('Supplemental intervention-level'!$A:$A="Deworming"),0))),"Not specified")</f>
        <v/>
      </c>
      <c r="E81" s="226" t="str">
        <f t="array" ref="E81">iferror(if(isblank($A81),"",index('Supplemental intervention-level'!$M:$M,match(1,('Supplemental intervention-level'!$C:$C=$A81)*('Supplemental intervention-level'!$A:$A="Deworming"),0))),"Not specified")</f>
        <v/>
      </c>
      <c r="F81" s="226" t="str">
        <f t="array" ref="F81">iferror(if(isblank($A81),"",index('Supplemental intervention-level'!$M:$M,match(1,('Supplemental intervention-level'!$C:$C=$A81)*('Supplemental intervention-level'!$A:$A="Deworming"),0))),"Not specified")</f>
        <v/>
      </c>
      <c r="G81" s="226" t="str">
        <f t="array" ref="G81">iferror(if(isblank($A81),"",index('Supplemental intervention-level'!$M:$M,match(1,('Supplemental intervention-level'!$C:$C=$A81)*('Supplemental intervention-level'!$A:$A="Deworming"),0))),"Not specified")</f>
        <v/>
      </c>
      <c r="H81" s="226" t="str">
        <f t="array" ref="H81">iferror(if(isblank($A81),"",index('Supplemental intervention-level'!$M:$M,match(1,('Supplemental intervention-level'!$C:$C=$A81)*('Supplemental intervention-level'!$A:$A="Deworming"),0))),"Not specified")</f>
        <v/>
      </c>
      <c r="I81" s="226" t="str">
        <f t="array" ref="I81">iferror(if(isblank($A81),"",index('Supplemental intervention-level'!$M:$M,match(1,('Supplemental intervention-level'!$C:$C=$A81)*('Supplemental intervention-level'!$A:$A="Deworming"),0))),"Not specified")</f>
        <v/>
      </c>
      <c r="J81" s="226" t="str">
        <f t="array" ref="J81">iferror(if(isblank($A81),"",index('Supplemental intervention-level'!$M:$M,match(1,('Supplemental intervention-level'!$C:$C=$A81)*('Supplemental intervention-level'!$A:$A="Deworming"),0))),"Not specified")</f>
        <v/>
      </c>
      <c r="K81" s="226" t="str">
        <f t="array" ref="K81">iferror(if(isblank($A81),"",index('Supplemental intervention-level'!$M:$M,match(1,('Supplemental intervention-level'!$C:$C=$A81)*('Supplemental intervention-level'!$A:$A="Deworming"),0))),"Not specified")</f>
        <v/>
      </c>
      <c r="L81" s="226" t="str">
        <f t="array" ref="L81">iferror(if(isblank($A81),"",index('Supplemental intervention-level'!$M:$M,match(1,('Supplemental intervention-level'!$C:$C=$A81)*('Supplemental intervention-level'!$A:$A="Deworming"),0))),"Not specified")</f>
        <v/>
      </c>
      <c r="M81" s="226" t="str">
        <f t="array" ref="M81">iferror(if(isblank($A81),"",index('Supplemental intervention-level'!$M:$M,match(1,('Supplemental intervention-level'!$C:$C=$A81)*('Supplemental intervention-level'!$A:$A="Deworming"),0))),"Not specified")</f>
        <v/>
      </c>
      <c r="N81" s="226" t="str">
        <f t="array" ref="N81">iferror(if(isblank($A81),"",index('Supplemental intervention-level'!$M:$M,match(1,('Supplemental intervention-level'!$C:$C=$A81)*('Supplemental intervention-level'!$A:$A="Deworming"),0))),"Not specified")</f>
        <v/>
      </c>
      <c r="O81" s="226" t="str">
        <f t="array" ref="O81">iferror(if(isblank($A81),"",index('Supplemental intervention-level'!$M:$M,match(1,('Supplemental intervention-level'!$C:$C=$A81)*('Supplemental intervention-level'!$A:$A="Deworming"),0))),"Not specified")</f>
        <v/>
      </c>
      <c r="P81" s="226" t="str">
        <f t="array" ref="P81">iferror(if(isblank($A81),"",index('Supplemental intervention-level'!$M:$M,match(1,('Supplemental intervention-level'!$C:$C=$A81)*('Supplemental intervention-level'!$A:$A="Deworming"),0))),"Not specified")</f>
        <v/>
      </c>
      <c r="Q81" s="226" t="str">
        <f t="array" ref="Q81">iferror(if(isblank($A81),"",index('Supplemental intervention-level'!$M:$M,match(1,('Supplemental intervention-level'!$C:$C=$A81)*('Supplemental intervention-level'!$A:$A="Deworming"),0))),"Not specified")</f>
        <v/>
      </c>
      <c r="R81" s="226" t="str">
        <f t="array" ref="R81">iferror(if(isblank($A81),"",index('Supplemental intervention-level'!$M:$M,match(1,('Supplemental intervention-level'!$C:$C=$A81)*('Supplemental intervention-level'!$A:$A="Deworming"),0))),"Not specified")</f>
        <v/>
      </c>
      <c r="S81" s="226" t="str">
        <f t="array" ref="S81">iferror(if(isblank($A81),"",index('Supplemental intervention-level'!$M:$M,match(1,('Supplemental intervention-level'!$C:$C=$A81)*('Supplemental intervention-level'!$A:$A="Deworming"),0))),"Not specified")</f>
        <v/>
      </c>
      <c r="T81" s="226" t="str">
        <f t="array" ref="T81">iferror(if(isblank($A81),"",index('Supplemental intervention-level'!$M:$M,match(1,('Supplemental intervention-level'!$C:$C=$A81)*('Supplemental intervention-level'!$A:$A="Deworming"),0))),"Not specified")</f>
        <v/>
      </c>
      <c r="U81" s="226" t="str">
        <f t="array" ref="U81">iferror(if(isblank($A81),"",index('Supplemental intervention-level'!$M:$M,match(1,('Supplemental intervention-level'!$C:$C=$A81)*('Supplemental intervention-level'!$A:$A="Deworming"),0))),"Not specified")</f>
        <v/>
      </c>
      <c r="V81" s="226" t="str">
        <f t="array" ref="V81">iferror(if(isblank($A81),"",index('Supplemental intervention-level'!$M:$M,match(1,('Supplemental intervention-level'!$C:$C=$A81)*('Supplemental intervention-level'!$A:$A="Deworming"),0))),"Not specified")</f>
        <v/>
      </c>
      <c r="W81" s="226" t="str">
        <f t="array" ref="W81">iferror(if(isblank($A81),"",index('Supplemental intervention-level'!$M:$M,match(1,('Supplemental intervention-level'!$C:$C=$A81)*('Supplemental intervention-level'!$A:$A="Deworming"),0))),"Not specified")</f>
        <v/>
      </c>
      <c r="X81" s="226" t="str">
        <f t="array" ref="X81">iferror(if(isblank($A81),"",index('Supplemental intervention-level'!$M:$M,match(1,('Supplemental intervention-level'!$C:$C=$A81)*('Supplemental intervention-level'!$A:$A="Deworming"),0))),"Not specified")</f>
        <v/>
      </c>
      <c r="Y81" s="226" t="str">
        <f t="array" ref="Y81">iferror(if(isblank($A81),"",index('Supplemental intervention-level'!$M:$M,match(1,('Supplemental intervention-level'!$C:$C=$A81)*('Supplemental intervention-level'!$A:$A="Deworming"),0))),"Not specified")</f>
        <v/>
      </c>
      <c r="Z81" s="226" t="str">
        <f t="array" ref="Z81">iferror(if(isblank($A81),"",index('Supplemental intervention-level'!$M:$M,match(1,('Supplemental intervention-level'!$C:$C=$A81)*('Supplemental intervention-level'!$A:$A="Deworming"),0))),"Not specified")</f>
        <v/>
      </c>
      <c r="AA81" s="226" t="str">
        <f t="array" ref="AA81">iferror(if(isblank($A81),"",index('Supplemental intervention-level'!$M:$M,match(1,('Supplemental intervention-level'!$C:$C=$A81)*('Supplemental intervention-level'!$A:$A="Deworming"),0))),"Not specified")</f>
        <v/>
      </c>
      <c r="AB81" s="226" t="str">
        <f t="array" ref="AB81">iferror(if(isblank($A81),"",index('Supplemental intervention-level'!$M:$M,match(1,('Supplemental intervention-level'!$C:$C=$A81)*('Supplemental intervention-level'!$A:$A="Deworming"),0))),"Not specified")</f>
        <v/>
      </c>
      <c r="AC81" s="226" t="str">
        <f t="array" ref="AC81">iferror(if(isblank($A81),"",index('Supplemental intervention-level'!$M:$M,match(1,('Supplemental intervention-level'!$C:$C=$A81)*('Supplemental intervention-level'!$A:$A="Deworming"),0))),"Not specified")</f>
        <v/>
      </c>
      <c r="AD81" s="226" t="str">
        <f t="array" ref="AD81">iferror(if(isblank($A81),"",index('Supplemental intervention-level'!$M:$M,match(1,('Supplemental intervention-level'!$C:$C=$A81)*('Supplemental intervention-level'!$A:$A="Deworming"),0))),"Not specified")</f>
        <v/>
      </c>
      <c r="AE81" s="226" t="str">
        <f t="array" ref="AE81">iferror(if(isblank($A81),"",index('Supplemental intervention-level'!$M:$M,match(1,('Supplemental intervention-level'!$C:$C=$A81)*('Supplemental intervention-level'!$A:$A="Deworming"),0))),"Not specified")</f>
        <v/>
      </c>
      <c r="AF81" s="226" t="str">
        <f t="array" ref="AF81">iferror(if(isblank($A81),"",index('Supplemental intervention-level'!$M:$M,match(1,('Supplemental intervention-level'!$C:$C=$A81)*('Supplemental intervention-level'!$A:$A="Deworming"),0))),"Not specified")</f>
        <v/>
      </c>
      <c r="AG81" s="226" t="str">
        <f t="array" ref="AG81">iferror(if(isblank($A81),"",index('Supplemental intervention-level'!$M:$M,match(1,('Supplemental intervention-level'!$C:$C=$A81)*('Supplemental intervention-level'!$A:$A="Deworming"),0))),"Not specified")</f>
        <v/>
      </c>
      <c r="AH81" s="226" t="str">
        <f t="array" ref="AH81">iferror(if(isblank($A81),"",index('Supplemental intervention-level'!$M:$M,match(1,('Supplemental intervention-level'!$C:$C=$A81)*('Supplemental intervention-level'!$A:$A="Deworming"),0))),"Not specified")</f>
        <v/>
      </c>
      <c r="AI81" s="226" t="str">
        <f t="array" ref="AI81">iferror(if(isblank($A81),"",index('Supplemental intervention-level'!$M:$M,match(1,('Supplemental intervention-level'!$C:$C=$A81)*('Supplemental intervention-level'!$A:$A="Deworming"),0))),"Not specified")</f>
        <v/>
      </c>
      <c r="AJ81" s="226" t="str">
        <f t="array" ref="AJ81">iferror(if(isblank($A81),"",index('Supplemental intervention-level'!$M:$M,match(1,('Supplemental intervention-level'!$C:$C=$A81)*('Supplemental intervention-level'!$A:$A="Deworming"),0))),"Not specified")</f>
        <v/>
      </c>
      <c r="AK81" s="226" t="str">
        <f t="array" ref="AK81">iferror(if(isblank($A81),"",index('Supplemental intervention-level'!$M:$M,match(1,('Supplemental intervention-level'!$C:$C=$A81)*('Supplemental intervention-level'!$A:$A="Deworming"),0))),"Not specified")</f>
        <v/>
      </c>
      <c r="AL81" s="226" t="str">
        <f t="array" ref="AL81">iferror(if(isblank($A81),"",index('Supplemental intervention-level'!$M:$M,match(1,('Supplemental intervention-level'!$C:$C=$A81)*('Supplemental intervention-level'!$A:$A="Deworming"),0))),"Not specified")</f>
        <v/>
      </c>
      <c r="AM81" s="226" t="str">
        <f t="array" ref="AM81">iferror(if(isblank($A81),"",index('Supplemental intervention-level'!$M:$M,match(1,('Supplemental intervention-level'!$C:$C=$A81)*('Supplemental intervention-level'!$A:$A="Deworming"),0))),"Not specified")</f>
        <v/>
      </c>
      <c r="AN81" s="226" t="str">
        <f t="array" ref="AN81">iferror(if(isblank($A81),"",index('Supplemental intervention-level'!$M:$M,match(1,('Supplemental intervention-level'!$C:$C=$A81)*('Supplemental intervention-level'!$A:$A="Deworming"),0))),"Not specified")</f>
        <v/>
      </c>
      <c r="AO81" s="226" t="str">
        <f t="array" ref="AO81">iferror(if(isblank($A81),"",index('Supplemental intervention-level'!$M:$M,match(1,('Supplemental intervention-level'!$C:$C=$A81)*('Supplemental intervention-level'!$A:$A="Deworming"),0))),"Not specified")</f>
        <v/>
      </c>
    </row>
    <row r="82">
      <c r="A82" s="225" t="s">
        <v>203</v>
      </c>
      <c r="B82" s="218">
        <f t="shared" ref="B82:AO82" si="16">1+sum(B68:B81)</f>
        <v>1.213</v>
      </c>
      <c r="C82" s="218">
        <f t="shared" si="16"/>
        <v>1.213</v>
      </c>
      <c r="D82" s="218">
        <f t="shared" si="16"/>
        <v>1.213</v>
      </c>
      <c r="E82" s="218">
        <f t="shared" si="16"/>
        <v>1.213</v>
      </c>
      <c r="F82" s="218">
        <f t="shared" si="16"/>
        <v>1.213</v>
      </c>
      <c r="G82" s="218">
        <f t="shared" si="16"/>
        <v>1.213</v>
      </c>
      <c r="H82" s="218">
        <f t="shared" si="16"/>
        <v>1.213</v>
      </c>
      <c r="I82" s="218">
        <f t="shared" si="16"/>
        <v>1.213</v>
      </c>
      <c r="J82" s="218">
        <f t="shared" si="16"/>
        <v>1.213</v>
      </c>
      <c r="K82" s="218">
        <f t="shared" si="16"/>
        <v>1.213</v>
      </c>
      <c r="L82" s="218">
        <f t="shared" si="16"/>
        <v>1.213</v>
      </c>
      <c r="M82" s="218">
        <f t="shared" si="16"/>
        <v>1.213</v>
      </c>
      <c r="N82" s="218">
        <f t="shared" si="16"/>
        <v>1.213</v>
      </c>
      <c r="O82" s="218">
        <f t="shared" si="16"/>
        <v>1.213</v>
      </c>
      <c r="P82" s="218">
        <f t="shared" si="16"/>
        <v>1.213</v>
      </c>
      <c r="Q82" s="218">
        <f t="shared" si="16"/>
        <v>1.213</v>
      </c>
      <c r="R82" s="218">
        <f t="shared" si="16"/>
        <v>1.213</v>
      </c>
      <c r="S82" s="218">
        <f t="shared" si="16"/>
        <v>1.213</v>
      </c>
      <c r="T82" s="218">
        <f t="shared" si="16"/>
        <v>1.213</v>
      </c>
      <c r="U82" s="218">
        <f t="shared" si="16"/>
        <v>1.213</v>
      </c>
      <c r="V82" s="218">
        <f t="shared" si="16"/>
        <v>1.213</v>
      </c>
      <c r="W82" s="218">
        <f t="shared" si="16"/>
        <v>1.213</v>
      </c>
      <c r="X82" s="218">
        <f t="shared" si="16"/>
        <v>1.213</v>
      </c>
      <c r="Y82" s="218">
        <f t="shared" si="16"/>
        <v>1.213</v>
      </c>
      <c r="Z82" s="218">
        <f t="shared" si="16"/>
        <v>1.213</v>
      </c>
      <c r="AA82" s="218">
        <f t="shared" si="16"/>
        <v>1.213</v>
      </c>
      <c r="AB82" s="218">
        <f t="shared" si="16"/>
        <v>1.213</v>
      </c>
      <c r="AC82" s="218">
        <f t="shared" si="16"/>
        <v>1.213</v>
      </c>
      <c r="AD82" s="218">
        <f t="shared" si="16"/>
        <v>1.213</v>
      </c>
      <c r="AE82" s="218">
        <f t="shared" si="16"/>
        <v>1.213</v>
      </c>
      <c r="AF82" s="218">
        <f t="shared" si="16"/>
        <v>1.213</v>
      </c>
      <c r="AG82" s="218">
        <f t="shared" si="16"/>
        <v>1.213</v>
      </c>
      <c r="AH82" s="218">
        <f t="shared" si="16"/>
        <v>1.213</v>
      </c>
      <c r="AI82" s="218">
        <f t="shared" si="16"/>
        <v>1.213</v>
      </c>
      <c r="AJ82" s="218">
        <f t="shared" si="16"/>
        <v>1.213</v>
      </c>
      <c r="AK82" s="218">
        <f t="shared" si="16"/>
        <v>1.213</v>
      </c>
      <c r="AL82" s="218">
        <f t="shared" si="16"/>
        <v>1.213</v>
      </c>
      <c r="AM82" s="218">
        <f t="shared" si="16"/>
        <v>1.213</v>
      </c>
      <c r="AN82" s="218">
        <f t="shared" si="16"/>
        <v>1.213</v>
      </c>
      <c r="AO82" s="218">
        <f t="shared" si="16"/>
        <v>1.213</v>
      </c>
    </row>
    <row r="83">
      <c r="A83" s="43"/>
      <c r="B83" s="461"/>
      <c r="C83" s="461"/>
      <c r="D83" s="461"/>
      <c r="E83" s="461"/>
      <c r="F83" s="461"/>
      <c r="G83" s="461"/>
      <c r="H83" s="461"/>
      <c r="I83" s="461"/>
      <c r="J83" s="461"/>
      <c r="K83" s="461"/>
      <c r="L83" s="461"/>
      <c r="M83" s="461"/>
      <c r="N83" s="461"/>
      <c r="O83" s="461"/>
      <c r="P83" s="461"/>
      <c r="Q83" s="461"/>
      <c r="R83" s="461"/>
      <c r="S83" s="461"/>
      <c r="T83" s="461"/>
      <c r="U83" s="461"/>
      <c r="V83" s="461"/>
      <c r="W83" s="461"/>
      <c r="X83" s="461"/>
      <c r="Y83" s="461"/>
      <c r="Z83" s="461"/>
      <c r="AA83" s="461"/>
      <c r="AB83" s="461"/>
      <c r="AC83" s="461"/>
      <c r="AD83" s="461"/>
      <c r="AE83" s="461"/>
      <c r="AF83" s="461"/>
      <c r="AG83" s="461"/>
      <c r="AH83" s="461"/>
      <c r="AI83" s="461"/>
      <c r="AJ83" s="461"/>
      <c r="AK83" s="461"/>
      <c r="AL83" s="461"/>
      <c r="AM83" s="461"/>
      <c r="AN83" s="461"/>
      <c r="AO83" s="461"/>
    </row>
    <row r="84">
      <c r="A84" s="208" t="s">
        <v>212</v>
      </c>
      <c r="B84" s="208"/>
      <c r="C84" s="208"/>
      <c r="D84" s="208"/>
      <c r="E84" s="208"/>
      <c r="F84" s="208"/>
      <c r="G84" s="208"/>
      <c r="H84" s="208"/>
      <c r="I84" s="208"/>
      <c r="J84" s="208"/>
      <c r="K84" s="208"/>
      <c r="L84" s="208"/>
      <c r="M84" s="208"/>
      <c r="N84" s="208"/>
      <c r="O84" s="208"/>
      <c r="P84" s="208"/>
      <c r="Q84" s="208"/>
      <c r="R84" s="208"/>
      <c r="S84" s="208"/>
      <c r="T84" s="208"/>
      <c r="U84" s="208"/>
      <c r="V84" s="208"/>
      <c r="W84" s="208"/>
      <c r="X84" s="208"/>
      <c r="Y84" s="208"/>
      <c r="Z84" s="208"/>
      <c r="AA84" s="208"/>
      <c r="AB84" s="208"/>
      <c r="AC84" s="208"/>
      <c r="AD84" s="208"/>
      <c r="AE84" s="208"/>
      <c r="AF84" s="208"/>
      <c r="AG84" s="208"/>
      <c r="AH84" s="208"/>
      <c r="AI84" s="208"/>
      <c r="AJ84" s="208"/>
      <c r="AK84" s="208"/>
      <c r="AL84" s="208"/>
      <c r="AM84" s="208"/>
      <c r="AN84" s="208"/>
      <c r="AO84" s="208"/>
    </row>
    <row r="85">
      <c r="A85" s="400" t="s">
        <v>213</v>
      </c>
      <c r="B85" s="416">
        <f t="shared" ref="B85:AO85" si="17">B60*B82</f>
        <v>1701.037436</v>
      </c>
      <c r="C85" s="416">
        <f t="shared" si="17"/>
        <v>10118.77419</v>
      </c>
      <c r="D85" s="416">
        <f t="shared" si="17"/>
        <v>6154.576009</v>
      </c>
      <c r="E85" s="416">
        <f t="shared" si="17"/>
        <v>8043.735177</v>
      </c>
      <c r="F85" s="416">
        <f t="shared" si="17"/>
        <v>5730.31301</v>
      </c>
      <c r="G85" s="416">
        <f t="shared" si="17"/>
        <v>4420.61133</v>
      </c>
      <c r="H85" s="416">
        <f t="shared" si="17"/>
        <v>3176.599831</v>
      </c>
      <c r="I85" s="416">
        <f t="shared" si="17"/>
        <v>6599.600765</v>
      </c>
      <c r="J85" s="416">
        <f t="shared" si="17"/>
        <v>1955.266894</v>
      </c>
      <c r="K85" s="416">
        <f t="shared" si="17"/>
        <v>1505.695864</v>
      </c>
      <c r="L85" s="416">
        <f t="shared" si="17"/>
        <v>10586.75436</v>
      </c>
      <c r="M85" s="416">
        <f t="shared" si="17"/>
        <v>483.4362548</v>
      </c>
      <c r="N85" s="416">
        <f t="shared" si="17"/>
        <v>10586.75436</v>
      </c>
      <c r="O85" s="416">
        <f t="shared" si="17"/>
        <v>9431.62033</v>
      </c>
      <c r="P85" s="416">
        <f t="shared" si="17"/>
        <v>1017.670347</v>
      </c>
      <c r="Q85" s="416">
        <f t="shared" si="17"/>
        <v>5772.639185</v>
      </c>
      <c r="R85" s="416">
        <f t="shared" si="17"/>
        <v>3366.473213</v>
      </c>
      <c r="S85" s="416">
        <f t="shared" si="17"/>
        <v>2579.347719</v>
      </c>
      <c r="T85" s="416">
        <f t="shared" si="17"/>
        <v>5356.794149</v>
      </c>
      <c r="U85" s="416">
        <f t="shared" si="17"/>
        <v>2942.265337</v>
      </c>
      <c r="V85" s="416">
        <f t="shared" si="17"/>
        <v>9149.545701</v>
      </c>
      <c r="W85" s="416">
        <f t="shared" si="17"/>
        <v>7174.66801</v>
      </c>
      <c r="X85" s="416">
        <f t="shared" si="17"/>
        <v>3886.948289</v>
      </c>
      <c r="Y85" s="416">
        <f t="shared" si="17"/>
        <v>4554.783182</v>
      </c>
      <c r="Z85" s="416">
        <f t="shared" si="17"/>
        <v>941.4526096</v>
      </c>
      <c r="AA85" s="416">
        <f t="shared" si="17"/>
        <v>5219.84921</v>
      </c>
      <c r="AB85" s="416">
        <f t="shared" si="17"/>
        <v>6803.630879</v>
      </c>
      <c r="AC85" s="416">
        <f t="shared" si="17"/>
        <v>9494.114352</v>
      </c>
      <c r="AD85" s="416">
        <f t="shared" si="17"/>
        <v>8077.002419</v>
      </c>
      <c r="AE85" s="416">
        <f t="shared" si="17"/>
        <v>11719.12159</v>
      </c>
      <c r="AF85" s="416">
        <f t="shared" si="17"/>
        <v>11785.14577</v>
      </c>
      <c r="AG85" s="416">
        <f t="shared" si="17"/>
        <v>2733.204305</v>
      </c>
      <c r="AH85" s="416">
        <f t="shared" si="17"/>
        <v>2372.591397</v>
      </c>
      <c r="AI85" s="416">
        <f t="shared" si="17"/>
        <v>13446.14347</v>
      </c>
      <c r="AJ85" s="416">
        <f t="shared" si="17"/>
        <v>6953.810519</v>
      </c>
      <c r="AK85" s="416">
        <f t="shared" si="17"/>
        <v>4012.898943</v>
      </c>
      <c r="AL85" s="416">
        <f t="shared" si="17"/>
        <v>14589.72056</v>
      </c>
      <c r="AM85" s="416">
        <f t="shared" si="17"/>
        <v>9219.172288</v>
      </c>
      <c r="AN85" s="416">
        <f t="shared" si="17"/>
        <v>14589.72056</v>
      </c>
      <c r="AO85" s="416">
        <f t="shared" si="17"/>
        <v>118.8669014</v>
      </c>
    </row>
    <row r="86">
      <c r="A86" s="352" t="s">
        <v>183</v>
      </c>
      <c r="B86" s="462">
        <f t="shared" ref="B86:AO86" si="18">B85/B14</f>
        <v>0.01017847049</v>
      </c>
      <c r="C86" s="462">
        <f t="shared" si="18"/>
        <v>0.04338213964</v>
      </c>
      <c r="D86" s="462">
        <f t="shared" si="18"/>
        <v>0.03189471154</v>
      </c>
      <c r="E86" s="462">
        <f t="shared" si="18"/>
        <v>0.03628602137</v>
      </c>
      <c r="F86" s="462">
        <f t="shared" si="18"/>
        <v>0.02584996345</v>
      </c>
      <c r="G86" s="462">
        <f t="shared" si="18"/>
        <v>0.01994177998</v>
      </c>
      <c r="H86" s="462">
        <f t="shared" si="18"/>
        <v>0.01432993091</v>
      </c>
      <c r="I86" s="462">
        <f t="shared" si="18"/>
        <v>0.02977139962</v>
      </c>
      <c r="J86" s="462">
        <f t="shared" si="18"/>
        <v>0.00882038689</v>
      </c>
      <c r="K86" s="462">
        <f t="shared" si="18"/>
        <v>0.006792331061</v>
      </c>
      <c r="L86" s="462">
        <f t="shared" si="18"/>
        <v>0.0477578123</v>
      </c>
      <c r="M86" s="462">
        <f t="shared" si="18"/>
        <v>0.002180824938</v>
      </c>
      <c r="N86" s="462">
        <f t="shared" si="18"/>
        <v>0.0477578123</v>
      </c>
      <c r="O86" s="462">
        <f t="shared" si="18"/>
        <v>0.04254689759</v>
      </c>
      <c r="P86" s="462">
        <f t="shared" si="18"/>
        <v>0.004590803541</v>
      </c>
      <c r="Q86" s="462">
        <f t="shared" si="18"/>
        <v>0.02604090068</v>
      </c>
      <c r="R86" s="462">
        <f t="shared" si="18"/>
        <v>0.01518646701</v>
      </c>
      <c r="S86" s="462">
        <f t="shared" si="18"/>
        <v>0.01163567228</v>
      </c>
      <c r="T86" s="462">
        <f t="shared" si="18"/>
        <v>0.02416498587</v>
      </c>
      <c r="U86" s="462">
        <f t="shared" si="18"/>
        <v>0.01373767224</v>
      </c>
      <c r="V86" s="462">
        <f t="shared" si="18"/>
        <v>0.04271996084</v>
      </c>
      <c r="W86" s="462">
        <f t="shared" si="18"/>
        <v>0.03349909891</v>
      </c>
      <c r="X86" s="462">
        <f t="shared" si="18"/>
        <v>0.01814847252</v>
      </c>
      <c r="Y86" s="462">
        <f t="shared" si="18"/>
        <v>0.02126664706</v>
      </c>
      <c r="Z86" s="462">
        <f t="shared" si="18"/>
        <v>0.00439571755</v>
      </c>
      <c r="AA86" s="462">
        <f t="shared" si="18"/>
        <v>0.02437189355</v>
      </c>
      <c r="AB86" s="462">
        <f t="shared" si="18"/>
        <v>0.027006312</v>
      </c>
      <c r="AC86" s="462">
        <f t="shared" si="18"/>
        <v>0.03224373077</v>
      </c>
      <c r="AD86" s="462">
        <f t="shared" si="18"/>
        <v>0.02743096215</v>
      </c>
      <c r="AE86" s="462">
        <f t="shared" si="18"/>
        <v>0.03980025808</v>
      </c>
      <c r="AF86" s="462">
        <f t="shared" si="18"/>
        <v>0.04002448816</v>
      </c>
      <c r="AG86" s="462">
        <f t="shared" si="18"/>
        <v>0.01098871398</v>
      </c>
      <c r="AH86" s="462">
        <f t="shared" si="18"/>
        <v>0.0108600887</v>
      </c>
      <c r="AI86" s="462">
        <f t="shared" si="18"/>
        <v>0.05724877104</v>
      </c>
      <c r="AJ86" s="462">
        <f t="shared" si="18"/>
        <v>0.02960678705</v>
      </c>
      <c r="AK86" s="462">
        <f t="shared" si="18"/>
        <v>0.01708545899</v>
      </c>
      <c r="AL86" s="462">
        <f t="shared" si="18"/>
        <v>0.06211770489</v>
      </c>
      <c r="AM86" s="462">
        <f t="shared" si="18"/>
        <v>0.03925187061</v>
      </c>
      <c r="AN86" s="462">
        <f t="shared" si="18"/>
        <v>0.06211770489</v>
      </c>
      <c r="AO86" s="462">
        <f t="shared" si="18"/>
        <v>0.0007904988904</v>
      </c>
    </row>
    <row r="87">
      <c r="A87" s="221" t="s">
        <v>214</v>
      </c>
      <c r="B87" s="463">
        <f t="array" ref="B87">B86/index(GiveDirectly!$B:$B,match("Units of value generated per philanthropic dollar spent, after accounting for all adjustments",GiveDirectly!$A:$A,0))</f>
        <v>3.034242811</v>
      </c>
      <c r="C87" s="463">
        <f t="array" ref="C87">C86/index(GiveDirectly!$B:$B,match("Units of value generated per philanthropic dollar spent, after accounting for all adjustments",GiveDirectly!$A:$A,0))</f>
        <v>12.93238954</v>
      </c>
      <c r="D87" s="463">
        <f t="array" ref="D87">D86/index(GiveDirectly!$B:$B,match("Units of value generated per philanthropic dollar spent, after accounting for all adjustments",GiveDirectly!$A:$A,0))</f>
        <v>9.507941227</v>
      </c>
      <c r="E87" s="463">
        <f t="array" ref="E87">E86/index(GiveDirectly!$B:$B,match("Units of value generated per philanthropic dollar spent, after accounting for all adjustments",GiveDirectly!$A:$A,0))</f>
        <v>10.81700827</v>
      </c>
      <c r="F87" s="463">
        <f t="array" ref="F87">F86/index(GiveDirectly!$B:$B,match("Units of value generated per philanthropic dollar spent, after accounting for all adjustments",GiveDirectly!$A:$A,0))</f>
        <v>7.705977614</v>
      </c>
      <c r="G87" s="463">
        <f t="array" ref="G87">G86/index(GiveDirectly!$B:$B,match("Units of value generated per philanthropic dollar spent, after accounting for all adjustments",GiveDirectly!$A:$A,0))</f>
        <v>5.944724466</v>
      </c>
      <c r="H87" s="463">
        <f t="array" ref="H87">H86/index(GiveDirectly!$B:$B,match("Units of value generated per philanthropic dollar spent, after accounting for all adjustments",GiveDirectly!$A:$A,0))</f>
        <v>4.271809785</v>
      </c>
      <c r="I87" s="463">
        <f t="array" ref="I87">I86/index(GiveDirectly!$B:$B,match("Units of value generated per philanthropic dollar spent, after accounting for all adjustments",GiveDirectly!$A:$A,0))</f>
        <v>8.874973439</v>
      </c>
      <c r="J87" s="463">
        <f t="array" ref="J87">J86/index(GiveDirectly!$B:$B,match("Units of value generated per philanthropic dollar spent, after accounting for all adjustments",GiveDirectly!$A:$A,0))</f>
        <v>2.629392651</v>
      </c>
      <c r="K87" s="463">
        <f t="array" ref="K87">K86/index(GiveDirectly!$B:$B,match("Units of value generated per philanthropic dollar spent, after accounting for all adjustments",GiveDirectly!$A:$A,0))</f>
        <v>2.024821088</v>
      </c>
      <c r="L87" s="463">
        <f t="array" ref="L87">L86/index(GiveDirectly!$B:$B,match("Units of value generated per philanthropic dollar spent, after accounting for all adjustments",GiveDirectly!$A:$A,0))</f>
        <v>14.23679508</v>
      </c>
      <c r="M87" s="463">
        <f t="array" ref="M87">M86/index(GiveDirectly!$B:$B,match("Units of value generated per philanthropic dollar spent, after accounting for all adjustments",GiveDirectly!$A:$A,0))</f>
        <v>0.6501126468</v>
      </c>
      <c r="N87" s="463">
        <f t="array" ref="N87">N86/index(GiveDirectly!$B:$B,match("Units of value generated per philanthropic dollar spent, after accounting for all adjustments",GiveDirectly!$A:$A,0))</f>
        <v>14.23679508</v>
      </c>
      <c r="O87" s="463">
        <f t="array" ref="O87">O86/index(GiveDirectly!$B:$B,match("Units of value generated per philanthropic dollar spent, after accounting for all adjustments",GiveDirectly!$A:$A,0))</f>
        <v>12.68340054</v>
      </c>
      <c r="P87" s="463">
        <f t="array" ref="P87">P86/index(GiveDirectly!$B:$B,match("Units of value generated per philanthropic dollar spent, after accounting for all adjustments",GiveDirectly!$A:$A,0))</f>
        <v>1.368536919</v>
      </c>
      <c r="Q87" s="463">
        <f t="array" ref="Q87">Q86/index(GiveDirectly!$B:$B,match("Units of value generated per philanthropic dollar spent, after accounting for all adjustments",GiveDirectly!$A:$A,0))</f>
        <v>7.762896767</v>
      </c>
      <c r="R87" s="463">
        <f t="array" ref="R87">R86/index(GiveDirectly!$B:$B,match("Units of value generated per philanthropic dollar spent, after accounting for all adjustments",GiveDirectly!$A:$A,0))</f>
        <v>4.527146627</v>
      </c>
      <c r="S87" s="463">
        <f t="array" ref="S87">S86/index(GiveDirectly!$B:$B,match("Units of value generated per philanthropic dollar spent, after accounting for all adjustments",GiveDirectly!$A:$A,0))</f>
        <v>3.468640499</v>
      </c>
      <c r="T87" s="463">
        <f t="array" ref="T87">T86/index(GiveDirectly!$B:$B,match("Units of value generated per philanthropic dollar spent, after accounting for all adjustments",GiveDirectly!$A:$A,0))</f>
        <v>7.203679053</v>
      </c>
      <c r="U87" s="463">
        <f t="array" ref="U87">U86/index(GiveDirectly!$B:$B,match("Units of value generated per philanthropic dollar spent, after accounting for all adjustments",GiveDirectly!$A:$A,0))</f>
        <v>4.095255104</v>
      </c>
      <c r="V87" s="463">
        <f t="array" ref="V87">V86/index(GiveDirectly!$B:$B,match("Units of value generated per philanthropic dollar spent, after accounting for all adjustments",GiveDirectly!$A:$A,0))</f>
        <v>12.73499139</v>
      </c>
      <c r="W87" s="463">
        <f t="array" ref="W87">W86/index(GiveDirectly!$B:$B,match("Units of value generated per philanthropic dollar spent, after accounting for all adjustments",GiveDirectly!$A:$A,0))</f>
        <v>9.986215526</v>
      </c>
      <c r="X87" s="463">
        <f t="array" ref="X87">X86/index(GiveDirectly!$B:$B,match("Units of value generated per philanthropic dollar spent, after accounting for all adjustments",GiveDirectly!$A:$A,0))</f>
        <v>5.410132329</v>
      </c>
      <c r="Y87" s="463">
        <f t="array" ref="Y87">Y86/index(GiveDirectly!$B:$B,match("Units of value generated per philanthropic dollar spent, after accounting for all adjustments",GiveDirectly!$A:$A,0))</f>
        <v>6.339672646</v>
      </c>
      <c r="Z87" s="463">
        <f t="array" ref="Z87">Z86/index(GiveDirectly!$B:$B,match("Units of value generated per philanthropic dollar spent, after accounting for all adjustments",GiveDirectly!$A:$A,0))</f>
        <v>1.310381004</v>
      </c>
      <c r="AA87" s="463">
        <f t="array" ref="AA87">AA86/index(GiveDirectly!$B:$B,match("Units of value generated per philanthropic dollar spent, after accounting for all adjustments",GiveDirectly!$A:$A,0))</f>
        <v>7.265359059</v>
      </c>
      <c r="AB87" s="463">
        <f t="array" ref="AB87">AB86/index(GiveDirectly!$B:$B,match("Units of value generated per philanthropic dollar spent, after accounting for all adjustments",GiveDirectly!$A:$A,0))</f>
        <v>8.050689748</v>
      </c>
      <c r="AC87" s="463">
        <f t="array" ref="AC87">AC86/index(GiveDirectly!$B:$B,match("Units of value generated per philanthropic dollar spent, after accounting for all adjustments",GiveDirectly!$A:$A,0))</f>
        <v>9.611985257</v>
      </c>
      <c r="AD87" s="463">
        <f t="array" ref="AD87">AD86/index(GiveDirectly!$B:$B,match("Units of value generated per philanthropic dollar spent, after accounting for all adjustments",GiveDirectly!$A:$A,0))</f>
        <v>8.177279659</v>
      </c>
      <c r="AE87" s="463">
        <f t="array" ref="AE87">AE86/index(GiveDirectly!$B:$B,match("Units of value generated per philanthropic dollar spent, after accounting for all adjustments",GiveDirectly!$A:$A,0))</f>
        <v>11.86461631</v>
      </c>
      <c r="AF87" s="463">
        <f t="array" ref="AF87">AF86/index(GiveDirectly!$B:$B,match("Units of value generated per philanthropic dollar spent, after accounting for all adjustments",GiveDirectly!$A:$A,0))</f>
        <v>11.93146019</v>
      </c>
      <c r="AG87" s="463">
        <f t="array" ref="AG87">AG86/index(GiveDirectly!$B:$B,match("Units of value generated per philanthropic dollar spent, after accounting for all adjustments",GiveDirectly!$A:$A,0))</f>
        <v>3.27577964</v>
      </c>
      <c r="AH87" s="463">
        <f t="array" ref="AH87">AH86/index(GiveDirectly!$B:$B,match("Units of value generated per philanthropic dollar spent, after accounting for all adjustments",GiveDirectly!$A:$A,0))</f>
        <v>3.237435928</v>
      </c>
      <c r="AI87" s="463">
        <f t="array" ref="AI87">AI86/index(GiveDirectly!$B:$B,match("Units of value generated per philanthropic dollar spent, after accounting for all adjustments",GiveDirectly!$A:$A,0))</f>
        <v>17.06608789</v>
      </c>
      <c r="AJ87" s="463">
        <f t="array" ref="AJ87">AJ86/index(GiveDirectly!$B:$B,match("Units of value generated per philanthropic dollar spent, after accounting for all adjustments",GiveDirectly!$A:$A,0))</f>
        <v>8.825901773</v>
      </c>
      <c r="AK87" s="463">
        <f t="array" ref="AK87">AK86/index(GiveDirectly!$B:$B,match("Units of value generated per philanthropic dollar spent, after accounting for all adjustments",GiveDirectly!$A:$A,0))</f>
        <v>5.09324374</v>
      </c>
      <c r="AL87" s="463">
        <f t="array" ref="AL87">AL86/index(GiveDirectly!$B:$B,match("Units of value generated per philanthropic dollar spent, after accounting for all adjustments",GiveDirectly!$A:$A,0))</f>
        <v>18.51753656</v>
      </c>
      <c r="AM87" s="463">
        <f t="array" ref="AM87">AM86/index(GiveDirectly!$B:$B,match("Units of value generated per philanthropic dollar spent, after accounting for all adjustments",GiveDirectly!$A:$A,0))</f>
        <v>11.7011398</v>
      </c>
      <c r="AN87" s="463">
        <f t="array" ref="AN87">AN86/index(GiveDirectly!$B:$B,match("Units of value generated per philanthropic dollar spent, after accounting for all adjustments",GiveDirectly!$A:$A,0))</f>
        <v>18.51753656</v>
      </c>
      <c r="AO87" s="463">
        <f t="array" ref="AO87">AO86/index(GiveDirectly!$B:$B,match("Units of value generated per philanthropic dollar spent, after accounting for all adjustments",GiveDirectly!$A:$A,0))</f>
        <v>0.2356508846</v>
      </c>
    </row>
    <row r="88">
      <c r="A88" s="43"/>
      <c r="B88" s="461"/>
      <c r="C88" s="461"/>
      <c r="D88" s="461"/>
      <c r="E88" s="461"/>
      <c r="F88" s="461"/>
      <c r="G88" s="461"/>
      <c r="H88" s="461"/>
      <c r="I88" s="461"/>
      <c r="J88" s="461"/>
      <c r="K88" s="461"/>
      <c r="L88" s="461"/>
      <c r="M88" s="461"/>
      <c r="N88" s="461"/>
      <c r="O88" s="461"/>
      <c r="P88" s="461"/>
      <c r="Q88" s="461"/>
      <c r="R88" s="461"/>
      <c r="S88" s="461"/>
      <c r="T88" s="461"/>
      <c r="U88" s="461"/>
      <c r="V88" s="461"/>
      <c r="W88" s="461"/>
      <c r="X88" s="461"/>
      <c r="Y88" s="461"/>
      <c r="Z88" s="461"/>
      <c r="AA88" s="461"/>
      <c r="AB88" s="461"/>
      <c r="AC88" s="465"/>
      <c r="AD88" s="461"/>
      <c r="AE88" s="461"/>
      <c r="AF88" s="461"/>
      <c r="AG88" s="461"/>
      <c r="AH88" s="461"/>
      <c r="AI88" s="461"/>
      <c r="AJ88" s="461"/>
      <c r="AK88" s="461"/>
      <c r="AL88" s="461"/>
      <c r="AM88" s="461"/>
      <c r="AN88" s="461"/>
      <c r="AO88" s="461"/>
    </row>
    <row r="89">
      <c r="A89" s="160" t="s">
        <v>215</v>
      </c>
      <c r="B89" s="397"/>
      <c r="C89" s="397"/>
      <c r="D89" s="397"/>
      <c r="E89" s="397"/>
      <c r="F89" s="397"/>
      <c r="G89" s="397"/>
      <c r="H89" s="397"/>
      <c r="I89" s="397"/>
      <c r="J89" s="397"/>
      <c r="K89" s="397"/>
      <c r="L89" s="397"/>
      <c r="M89" s="397"/>
      <c r="N89" s="397"/>
      <c r="O89" s="397"/>
      <c r="P89" s="397"/>
      <c r="Q89" s="397"/>
      <c r="R89" s="397"/>
      <c r="S89" s="397"/>
      <c r="T89" s="397"/>
      <c r="U89" s="397"/>
      <c r="V89" s="397"/>
      <c r="W89" s="397"/>
      <c r="X89" s="397"/>
      <c r="Y89" s="397"/>
      <c r="Z89" s="397"/>
      <c r="AA89" s="397"/>
      <c r="AB89" s="397"/>
      <c r="AC89" s="397"/>
      <c r="AD89" s="397"/>
      <c r="AE89" s="397"/>
      <c r="AF89" s="397"/>
      <c r="AG89" s="397"/>
      <c r="AH89" s="397"/>
      <c r="AI89" s="397"/>
      <c r="AJ89" s="397"/>
      <c r="AK89" s="397"/>
      <c r="AL89" s="397"/>
      <c r="AM89" s="397"/>
      <c r="AN89" s="397"/>
      <c r="AO89" s="397"/>
    </row>
    <row r="90" outlineLevel="1">
      <c r="A90" s="195"/>
      <c r="B90" s="291"/>
      <c r="C90" s="291"/>
      <c r="D90" s="291"/>
      <c r="E90" s="291"/>
      <c r="F90" s="291"/>
      <c r="G90" s="291"/>
      <c r="H90" s="291"/>
      <c r="I90" s="291"/>
      <c r="J90" s="291"/>
      <c r="K90" s="291"/>
      <c r="L90" s="291"/>
      <c r="M90" s="291"/>
      <c r="N90" s="291"/>
      <c r="O90" s="291"/>
      <c r="P90" s="291"/>
      <c r="Q90" s="291"/>
      <c r="R90" s="291"/>
      <c r="S90" s="291"/>
      <c r="T90" s="291"/>
      <c r="U90" s="291"/>
      <c r="V90" s="291"/>
      <c r="W90" s="291"/>
      <c r="X90" s="291"/>
      <c r="Y90" s="291"/>
      <c r="Z90" s="291"/>
      <c r="AA90" s="291"/>
      <c r="AB90" s="291"/>
      <c r="AC90" s="291"/>
      <c r="AD90" s="291"/>
      <c r="AE90" s="291"/>
      <c r="AF90" s="291"/>
      <c r="AG90" s="291"/>
      <c r="AH90" s="291"/>
      <c r="AI90" s="291"/>
      <c r="AJ90" s="291"/>
      <c r="AK90" s="291"/>
      <c r="AL90" s="291"/>
      <c r="AM90" s="291"/>
      <c r="AN90" s="291"/>
      <c r="AO90" s="291"/>
    </row>
    <row r="91" outlineLevel="1">
      <c r="A91" s="418" t="s">
        <v>433</v>
      </c>
      <c r="B91" s="291"/>
      <c r="C91" s="291"/>
      <c r="D91" s="291"/>
      <c r="E91" s="291"/>
      <c r="F91" s="291"/>
      <c r="G91" s="291"/>
      <c r="H91" s="291"/>
      <c r="I91" s="291"/>
      <c r="J91" s="291"/>
      <c r="K91" s="291"/>
      <c r="L91" s="291"/>
      <c r="M91" s="291"/>
      <c r="N91" s="291"/>
      <c r="O91" s="291"/>
      <c r="P91" s="291"/>
      <c r="Q91" s="291"/>
      <c r="R91" s="291"/>
      <c r="S91" s="291"/>
      <c r="T91" s="291"/>
      <c r="U91" s="291"/>
      <c r="V91" s="291"/>
      <c r="W91" s="291"/>
      <c r="X91" s="291"/>
      <c r="Y91" s="291"/>
      <c r="Z91" s="291"/>
      <c r="AA91" s="291"/>
      <c r="AB91" s="291"/>
      <c r="AC91" s="291"/>
      <c r="AD91" s="291"/>
      <c r="AE91" s="291"/>
      <c r="AF91" s="291"/>
      <c r="AG91" s="291"/>
      <c r="AH91" s="291"/>
      <c r="AI91" s="291"/>
      <c r="AJ91" s="291"/>
      <c r="AK91" s="291"/>
      <c r="AL91" s="291"/>
      <c r="AM91" s="291"/>
      <c r="AN91" s="291"/>
      <c r="AO91" s="291"/>
    </row>
    <row r="92" outlineLevel="1">
      <c r="A92" s="367" t="s">
        <v>378</v>
      </c>
      <c r="B92" s="466">
        <f t="shared" ref="B92:AO92" si="19">B7*B21</f>
        <v>0.9089455343</v>
      </c>
      <c r="C92" s="466">
        <f t="shared" si="19"/>
        <v>0.5430455539</v>
      </c>
      <c r="D92" s="466">
        <f t="shared" si="19"/>
        <v>0.8940462555</v>
      </c>
      <c r="E92" s="466">
        <f t="shared" si="19"/>
        <v>0.5729672012</v>
      </c>
      <c r="F92" s="466">
        <f t="shared" si="19"/>
        <v>0.5729672012</v>
      </c>
      <c r="G92" s="466">
        <f t="shared" si="19"/>
        <v>0.5729672012</v>
      </c>
      <c r="H92" s="466">
        <f t="shared" si="19"/>
        <v>0.5729672012</v>
      </c>
      <c r="I92" s="466">
        <f t="shared" si="19"/>
        <v>0.5729672012</v>
      </c>
      <c r="J92" s="466">
        <f t="shared" si="19"/>
        <v>0.5729672012</v>
      </c>
      <c r="K92" s="466">
        <f t="shared" si="19"/>
        <v>0.5729672012</v>
      </c>
      <c r="L92" s="466">
        <f t="shared" si="19"/>
        <v>0.5729672012</v>
      </c>
      <c r="M92" s="466">
        <f t="shared" si="19"/>
        <v>0.5729672012</v>
      </c>
      <c r="N92" s="466">
        <f t="shared" si="19"/>
        <v>0.5729672012</v>
      </c>
      <c r="O92" s="466">
        <f t="shared" si="19"/>
        <v>0.5729672012</v>
      </c>
      <c r="P92" s="466">
        <f t="shared" si="19"/>
        <v>0.5729672012</v>
      </c>
      <c r="Q92" s="466">
        <f t="shared" si="19"/>
        <v>0.5729672012</v>
      </c>
      <c r="R92" s="466">
        <f t="shared" si="19"/>
        <v>0.5729672012</v>
      </c>
      <c r="S92" s="466">
        <f t="shared" si="19"/>
        <v>0.5729672012</v>
      </c>
      <c r="T92" s="466">
        <f t="shared" si="19"/>
        <v>0.5729672012</v>
      </c>
      <c r="U92" s="466">
        <f t="shared" si="19"/>
        <v>0.3989261952</v>
      </c>
      <c r="V92" s="466">
        <f t="shared" si="19"/>
        <v>0.3989261952</v>
      </c>
      <c r="W92" s="466">
        <f t="shared" si="19"/>
        <v>0.3989261952</v>
      </c>
      <c r="X92" s="466">
        <f t="shared" si="19"/>
        <v>0.3989261952</v>
      </c>
      <c r="Y92" s="466">
        <f t="shared" si="19"/>
        <v>0.3989261952</v>
      </c>
      <c r="Z92" s="466">
        <f t="shared" si="19"/>
        <v>0.3989261952</v>
      </c>
      <c r="AA92" s="466">
        <f t="shared" si="19"/>
        <v>0.3989261952</v>
      </c>
      <c r="AB92" s="466">
        <f t="shared" si="19"/>
        <v>0.3729804197</v>
      </c>
      <c r="AC92" s="466">
        <f t="shared" si="19"/>
        <v>0.278412126</v>
      </c>
      <c r="AD92" s="466">
        <f t="shared" si="19"/>
        <v>0.278412126</v>
      </c>
      <c r="AE92" s="466">
        <f t="shared" si="19"/>
        <v>0.278412126</v>
      </c>
      <c r="AF92" s="466">
        <f t="shared" si="19"/>
        <v>0.278412126</v>
      </c>
      <c r="AG92" s="466">
        <f t="shared" si="19"/>
        <v>0.4255848406</v>
      </c>
      <c r="AH92" s="466">
        <f t="shared" si="19"/>
        <v>0.6462659628</v>
      </c>
      <c r="AI92" s="466">
        <f t="shared" si="19"/>
        <v>0.4094312121</v>
      </c>
      <c r="AJ92" s="466">
        <f t="shared" si="19"/>
        <v>0.4094312121</v>
      </c>
      <c r="AK92" s="466">
        <f t="shared" si="19"/>
        <v>0.4094312121</v>
      </c>
      <c r="AL92" s="466">
        <f t="shared" si="19"/>
        <v>0.4094312121</v>
      </c>
      <c r="AM92" s="466">
        <f t="shared" si="19"/>
        <v>0.4094312121</v>
      </c>
      <c r="AN92" s="466">
        <f t="shared" si="19"/>
        <v>0.4094312121</v>
      </c>
      <c r="AO92" s="466">
        <f t="shared" si="19"/>
        <v>3.538384421</v>
      </c>
    </row>
    <row r="93" outlineLevel="1">
      <c r="A93" s="367" t="s">
        <v>318</v>
      </c>
      <c r="B93" s="466">
        <v>0.0</v>
      </c>
      <c r="C93" s="466">
        <v>0.0</v>
      </c>
      <c r="D93" s="466">
        <v>0.0</v>
      </c>
      <c r="E93" s="466">
        <v>0.0</v>
      </c>
      <c r="F93" s="466">
        <v>0.0</v>
      </c>
      <c r="G93" s="466">
        <v>0.0</v>
      </c>
      <c r="H93" s="466">
        <v>0.0</v>
      </c>
      <c r="I93" s="466">
        <v>0.0</v>
      </c>
      <c r="J93" s="466">
        <v>0.0</v>
      </c>
      <c r="K93" s="466">
        <v>0.0</v>
      </c>
      <c r="L93" s="466">
        <v>0.0</v>
      </c>
      <c r="M93" s="466">
        <v>0.0</v>
      </c>
      <c r="N93" s="466">
        <v>0.0</v>
      </c>
      <c r="O93" s="466">
        <v>0.0</v>
      </c>
      <c r="P93" s="466">
        <v>0.0</v>
      </c>
      <c r="Q93" s="466">
        <v>0.0</v>
      </c>
      <c r="R93" s="466">
        <v>0.0</v>
      </c>
      <c r="S93" s="466">
        <v>0.0</v>
      </c>
      <c r="T93" s="466">
        <v>0.0</v>
      </c>
      <c r="U93" s="466">
        <v>0.0</v>
      </c>
      <c r="V93" s="466">
        <v>0.0</v>
      </c>
      <c r="W93" s="466">
        <v>0.0</v>
      </c>
      <c r="X93" s="466">
        <v>0.0</v>
      </c>
      <c r="Y93" s="466">
        <v>0.0</v>
      </c>
      <c r="Z93" s="466">
        <v>0.0</v>
      </c>
      <c r="AA93" s="466">
        <v>0.0</v>
      </c>
      <c r="AB93" s="466">
        <v>0.0</v>
      </c>
      <c r="AC93" s="466">
        <v>0.0</v>
      </c>
      <c r="AD93" s="466">
        <v>0.0</v>
      </c>
      <c r="AE93" s="466">
        <v>0.0</v>
      </c>
      <c r="AF93" s="466">
        <v>0.0</v>
      </c>
      <c r="AG93" s="466">
        <v>0.0</v>
      </c>
      <c r="AH93" s="466">
        <v>0.0</v>
      </c>
      <c r="AI93" s="466">
        <v>0.0</v>
      </c>
      <c r="AJ93" s="466">
        <v>0.0</v>
      </c>
      <c r="AK93" s="466">
        <v>0.0</v>
      </c>
      <c r="AL93" s="466">
        <v>0.0</v>
      </c>
      <c r="AM93" s="466">
        <v>0.0</v>
      </c>
      <c r="AN93" s="466">
        <v>0.0</v>
      </c>
      <c r="AO93" s="466">
        <v>0.0</v>
      </c>
    </row>
    <row r="94" outlineLevel="1">
      <c r="A94" s="367" t="s">
        <v>319</v>
      </c>
      <c r="B94" s="466">
        <f t="shared" ref="B94:AO94" si="20">B8*B21</f>
        <v>0.455712</v>
      </c>
      <c r="C94" s="466">
        <f t="shared" si="20"/>
        <v>0.379992</v>
      </c>
      <c r="D94" s="466">
        <f t="shared" si="20"/>
        <v>0.51756</v>
      </c>
      <c r="E94" s="466">
        <f t="shared" si="20"/>
        <v>0.381039</v>
      </c>
      <c r="F94" s="466">
        <f t="shared" si="20"/>
        <v>0.381039</v>
      </c>
      <c r="G94" s="466">
        <f t="shared" si="20"/>
        <v>0.381039</v>
      </c>
      <c r="H94" s="466">
        <f t="shared" si="20"/>
        <v>0.381039</v>
      </c>
      <c r="I94" s="466">
        <f t="shared" si="20"/>
        <v>0.381039</v>
      </c>
      <c r="J94" s="466">
        <f t="shared" si="20"/>
        <v>0.381039</v>
      </c>
      <c r="K94" s="466">
        <f t="shared" si="20"/>
        <v>0.381039</v>
      </c>
      <c r="L94" s="466">
        <f t="shared" si="20"/>
        <v>0.381039</v>
      </c>
      <c r="M94" s="466">
        <f t="shared" si="20"/>
        <v>0.381039</v>
      </c>
      <c r="N94" s="466">
        <f t="shared" si="20"/>
        <v>0.381039</v>
      </c>
      <c r="O94" s="466">
        <f t="shared" si="20"/>
        <v>0.381039</v>
      </c>
      <c r="P94" s="466">
        <f t="shared" si="20"/>
        <v>0.381039</v>
      </c>
      <c r="Q94" s="466">
        <f t="shared" si="20"/>
        <v>0.381039</v>
      </c>
      <c r="R94" s="466">
        <f t="shared" si="20"/>
        <v>0.381039</v>
      </c>
      <c r="S94" s="466">
        <f t="shared" si="20"/>
        <v>0.381039</v>
      </c>
      <c r="T94" s="466">
        <f t="shared" si="20"/>
        <v>0.381039</v>
      </c>
      <c r="U94" s="466">
        <f t="shared" si="20"/>
        <v>0.25632</v>
      </c>
      <c r="V94" s="466">
        <f t="shared" si="20"/>
        <v>0.25632</v>
      </c>
      <c r="W94" s="466">
        <f t="shared" si="20"/>
        <v>0.25632</v>
      </c>
      <c r="X94" s="466">
        <f t="shared" si="20"/>
        <v>0.25632</v>
      </c>
      <c r="Y94" s="466">
        <f t="shared" si="20"/>
        <v>0.25632</v>
      </c>
      <c r="Z94" s="466">
        <f t="shared" si="20"/>
        <v>0.25632</v>
      </c>
      <c r="AA94" s="466">
        <f t="shared" si="20"/>
        <v>0.25632</v>
      </c>
      <c r="AB94" s="466">
        <f t="shared" si="20"/>
        <v>0.281892</v>
      </c>
      <c r="AC94" s="466">
        <f t="shared" si="20"/>
        <v>0.245934</v>
      </c>
      <c r="AD94" s="466">
        <f t="shared" si="20"/>
        <v>0.245934</v>
      </c>
      <c r="AE94" s="466">
        <f t="shared" si="20"/>
        <v>0.245934</v>
      </c>
      <c r="AF94" s="466">
        <f t="shared" si="20"/>
        <v>0.245934</v>
      </c>
      <c r="AG94" s="466">
        <f t="shared" si="20"/>
        <v>0.317565</v>
      </c>
      <c r="AH94" s="466">
        <f t="shared" si="20"/>
        <v>0.423567</v>
      </c>
      <c r="AI94" s="466">
        <f t="shared" si="20"/>
        <v>0.288492</v>
      </c>
      <c r="AJ94" s="466">
        <f t="shared" si="20"/>
        <v>0.288492</v>
      </c>
      <c r="AK94" s="466">
        <f t="shared" si="20"/>
        <v>0.288492</v>
      </c>
      <c r="AL94" s="466">
        <f t="shared" si="20"/>
        <v>0.288492</v>
      </c>
      <c r="AM94" s="466">
        <f t="shared" si="20"/>
        <v>0.288492</v>
      </c>
      <c r="AN94" s="466">
        <f t="shared" si="20"/>
        <v>0.288492</v>
      </c>
      <c r="AO94" s="466">
        <f t="shared" si="20"/>
        <v>1.596195</v>
      </c>
    </row>
    <row r="95" outlineLevel="1">
      <c r="A95" s="367" t="s">
        <v>331</v>
      </c>
      <c r="B95" s="466">
        <f t="shared" ref="B95:AO95" si="21">B9*B21</f>
        <v>0.1543824657</v>
      </c>
      <c r="C95" s="466">
        <f t="shared" si="21"/>
        <v>0.3436024461</v>
      </c>
      <c r="D95" s="466">
        <f t="shared" si="21"/>
        <v>0.3135937445</v>
      </c>
      <c r="E95" s="466">
        <f t="shared" si="21"/>
        <v>0.3161237988</v>
      </c>
      <c r="F95" s="466">
        <f t="shared" si="21"/>
        <v>0.3161237988</v>
      </c>
      <c r="G95" s="466">
        <f t="shared" si="21"/>
        <v>0.3161237988</v>
      </c>
      <c r="H95" s="466">
        <f t="shared" si="21"/>
        <v>0.3161237988</v>
      </c>
      <c r="I95" s="466">
        <f t="shared" si="21"/>
        <v>0.3161237988</v>
      </c>
      <c r="J95" s="466">
        <f t="shared" si="21"/>
        <v>0.3161237988</v>
      </c>
      <c r="K95" s="466">
        <f t="shared" si="21"/>
        <v>0.3161237988</v>
      </c>
      <c r="L95" s="466">
        <f t="shared" si="21"/>
        <v>0.3161237988</v>
      </c>
      <c r="M95" s="466">
        <f t="shared" si="21"/>
        <v>0.3161237988</v>
      </c>
      <c r="N95" s="466">
        <f t="shared" si="21"/>
        <v>0.3161237988</v>
      </c>
      <c r="O95" s="466">
        <f t="shared" si="21"/>
        <v>0.3161237988</v>
      </c>
      <c r="P95" s="466">
        <f t="shared" si="21"/>
        <v>0.3161237988</v>
      </c>
      <c r="Q95" s="466">
        <f t="shared" si="21"/>
        <v>0.3161237988</v>
      </c>
      <c r="R95" s="466">
        <f t="shared" si="21"/>
        <v>0.3161237988</v>
      </c>
      <c r="S95" s="466">
        <f t="shared" si="21"/>
        <v>0.3161237988</v>
      </c>
      <c r="T95" s="466">
        <f t="shared" si="21"/>
        <v>0.3161237988</v>
      </c>
      <c r="U95" s="466">
        <f t="shared" si="21"/>
        <v>0.1991538048</v>
      </c>
      <c r="V95" s="466">
        <f t="shared" si="21"/>
        <v>0.1991538048</v>
      </c>
      <c r="W95" s="466">
        <f t="shared" si="21"/>
        <v>0.1991538048</v>
      </c>
      <c r="X95" s="466">
        <f t="shared" si="21"/>
        <v>0.1991538048</v>
      </c>
      <c r="Y95" s="466">
        <f t="shared" si="21"/>
        <v>0.1991538048</v>
      </c>
      <c r="Z95" s="466">
        <f t="shared" si="21"/>
        <v>0.1991538048</v>
      </c>
      <c r="AA95" s="466">
        <f t="shared" si="21"/>
        <v>0.1991538048</v>
      </c>
      <c r="AB95" s="466">
        <f t="shared" si="21"/>
        <v>0.2847675803</v>
      </c>
      <c r="AC95" s="466">
        <f t="shared" si="21"/>
        <v>0.295433874</v>
      </c>
      <c r="AD95" s="466">
        <f t="shared" si="21"/>
        <v>0.295433874</v>
      </c>
      <c r="AE95" s="466">
        <f t="shared" si="21"/>
        <v>0.295433874</v>
      </c>
      <c r="AF95" s="466">
        <f t="shared" si="21"/>
        <v>0.295433874</v>
      </c>
      <c r="AG95" s="466">
        <f t="shared" si="21"/>
        <v>0.3154001594</v>
      </c>
      <c r="AH95" s="466">
        <f t="shared" si="21"/>
        <v>0.3420570372</v>
      </c>
      <c r="AI95" s="466">
        <f t="shared" si="21"/>
        <v>0.2637167879</v>
      </c>
      <c r="AJ95" s="466">
        <f t="shared" si="21"/>
        <v>0.2637167879</v>
      </c>
      <c r="AK95" s="466">
        <f t="shared" si="21"/>
        <v>0.2637167879</v>
      </c>
      <c r="AL95" s="466">
        <f t="shared" si="21"/>
        <v>0.2637167879</v>
      </c>
      <c r="AM95" s="466">
        <f t="shared" si="21"/>
        <v>0.2637167879</v>
      </c>
      <c r="AN95" s="466">
        <f t="shared" si="21"/>
        <v>0.2637167879</v>
      </c>
      <c r="AO95" s="466">
        <f t="shared" si="21"/>
        <v>0.1860705794</v>
      </c>
    </row>
    <row r="96" outlineLevel="1">
      <c r="A96" s="421" t="s">
        <v>321</v>
      </c>
      <c r="B96" s="467">
        <f t="shared" ref="B96:AO96" si="22">sum(B92:B95)</f>
        <v>1.51904</v>
      </c>
      <c r="C96" s="467">
        <f t="shared" si="22"/>
        <v>1.26664</v>
      </c>
      <c r="D96" s="467">
        <f t="shared" si="22"/>
        <v>1.7252</v>
      </c>
      <c r="E96" s="467">
        <f t="shared" si="22"/>
        <v>1.27013</v>
      </c>
      <c r="F96" s="467">
        <f t="shared" si="22"/>
        <v>1.27013</v>
      </c>
      <c r="G96" s="467">
        <f t="shared" si="22"/>
        <v>1.27013</v>
      </c>
      <c r="H96" s="467">
        <f t="shared" si="22"/>
        <v>1.27013</v>
      </c>
      <c r="I96" s="467">
        <f t="shared" si="22"/>
        <v>1.27013</v>
      </c>
      <c r="J96" s="467">
        <f t="shared" si="22"/>
        <v>1.27013</v>
      </c>
      <c r="K96" s="467">
        <f t="shared" si="22"/>
        <v>1.27013</v>
      </c>
      <c r="L96" s="467">
        <f t="shared" si="22"/>
        <v>1.27013</v>
      </c>
      <c r="M96" s="467">
        <f t="shared" si="22"/>
        <v>1.27013</v>
      </c>
      <c r="N96" s="467">
        <f t="shared" si="22"/>
        <v>1.27013</v>
      </c>
      <c r="O96" s="467">
        <f t="shared" si="22"/>
        <v>1.27013</v>
      </c>
      <c r="P96" s="467">
        <f t="shared" si="22"/>
        <v>1.27013</v>
      </c>
      <c r="Q96" s="467">
        <f t="shared" si="22"/>
        <v>1.27013</v>
      </c>
      <c r="R96" s="467">
        <f t="shared" si="22"/>
        <v>1.27013</v>
      </c>
      <c r="S96" s="467">
        <f t="shared" si="22"/>
        <v>1.27013</v>
      </c>
      <c r="T96" s="467">
        <f t="shared" si="22"/>
        <v>1.27013</v>
      </c>
      <c r="U96" s="467">
        <f t="shared" si="22"/>
        <v>0.8544</v>
      </c>
      <c r="V96" s="467">
        <f t="shared" si="22"/>
        <v>0.8544</v>
      </c>
      <c r="W96" s="467">
        <f t="shared" si="22"/>
        <v>0.8544</v>
      </c>
      <c r="X96" s="467">
        <f t="shared" si="22"/>
        <v>0.8544</v>
      </c>
      <c r="Y96" s="467">
        <f t="shared" si="22"/>
        <v>0.8544</v>
      </c>
      <c r="Z96" s="467">
        <f t="shared" si="22"/>
        <v>0.8544</v>
      </c>
      <c r="AA96" s="467">
        <f t="shared" si="22"/>
        <v>0.8544</v>
      </c>
      <c r="AB96" s="467">
        <f t="shared" si="22"/>
        <v>0.93964</v>
      </c>
      <c r="AC96" s="467">
        <f t="shared" si="22"/>
        <v>0.81978</v>
      </c>
      <c r="AD96" s="467">
        <f t="shared" si="22"/>
        <v>0.81978</v>
      </c>
      <c r="AE96" s="467">
        <f t="shared" si="22"/>
        <v>0.81978</v>
      </c>
      <c r="AF96" s="467">
        <f t="shared" si="22"/>
        <v>0.81978</v>
      </c>
      <c r="AG96" s="467">
        <f t="shared" si="22"/>
        <v>1.05855</v>
      </c>
      <c r="AH96" s="467">
        <f t="shared" si="22"/>
        <v>1.41189</v>
      </c>
      <c r="AI96" s="467">
        <f t="shared" si="22"/>
        <v>0.96164</v>
      </c>
      <c r="AJ96" s="467">
        <f t="shared" si="22"/>
        <v>0.96164</v>
      </c>
      <c r="AK96" s="467">
        <f t="shared" si="22"/>
        <v>0.96164</v>
      </c>
      <c r="AL96" s="467">
        <f t="shared" si="22"/>
        <v>0.96164</v>
      </c>
      <c r="AM96" s="467">
        <f t="shared" si="22"/>
        <v>0.96164</v>
      </c>
      <c r="AN96" s="467">
        <f t="shared" si="22"/>
        <v>0.96164</v>
      </c>
      <c r="AO96" s="467">
        <f t="shared" si="22"/>
        <v>5.32065</v>
      </c>
    </row>
    <row r="97" outlineLevel="1">
      <c r="A97" s="425" t="s">
        <v>322</v>
      </c>
      <c r="B97" s="426">
        <f t="shared" ref="B97:AO97" si="23">(B96-B21)/B96</f>
        <v>0</v>
      </c>
      <c r="C97" s="426">
        <f t="shared" si="23"/>
        <v>0</v>
      </c>
      <c r="D97" s="426">
        <f t="shared" si="23"/>
        <v>0</v>
      </c>
      <c r="E97" s="426">
        <f t="shared" si="23"/>
        <v>0</v>
      </c>
      <c r="F97" s="426">
        <f t="shared" si="23"/>
        <v>0</v>
      </c>
      <c r="G97" s="426">
        <f t="shared" si="23"/>
        <v>0</v>
      </c>
      <c r="H97" s="426">
        <f t="shared" si="23"/>
        <v>0</v>
      </c>
      <c r="I97" s="426">
        <f t="shared" si="23"/>
        <v>0</v>
      </c>
      <c r="J97" s="426">
        <f t="shared" si="23"/>
        <v>0</v>
      </c>
      <c r="K97" s="426">
        <f t="shared" si="23"/>
        <v>0</v>
      </c>
      <c r="L97" s="426">
        <f t="shared" si="23"/>
        <v>0</v>
      </c>
      <c r="M97" s="426">
        <f t="shared" si="23"/>
        <v>0</v>
      </c>
      <c r="N97" s="426">
        <f t="shared" si="23"/>
        <v>0</v>
      </c>
      <c r="O97" s="426">
        <f t="shared" si="23"/>
        <v>0</v>
      </c>
      <c r="P97" s="426">
        <f t="shared" si="23"/>
        <v>0</v>
      </c>
      <c r="Q97" s="426">
        <f t="shared" si="23"/>
        <v>0</v>
      </c>
      <c r="R97" s="426">
        <f t="shared" si="23"/>
        <v>0</v>
      </c>
      <c r="S97" s="426">
        <f t="shared" si="23"/>
        <v>0</v>
      </c>
      <c r="T97" s="426">
        <f t="shared" si="23"/>
        <v>0</v>
      </c>
      <c r="U97" s="426">
        <f t="shared" si="23"/>
        <v>0</v>
      </c>
      <c r="V97" s="426">
        <f t="shared" si="23"/>
        <v>0</v>
      </c>
      <c r="W97" s="426">
        <f t="shared" si="23"/>
        <v>0</v>
      </c>
      <c r="X97" s="426">
        <f t="shared" si="23"/>
        <v>0</v>
      </c>
      <c r="Y97" s="426">
        <f t="shared" si="23"/>
        <v>0</v>
      </c>
      <c r="Z97" s="426">
        <f t="shared" si="23"/>
        <v>0</v>
      </c>
      <c r="AA97" s="426">
        <f t="shared" si="23"/>
        <v>0</v>
      </c>
      <c r="AB97" s="426">
        <f t="shared" si="23"/>
        <v>0</v>
      </c>
      <c r="AC97" s="426">
        <f t="shared" si="23"/>
        <v>0</v>
      </c>
      <c r="AD97" s="426">
        <f t="shared" si="23"/>
        <v>0</v>
      </c>
      <c r="AE97" s="426">
        <f t="shared" si="23"/>
        <v>0</v>
      </c>
      <c r="AF97" s="426">
        <f t="shared" si="23"/>
        <v>0</v>
      </c>
      <c r="AG97" s="426">
        <f t="shared" si="23"/>
        <v>0</v>
      </c>
      <c r="AH97" s="426">
        <f t="shared" si="23"/>
        <v>0</v>
      </c>
      <c r="AI97" s="426">
        <f t="shared" si="23"/>
        <v>0</v>
      </c>
      <c r="AJ97" s="426">
        <f t="shared" si="23"/>
        <v>0</v>
      </c>
      <c r="AK97" s="426">
        <f t="shared" si="23"/>
        <v>0</v>
      </c>
      <c r="AL97" s="426">
        <f t="shared" si="23"/>
        <v>0</v>
      </c>
      <c r="AM97" s="426">
        <f t="shared" si="23"/>
        <v>0</v>
      </c>
      <c r="AN97" s="426">
        <f t="shared" si="23"/>
        <v>0</v>
      </c>
      <c r="AO97" s="426">
        <f t="shared" si="23"/>
        <v>0</v>
      </c>
    </row>
    <row r="98" outlineLevel="1">
      <c r="A98" s="195"/>
      <c r="B98" s="291"/>
      <c r="C98" s="291"/>
      <c r="D98" s="291"/>
      <c r="E98" s="291"/>
      <c r="F98" s="291"/>
      <c r="G98" s="291"/>
      <c r="H98" s="291"/>
      <c r="I98" s="291"/>
      <c r="J98" s="291"/>
      <c r="K98" s="291"/>
      <c r="L98" s="291"/>
      <c r="M98" s="291"/>
      <c r="N98" s="291"/>
      <c r="O98" s="291"/>
      <c r="P98" s="291"/>
      <c r="Q98" s="291"/>
      <c r="R98" s="291"/>
      <c r="S98" s="291"/>
      <c r="T98" s="291"/>
      <c r="U98" s="291"/>
      <c r="V98" s="291"/>
      <c r="W98" s="291"/>
      <c r="X98" s="291"/>
      <c r="Y98" s="291"/>
      <c r="Z98" s="291"/>
      <c r="AA98" s="291"/>
      <c r="AB98" s="291"/>
      <c r="AC98" s="291"/>
      <c r="AD98" s="291"/>
      <c r="AE98" s="291"/>
      <c r="AF98" s="291"/>
      <c r="AG98" s="291"/>
      <c r="AH98" s="291"/>
      <c r="AI98" s="291"/>
      <c r="AJ98" s="291"/>
      <c r="AK98" s="291"/>
      <c r="AL98" s="291"/>
      <c r="AM98" s="291"/>
      <c r="AN98" s="291"/>
      <c r="AO98" s="291"/>
    </row>
    <row r="99" outlineLevel="1">
      <c r="A99" s="186" t="s">
        <v>323</v>
      </c>
      <c r="B99" s="291"/>
      <c r="C99" s="291"/>
      <c r="D99" s="291"/>
      <c r="E99" s="291"/>
      <c r="F99" s="291"/>
      <c r="G99" s="291"/>
      <c r="H99" s="291"/>
      <c r="I99" s="291"/>
      <c r="J99" s="291"/>
      <c r="K99" s="291"/>
      <c r="L99" s="291"/>
      <c r="M99" s="291"/>
      <c r="N99" s="291"/>
      <c r="O99" s="291"/>
      <c r="P99" s="291"/>
      <c r="Q99" s="291"/>
      <c r="R99" s="291"/>
      <c r="S99" s="291"/>
      <c r="T99" s="291"/>
      <c r="U99" s="291"/>
      <c r="V99" s="291"/>
      <c r="W99" s="291"/>
      <c r="X99" s="291"/>
      <c r="Y99" s="291"/>
      <c r="Z99" s="291"/>
      <c r="AA99" s="291"/>
      <c r="AB99" s="291"/>
      <c r="AC99" s="291"/>
      <c r="AD99" s="291"/>
      <c r="AE99" s="291"/>
      <c r="AF99" s="291"/>
      <c r="AG99" s="291"/>
      <c r="AH99" s="291"/>
      <c r="AI99" s="291"/>
      <c r="AJ99" s="291"/>
      <c r="AK99" s="291"/>
      <c r="AL99" s="291"/>
      <c r="AM99" s="291"/>
      <c r="AN99" s="291"/>
      <c r="AO99" s="291"/>
    </row>
    <row r="100" outlineLevel="1">
      <c r="A100" s="183" t="s">
        <v>378</v>
      </c>
      <c r="B100" s="428">
        <f t="shared" ref="B100:AO100" si="24">B13</f>
        <v>100000</v>
      </c>
      <c r="C100" s="428">
        <f t="shared" si="24"/>
        <v>100000</v>
      </c>
      <c r="D100" s="428">
        <f t="shared" si="24"/>
        <v>100000</v>
      </c>
      <c r="E100" s="428">
        <f t="shared" si="24"/>
        <v>100000</v>
      </c>
      <c r="F100" s="428">
        <f t="shared" si="24"/>
        <v>100000</v>
      </c>
      <c r="G100" s="428">
        <f t="shared" si="24"/>
        <v>100000</v>
      </c>
      <c r="H100" s="428">
        <f t="shared" si="24"/>
        <v>100000</v>
      </c>
      <c r="I100" s="428">
        <f t="shared" si="24"/>
        <v>100000</v>
      </c>
      <c r="J100" s="428">
        <f t="shared" si="24"/>
        <v>100000</v>
      </c>
      <c r="K100" s="428">
        <f t="shared" si="24"/>
        <v>100000</v>
      </c>
      <c r="L100" s="428">
        <f t="shared" si="24"/>
        <v>100000</v>
      </c>
      <c r="M100" s="428">
        <f t="shared" si="24"/>
        <v>100000</v>
      </c>
      <c r="N100" s="428">
        <f t="shared" si="24"/>
        <v>100000</v>
      </c>
      <c r="O100" s="428">
        <f t="shared" si="24"/>
        <v>100000</v>
      </c>
      <c r="P100" s="428">
        <f t="shared" si="24"/>
        <v>100000</v>
      </c>
      <c r="Q100" s="428">
        <f t="shared" si="24"/>
        <v>100000</v>
      </c>
      <c r="R100" s="428">
        <f t="shared" si="24"/>
        <v>100000</v>
      </c>
      <c r="S100" s="428">
        <f t="shared" si="24"/>
        <v>100000</v>
      </c>
      <c r="T100" s="428">
        <f t="shared" si="24"/>
        <v>100000</v>
      </c>
      <c r="U100" s="428">
        <f t="shared" si="24"/>
        <v>100000</v>
      </c>
      <c r="V100" s="428">
        <f t="shared" si="24"/>
        <v>100000</v>
      </c>
      <c r="W100" s="428">
        <f t="shared" si="24"/>
        <v>100000</v>
      </c>
      <c r="X100" s="428">
        <f t="shared" si="24"/>
        <v>100000</v>
      </c>
      <c r="Y100" s="428">
        <f t="shared" si="24"/>
        <v>100000</v>
      </c>
      <c r="Z100" s="428">
        <f t="shared" si="24"/>
        <v>100000</v>
      </c>
      <c r="AA100" s="428">
        <f t="shared" si="24"/>
        <v>100000</v>
      </c>
      <c r="AB100" s="428">
        <f t="shared" si="24"/>
        <v>100000</v>
      </c>
      <c r="AC100" s="428">
        <f t="shared" si="24"/>
        <v>100000</v>
      </c>
      <c r="AD100" s="428">
        <f t="shared" si="24"/>
        <v>100000</v>
      </c>
      <c r="AE100" s="428">
        <f t="shared" si="24"/>
        <v>100000</v>
      </c>
      <c r="AF100" s="428">
        <f t="shared" si="24"/>
        <v>100000</v>
      </c>
      <c r="AG100" s="428">
        <f t="shared" si="24"/>
        <v>100000</v>
      </c>
      <c r="AH100" s="428">
        <f t="shared" si="24"/>
        <v>100000</v>
      </c>
      <c r="AI100" s="428">
        <f t="shared" si="24"/>
        <v>100000</v>
      </c>
      <c r="AJ100" s="428">
        <f t="shared" si="24"/>
        <v>100000</v>
      </c>
      <c r="AK100" s="428">
        <f t="shared" si="24"/>
        <v>100000</v>
      </c>
      <c r="AL100" s="428">
        <f t="shared" si="24"/>
        <v>100000</v>
      </c>
      <c r="AM100" s="428">
        <f t="shared" si="24"/>
        <v>100000</v>
      </c>
      <c r="AN100" s="428">
        <f t="shared" si="24"/>
        <v>100000</v>
      </c>
      <c r="AO100" s="428">
        <f t="shared" si="24"/>
        <v>100000</v>
      </c>
    </row>
    <row r="101" outlineLevel="1">
      <c r="A101" s="367" t="s">
        <v>318</v>
      </c>
      <c r="B101" s="429">
        <f t="shared" ref="B101:AO101" si="25">(B93/B92)*B100</f>
        <v>0</v>
      </c>
      <c r="C101" s="429">
        <f t="shared" si="25"/>
        <v>0</v>
      </c>
      <c r="D101" s="429">
        <f t="shared" si="25"/>
        <v>0</v>
      </c>
      <c r="E101" s="429">
        <f t="shared" si="25"/>
        <v>0</v>
      </c>
      <c r="F101" s="429">
        <f t="shared" si="25"/>
        <v>0</v>
      </c>
      <c r="G101" s="429">
        <f t="shared" si="25"/>
        <v>0</v>
      </c>
      <c r="H101" s="429">
        <f t="shared" si="25"/>
        <v>0</v>
      </c>
      <c r="I101" s="429">
        <f t="shared" si="25"/>
        <v>0</v>
      </c>
      <c r="J101" s="429">
        <f t="shared" si="25"/>
        <v>0</v>
      </c>
      <c r="K101" s="429">
        <f t="shared" si="25"/>
        <v>0</v>
      </c>
      <c r="L101" s="429">
        <f t="shared" si="25"/>
        <v>0</v>
      </c>
      <c r="M101" s="429">
        <f t="shared" si="25"/>
        <v>0</v>
      </c>
      <c r="N101" s="429">
        <f t="shared" si="25"/>
        <v>0</v>
      </c>
      <c r="O101" s="429">
        <f t="shared" si="25"/>
        <v>0</v>
      </c>
      <c r="P101" s="429">
        <f t="shared" si="25"/>
        <v>0</v>
      </c>
      <c r="Q101" s="429">
        <f t="shared" si="25"/>
        <v>0</v>
      </c>
      <c r="R101" s="429">
        <f t="shared" si="25"/>
        <v>0</v>
      </c>
      <c r="S101" s="429">
        <f t="shared" si="25"/>
        <v>0</v>
      </c>
      <c r="T101" s="429">
        <f t="shared" si="25"/>
        <v>0</v>
      </c>
      <c r="U101" s="429">
        <f t="shared" si="25"/>
        <v>0</v>
      </c>
      <c r="V101" s="429">
        <f t="shared" si="25"/>
        <v>0</v>
      </c>
      <c r="W101" s="429">
        <f t="shared" si="25"/>
        <v>0</v>
      </c>
      <c r="X101" s="429">
        <f t="shared" si="25"/>
        <v>0</v>
      </c>
      <c r="Y101" s="429">
        <f t="shared" si="25"/>
        <v>0</v>
      </c>
      <c r="Z101" s="429">
        <f t="shared" si="25"/>
        <v>0</v>
      </c>
      <c r="AA101" s="429">
        <f t="shared" si="25"/>
        <v>0</v>
      </c>
      <c r="AB101" s="429">
        <f t="shared" si="25"/>
        <v>0</v>
      </c>
      <c r="AC101" s="429">
        <f t="shared" si="25"/>
        <v>0</v>
      </c>
      <c r="AD101" s="429">
        <f t="shared" si="25"/>
        <v>0</v>
      </c>
      <c r="AE101" s="429">
        <f t="shared" si="25"/>
        <v>0</v>
      </c>
      <c r="AF101" s="429">
        <f t="shared" si="25"/>
        <v>0</v>
      </c>
      <c r="AG101" s="429">
        <f t="shared" si="25"/>
        <v>0</v>
      </c>
      <c r="AH101" s="429">
        <f t="shared" si="25"/>
        <v>0</v>
      </c>
      <c r="AI101" s="429">
        <f t="shared" si="25"/>
        <v>0</v>
      </c>
      <c r="AJ101" s="429">
        <f t="shared" si="25"/>
        <v>0</v>
      </c>
      <c r="AK101" s="429">
        <f t="shared" si="25"/>
        <v>0</v>
      </c>
      <c r="AL101" s="429">
        <f t="shared" si="25"/>
        <v>0</v>
      </c>
      <c r="AM101" s="429">
        <f t="shared" si="25"/>
        <v>0</v>
      </c>
      <c r="AN101" s="429">
        <f t="shared" si="25"/>
        <v>0</v>
      </c>
      <c r="AO101" s="429">
        <f t="shared" si="25"/>
        <v>0</v>
      </c>
    </row>
    <row r="102" outlineLevel="1">
      <c r="A102" s="367" t="s">
        <v>319</v>
      </c>
      <c r="B102" s="429">
        <f t="shared" ref="B102:AO102" si="26">(B94/B92)*B100</f>
        <v>50136.33741</v>
      </c>
      <c r="C102" s="429">
        <f t="shared" si="26"/>
        <v>69974.24015</v>
      </c>
      <c r="D102" s="429">
        <f t="shared" si="26"/>
        <v>57889.62224</v>
      </c>
      <c r="E102" s="429">
        <f t="shared" si="26"/>
        <v>66502.75953</v>
      </c>
      <c r="F102" s="429">
        <f t="shared" si="26"/>
        <v>66502.75953</v>
      </c>
      <c r="G102" s="429">
        <f t="shared" si="26"/>
        <v>66502.75953</v>
      </c>
      <c r="H102" s="429">
        <f t="shared" si="26"/>
        <v>66502.75953</v>
      </c>
      <c r="I102" s="429">
        <f t="shared" si="26"/>
        <v>66502.75953</v>
      </c>
      <c r="J102" s="429">
        <f t="shared" si="26"/>
        <v>66502.75953</v>
      </c>
      <c r="K102" s="429">
        <f t="shared" si="26"/>
        <v>66502.75953</v>
      </c>
      <c r="L102" s="429">
        <f t="shared" si="26"/>
        <v>66502.75953</v>
      </c>
      <c r="M102" s="429">
        <f t="shared" si="26"/>
        <v>66502.75953</v>
      </c>
      <c r="N102" s="429">
        <f t="shared" si="26"/>
        <v>66502.75953</v>
      </c>
      <c r="O102" s="429">
        <f t="shared" si="26"/>
        <v>66502.75953</v>
      </c>
      <c r="P102" s="429">
        <f t="shared" si="26"/>
        <v>66502.75953</v>
      </c>
      <c r="Q102" s="429">
        <f t="shared" si="26"/>
        <v>66502.75953</v>
      </c>
      <c r="R102" s="429">
        <f t="shared" si="26"/>
        <v>66502.75953</v>
      </c>
      <c r="S102" s="429">
        <f t="shared" si="26"/>
        <v>66502.75953</v>
      </c>
      <c r="T102" s="429">
        <f t="shared" si="26"/>
        <v>66502.75953</v>
      </c>
      <c r="U102" s="429">
        <f t="shared" si="26"/>
        <v>64252.48657</v>
      </c>
      <c r="V102" s="429">
        <f t="shared" si="26"/>
        <v>64252.48657</v>
      </c>
      <c r="W102" s="429">
        <f t="shared" si="26"/>
        <v>64252.48657</v>
      </c>
      <c r="X102" s="429">
        <f t="shared" si="26"/>
        <v>64252.48657</v>
      </c>
      <c r="Y102" s="429">
        <f t="shared" si="26"/>
        <v>64252.48657</v>
      </c>
      <c r="Z102" s="429">
        <f t="shared" si="26"/>
        <v>64252.48657</v>
      </c>
      <c r="AA102" s="429">
        <f t="shared" si="26"/>
        <v>64252.48657</v>
      </c>
      <c r="AB102" s="429">
        <f t="shared" si="26"/>
        <v>75578.23014</v>
      </c>
      <c r="AC102" s="429">
        <f t="shared" si="26"/>
        <v>88334.51456</v>
      </c>
      <c r="AD102" s="429">
        <f t="shared" si="26"/>
        <v>88334.51456</v>
      </c>
      <c r="AE102" s="429">
        <f t="shared" si="26"/>
        <v>88334.51456</v>
      </c>
      <c r="AF102" s="429">
        <f t="shared" si="26"/>
        <v>88334.51456</v>
      </c>
      <c r="AG102" s="429">
        <f t="shared" si="26"/>
        <v>74618.49429</v>
      </c>
      <c r="AH102" s="429">
        <f t="shared" si="26"/>
        <v>65540.6635</v>
      </c>
      <c r="AI102" s="429">
        <f t="shared" si="26"/>
        <v>70461.65301</v>
      </c>
      <c r="AJ102" s="429">
        <f t="shared" si="26"/>
        <v>70461.65301</v>
      </c>
      <c r="AK102" s="429">
        <f t="shared" si="26"/>
        <v>70461.65301</v>
      </c>
      <c r="AL102" s="429">
        <f t="shared" si="26"/>
        <v>70461.65301</v>
      </c>
      <c r="AM102" s="429">
        <f t="shared" si="26"/>
        <v>70461.65301</v>
      </c>
      <c r="AN102" s="429">
        <f t="shared" si="26"/>
        <v>70461.65301</v>
      </c>
      <c r="AO102" s="429">
        <f t="shared" si="26"/>
        <v>45110.84185</v>
      </c>
    </row>
    <row r="103" outlineLevel="1">
      <c r="A103" s="430" t="s">
        <v>331</v>
      </c>
      <c r="B103" s="468">
        <f t="shared" ref="B103:AO103" si="27">(B95/B92)*B100</f>
        <v>16984.7873</v>
      </c>
      <c r="C103" s="468">
        <f t="shared" si="27"/>
        <v>63273.22702</v>
      </c>
      <c r="D103" s="468">
        <f t="shared" si="27"/>
        <v>35075.78523</v>
      </c>
      <c r="E103" s="468">
        <f t="shared" si="27"/>
        <v>55173.10557</v>
      </c>
      <c r="F103" s="468">
        <f t="shared" si="27"/>
        <v>55173.10557</v>
      </c>
      <c r="G103" s="468">
        <f t="shared" si="27"/>
        <v>55173.10557</v>
      </c>
      <c r="H103" s="468">
        <f t="shared" si="27"/>
        <v>55173.10557</v>
      </c>
      <c r="I103" s="468">
        <f t="shared" si="27"/>
        <v>55173.10557</v>
      </c>
      <c r="J103" s="468">
        <f t="shared" si="27"/>
        <v>55173.10557</v>
      </c>
      <c r="K103" s="468">
        <f t="shared" si="27"/>
        <v>55173.10557</v>
      </c>
      <c r="L103" s="468">
        <f t="shared" si="27"/>
        <v>55173.10557</v>
      </c>
      <c r="M103" s="468">
        <f t="shared" si="27"/>
        <v>55173.10557</v>
      </c>
      <c r="N103" s="468">
        <f t="shared" si="27"/>
        <v>55173.10557</v>
      </c>
      <c r="O103" s="468">
        <f t="shared" si="27"/>
        <v>55173.10557</v>
      </c>
      <c r="P103" s="468">
        <f t="shared" si="27"/>
        <v>55173.10557</v>
      </c>
      <c r="Q103" s="468">
        <f t="shared" si="27"/>
        <v>55173.10557</v>
      </c>
      <c r="R103" s="468">
        <f t="shared" si="27"/>
        <v>55173.10557</v>
      </c>
      <c r="S103" s="468">
        <f t="shared" si="27"/>
        <v>55173.10557</v>
      </c>
      <c r="T103" s="468">
        <f t="shared" si="27"/>
        <v>55173.10557</v>
      </c>
      <c r="U103" s="468">
        <f t="shared" si="27"/>
        <v>49922.46867</v>
      </c>
      <c r="V103" s="468">
        <f t="shared" si="27"/>
        <v>49922.46867</v>
      </c>
      <c r="W103" s="468">
        <f t="shared" si="27"/>
        <v>49922.46867</v>
      </c>
      <c r="X103" s="468">
        <f t="shared" si="27"/>
        <v>49922.46867</v>
      </c>
      <c r="Y103" s="468">
        <f t="shared" si="27"/>
        <v>49922.46867</v>
      </c>
      <c r="Z103" s="468">
        <f t="shared" si="27"/>
        <v>49922.46867</v>
      </c>
      <c r="AA103" s="468">
        <f t="shared" si="27"/>
        <v>49922.46867</v>
      </c>
      <c r="AB103" s="468">
        <f t="shared" si="27"/>
        <v>76349.20367</v>
      </c>
      <c r="AC103" s="468">
        <f t="shared" si="27"/>
        <v>106113.8673</v>
      </c>
      <c r="AD103" s="468">
        <f t="shared" si="27"/>
        <v>106113.8673</v>
      </c>
      <c r="AE103" s="468">
        <f t="shared" si="27"/>
        <v>106113.8673</v>
      </c>
      <c r="AF103" s="468">
        <f t="shared" si="27"/>
        <v>106113.8673</v>
      </c>
      <c r="AG103" s="468">
        <f t="shared" si="27"/>
        <v>74109.82002</v>
      </c>
      <c r="AH103" s="468">
        <f t="shared" si="27"/>
        <v>52928.21484</v>
      </c>
      <c r="AI103" s="468">
        <f t="shared" si="27"/>
        <v>64410.52368</v>
      </c>
      <c r="AJ103" s="468">
        <f t="shared" si="27"/>
        <v>64410.52368</v>
      </c>
      <c r="AK103" s="468">
        <f t="shared" si="27"/>
        <v>64410.52368</v>
      </c>
      <c r="AL103" s="468">
        <f t="shared" si="27"/>
        <v>64410.52368</v>
      </c>
      <c r="AM103" s="468">
        <f t="shared" si="27"/>
        <v>64410.52368</v>
      </c>
      <c r="AN103" s="468">
        <f t="shared" si="27"/>
        <v>64410.52368</v>
      </c>
      <c r="AO103" s="468">
        <f t="shared" si="27"/>
        <v>5258.630982</v>
      </c>
    </row>
    <row r="104" outlineLevel="1">
      <c r="A104" s="432" t="s">
        <v>324</v>
      </c>
      <c r="B104" s="433">
        <f t="shared" ref="B104:AO104" si="28">sum(B100:B103)</f>
        <v>167121.1247</v>
      </c>
      <c r="C104" s="433">
        <f t="shared" si="28"/>
        <v>233247.4672</v>
      </c>
      <c r="D104" s="433">
        <f t="shared" si="28"/>
        <v>192965.4075</v>
      </c>
      <c r="E104" s="433">
        <f t="shared" si="28"/>
        <v>221675.8651</v>
      </c>
      <c r="F104" s="433">
        <f t="shared" si="28"/>
        <v>221675.8651</v>
      </c>
      <c r="G104" s="433">
        <f t="shared" si="28"/>
        <v>221675.8651</v>
      </c>
      <c r="H104" s="433">
        <f t="shared" si="28"/>
        <v>221675.8651</v>
      </c>
      <c r="I104" s="433">
        <f t="shared" si="28"/>
        <v>221675.8651</v>
      </c>
      <c r="J104" s="433">
        <f t="shared" si="28"/>
        <v>221675.8651</v>
      </c>
      <c r="K104" s="433">
        <f t="shared" si="28"/>
        <v>221675.8651</v>
      </c>
      <c r="L104" s="433">
        <f t="shared" si="28"/>
        <v>221675.8651</v>
      </c>
      <c r="M104" s="433">
        <f t="shared" si="28"/>
        <v>221675.8651</v>
      </c>
      <c r="N104" s="433">
        <f t="shared" si="28"/>
        <v>221675.8651</v>
      </c>
      <c r="O104" s="433">
        <f t="shared" si="28"/>
        <v>221675.8651</v>
      </c>
      <c r="P104" s="433">
        <f t="shared" si="28"/>
        <v>221675.8651</v>
      </c>
      <c r="Q104" s="433">
        <f t="shared" si="28"/>
        <v>221675.8651</v>
      </c>
      <c r="R104" s="433">
        <f t="shared" si="28"/>
        <v>221675.8651</v>
      </c>
      <c r="S104" s="433">
        <f t="shared" si="28"/>
        <v>221675.8651</v>
      </c>
      <c r="T104" s="433">
        <f t="shared" si="28"/>
        <v>221675.8651</v>
      </c>
      <c r="U104" s="433">
        <f t="shared" si="28"/>
        <v>214174.9552</v>
      </c>
      <c r="V104" s="433">
        <f t="shared" si="28"/>
        <v>214174.9552</v>
      </c>
      <c r="W104" s="433">
        <f t="shared" si="28"/>
        <v>214174.9552</v>
      </c>
      <c r="X104" s="433">
        <f t="shared" si="28"/>
        <v>214174.9552</v>
      </c>
      <c r="Y104" s="433">
        <f t="shared" si="28"/>
        <v>214174.9552</v>
      </c>
      <c r="Z104" s="433">
        <f t="shared" si="28"/>
        <v>214174.9552</v>
      </c>
      <c r="AA104" s="433">
        <f t="shared" si="28"/>
        <v>214174.9552</v>
      </c>
      <c r="AB104" s="433">
        <f t="shared" si="28"/>
        <v>251927.4338</v>
      </c>
      <c r="AC104" s="433">
        <f t="shared" si="28"/>
        <v>294448.3819</v>
      </c>
      <c r="AD104" s="433">
        <f t="shared" si="28"/>
        <v>294448.3819</v>
      </c>
      <c r="AE104" s="433">
        <f t="shared" si="28"/>
        <v>294448.3819</v>
      </c>
      <c r="AF104" s="433">
        <f t="shared" si="28"/>
        <v>294448.3819</v>
      </c>
      <c r="AG104" s="433">
        <f t="shared" si="28"/>
        <v>248728.3143</v>
      </c>
      <c r="AH104" s="433">
        <f t="shared" si="28"/>
        <v>218468.8783</v>
      </c>
      <c r="AI104" s="433">
        <f t="shared" si="28"/>
        <v>234872.1767</v>
      </c>
      <c r="AJ104" s="433">
        <f t="shared" si="28"/>
        <v>234872.1767</v>
      </c>
      <c r="AK104" s="433">
        <f t="shared" si="28"/>
        <v>234872.1767</v>
      </c>
      <c r="AL104" s="433">
        <f t="shared" si="28"/>
        <v>234872.1767</v>
      </c>
      <c r="AM104" s="433">
        <f t="shared" si="28"/>
        <v>234872.1767</v>
      </c>
      <c r="AN104" s="433">
        <f t="shared" si="28"/>
        <v>234872.1767</v>
      </c>
      <c r="AO104" s="433">
        <f t="shared" si="28"/>
        <v>150369.4728</v>
      </c>
    </row>
    <row r="105" outlineLevel="1">
      <c r="A105" s="195"/>
      <c r="B105" s="291"/>
      <c r="C105" s="291"/>
      <c r="D105" s="291"/>
      <c r="E105" s="291"/>
      <c r="F105" s="291"/>
      <c r="G105" s="291"/>
      <c r="H105" s="291"/>
      <c r="I105" s="291"/>
      <c r="J105" s="291"/>
      <c r="K105" s="291"/>
      <c r="L105" s="291"/>
      <c r="M105" s="291"/>
      <c r="N105" s="291"/>
      <c r="O105" s="291"/>
      <c r="P105" s="291"/>
      <c r="Q105" s="291"/>
      <c r="R105" s="291"/>
      <c r="S105" s="291"/>
      <c r="T105" s="291"/>
      <c r="U105" s="291"/>
      <c r="V105" s="291"/>
      <c r="W105" s="291"/>
      <c r="X105" s="291"/>
      <c r="Y105" s="291"/>
      <c r="Z105" s="291"/>
      <c r="AA105" s="291"/>
      <c r="AB105" s="291"/>
      <c r="AC105" s="291"/>
      <c r="AD105" s="291"/>
      <c r="AE105" s="291"/>
      <c r="AF105" s="291"/>
      <c r="AG105" s="291"/>
      <c r="AH105" s="291"/>
      <c r="AI105" s="291"/>
      <c r="AJ105" s="291"/>
      <c r="AK105" s="291"/>
      <c r="AL105" s="291"/>
      <c r="AM105" s="291"/>
      <c r="AN105" s="291"/>
      <c r="AO105" s="291"/>
    </row>
    <row r="106" outlineLevel="1">
      <c r="A106" s="186" t="s">
        <v>325</v>
      </c>
      <c r="B106" s="291"/>
      <c r="C106" s="291"/>
      <c r="D106" s="291"/>
      <c r="E106" s="291"/>
      <c r="F106" s="291"/>
      <c r="G106" s="291"/>
      <c r="H106" s="291"/>
      <c r="I106" s="291"/>
      <c r="J106" s="291"/>
      <c r="K106" s="291"/>
      <c r="L106" s="291"/>
      <c r="M106" s="291"/>
      <c r="N106" s="291"/>
      <c r="O106" s="291"/>
      <c r="P106" s="291"/>
      <c r="Q106" s="291"/>
      <c r="R106" s="291"/>
      <c r="S106" s="291"/>
      <c r="T106" s="291"/>
      <c r="U106" s="291"/>
      <c r="V106" s="291"/>
      <c r="W106" s="291"/>
      <c r="X106" s="291"/>
      <c r="Y106" s="291"/>
      <c r="Z106" s="291"/>
      <c r="AA106" s="291"/>
      <c r="AB106" s="291"/>
      <c r="AC106" s="291"/>
      <c r="AD106" s="291"/>
      <c r="AE106" s="291"/>
      <c r="AF106" s="291"/>
      <c r="AG106" s="291"/>
      <c r="AH106" s="291"/>
      <c r="AI106" s="291"/>
      <c r="AJ106" s="291"/>
      <c r="AK106" s="291"/>
      <c r="AL106" s="291"/>
      <c r="AM106" s="291"/>
      <c r="AN106" s="291"/>
      <c r="AO106" s="291"/>
    </row>
    <row r="107" outlineLevel="1">
      <c r="A107" s="183" t="s">
        <v>326</v>
      </c>
      <c r="B107" s="429">
        <f t="shared" ref="B107:AO107" si="29">B100+B101</f>
        <v>100000</v>
      </c>
      <c r="C107" s="429">
        <f t="shared" si="29"/>
        <v>100000</v>
      </c>
      <c r="D107" s="429">
        <f t="shared" si="29"/>
        <v>100000</v>
      </c>
      <c r="E107" s="429">
        <f t="shared" si="29"/>
        <v>100000</v>
      </c>
      <c r="F107" s="429">
        <f t="shared" si="29"/>
        <v>100000</v>
      </c>
      <c r="G107" s="429">
        <f t="shared" si="29"/>
        <v>100000</v>
      </c>
      <c r="H107" s="429">
        <f t="shared" si="29"/>
        <v>100000</v>
      </c>
      <c r="I107" s="429">
        <f t="shared" si="29"/>
        <v>100000</v>
      </c>
      <c r="J107" s="429">
        <f t="shared" si="29"/>
        <v>100000</v>
      </c>
      <c r="K107" s="429">
        <f t="shared" si="29"/>
        <v>100000</v>
      </c>
      <c r="L107" s="429">
        <f t="shared" si="29"/>
        <v>100000</v>
      </c>
      <c r="M107" s="429">
        <f t="shared" si="29"/>
        <v>100000</v>
      </c>
      <c r="N107" s="429">
        <f t="shared" si="29"/>
        <v>100000</v>
      </c>
      <c r="O107" s="429">
        <f t="shared" si="29"/>
        <v>100000</v>
      </c>
      <c r="P107" s="429">
        <f t="shared" si="29"/>
        <v>100000</v>
      </c>
      <c r="Q107" s="429">
        <f t="shared" si="29"/>
        <v>100000</v>
      </c>
      <c r="R107" s="429">
        <f t="shared" si="29"/>
        <v>100000</v>
      </c>
      <c r="S107" s="429">
        <f t="shared" si="29"/>
        <v>100000</v>
      </c>
      <c r="T107" s="429">
        <f t="shared" si="29"/>
        <v>100000</v>
      </c>
      <c r="U107" s="429">
        <f t="shared" si="29"/>
        <v>100000</v>
      </c>
      <c r="V107" s="429">
        <f t="shared" si="29"/>
        <v>100000</v>
      </c>
      <c r="W107" s="429">
        <f t="shared" si="29"/>
        <v>100000</v>
      </c>
      <c r="X107" s="429">
        <f t="shared" si="29"/>
        <v>100000</v>
      </c>
      <c r="Y107" s="429">
        <f t="shared" si="29"/>
        <v>100000</v>
      </c>
      <c r="Z107" s="429">
        <f t="shared" si="29"/>
        <v>100000</v>
      </c>
      <c r="AA107" s="429">
        <f t="shared" si="29"/>
        <v>100000</v>
      </c>
      <c r="AB107" s="429">
        <f t="shared" si="29"/>
        <v>100000</v>
      </c>
      <c r="AC107" s="429">
        <f t="shared" si="29"/>
        <v>100000</v>
      </c>
      <c r="AD107" s="429">
        <f t="shared" si="29"/>
        <v>100000</v>
      </c>
      <c r="AE107" s="429">
        <f t="shared" si="29"/>
        <v>100000</v>
      </c>
      <c r="AF107" s="429">
        <f t="shared" si="29"/>
        <v>100000</v>
      </c>
      <c r="AG107" s="429">
        <f t="shared" si="29"/>
        <v>100000</v>
      </c>
      <c r="AH107" s="429">
        <f t="shared" si="29"/>
        <v>100000</v>
      </c>
      <c r="AI107" s="429">
        <f t="shared" si="29"/>
        <v>100000</v>
      </c>
      <c r="AJ107" s="429">
        <f t="shared" si="29"/>
        <v>100000</v>
      </c>
      <c r="AK107" s="429">
        <f t="shared" si="29"/>
        <v>100000</v>
      </c>
      <c r="AL107" s="429">
        <f t="shared" si="29"/>
        <v>100000</v>
      </c>
      <c r="AM107" s="429">
        <f t="shared" si="29"/>
        <v>100000</v>
      </c>
      <c r="AN107" s="429">
        <f t="shared" si="29"/>
        <v>100000</v>
      </c>
      <c r="AO107" s="429">
        <f t="shared" si="29"/>
        <v>100000</v>
      </c>
    </row>
    <row r="108" outlineLevel="1">
      <c r="A108" s="183" t="s">
        <v>327</v>
      </c>
      <c r="B108" s="429">
        <f t="shared" ref="B108:AO108" si="30">B102+B103</f>
        <v>67121.12471</v>
      </c>
      <c r="C108" s="429">
        <f t="shared" si="30"/>
        <v>133247.4672</v>
      </c>
      <c r="D108" s="429">
        <f t="shared" si="30"/>
        <v>92965.40748</v>
      </c>
      <c r="E108" s="429">
        <f t="shared" si="30"/>
        <v>121675.8651</v>
      </c>
      <c r="F108" s="429">
        <f t="shared" si="30"/>
        <v>121675.8651</v>
      </c>
      <c r="G108" s="429">
        <f t="shared" si="30"/>
        <v>121675.8651</v>
      </c>
      <c r="H108" s="429">
        <f t="shared" si="30"/>
        <v>121675.8651</v>
      </c>
      <c r="I108" s="429">
        <f t="shared" si="30"/>
        <v>121675.8651</v>
      </c>
      <c r="J108" s="429">
        <f t="shared" si="30"/>
        <v>121675.8651</v>
      </c>
      <c r="K108" s="429">
        <f t="shared" si="30"/>
        <v>121675.8651</v>
      </c>
      <c r="L108" s="429">
        <f t="shared" si="30"/>
        <v>121675.8651</v>
      </c>
      <c r="M108" s="429">
        <f t="shared" si="30"/>
        <v>121675.8651</v>
      </c>
      <c r="N108" s="429">
        <f t="shared" si="30"/>
        <v>121675.8651</v>
      </c>
      <c r="O108" s="429">
        <f t="shared" si="30"/>
        <v>121675.8651</v>
      </c>
      <c r="P108" s="429">
        <f t="shared" si="30"/>
        <v>121675.8651</v>
      </c>
      <c r="Q108" s="429">
        <f t="shared" si="30"/>
        <v>121675.8651</v>
      </c>
      <c r="R108" s="429">
        <f t="shared" si="30"/>
        <v>121675.8651</v>
      </c>
      <c r="S108" s="429">
        <f t="shared" si="30"/>
        <v>121675.8651</v>
      </c>
      <c r="T108" s="429">
        <f t="shared" si="30"/>
        <v>121675.8651</v>
      </c>
      <c r="U108" s="429">
        <f t="shared" si="30"/>
        <v>114174.9552</v>
      </c>
      <c r="V108" s="429">
        <f t="shared" si="30"/>
        <v>114174.9552</v>
      </c>
      <c r="W108" s="429">
        <f t="shared" si="30"/>
        <v>114174.9552</v>
      </c>
      <c r="X108" s="429">
        <f t="shared" si="30"/>
        <v>114174.9552</v>
      </c>
      <c r="Y108" s="429">
        <f t="shared" si="30"/>
        <v>114174.9552</v>
      </c>
      <c r="Z108" s="429">
        <f t="shared" si="30"/>
        <v>114174.9552</v>
      </c>
      <c r="AA108" s="429">
        <f t="shared" si="30"/>
        <v>114174.9552</v>
      </c>
      <c r="AB108" s="429">
        <f t="shared" si="30"/>
        <v>151927.4338</v>
      </c>
      <c r="AC108" s="429">
        <f t="shared" si="30"/>
        <v>194448.3819</v>
      </c>
      <c r="AD108" s="429">
        <f t="shared" si="30"/>
        <v>194448.3819</v>
      </c>
      <c r="AE108" s="429">
        <f t="shared" si="30"/>
        <v>194448.3819</v>
      </c>
      <c r="AF108" s="429">
        <f t="shared" si="30"/>
        <v>194448.3819</v>
      </c>
      <c r="AG108" s="429">
        <f t="shared" si="30"/>
        <v>148728.3143</v>
      </c>
      <c r="AH108" s="429">
        <f t="shared" si="30"/>
        <v>118468.8783</v>
      </c>
      <c r="AI108" s="429">
        <f t="shared" si="30"/>
        <v>134872.1767</v>
      </c>
      <c r="AJ108" s="429">
        <f t="shared" si="30"/>
        <v>134872.1767</v>
      </c>
      <c r="AK108" s="429">
        <f t="shared" si="30"/>
        <v>134872.1767</v>
      </c>
      <c r="AL108" s="429">
        <f t="shared" si="30"/>
        <v>134872.1767</v>
      </c>
      <c r="AM108" s="429">
        <f t="shared" si="30"/>
        <v>134872.1767</v>
      </c>
      <c r="AN108" s="429">
        <f t="shared" si="30"/>
        <v>134872.1767</v>
      </c>
      <c r="AO108" s="429">
        <f t="shared" si="30"/>
        <v>50369.47283</v>
      </c>
    </row>
    <row r="109" outlineLevel="1">
      <c r="A109" s="195"/>
      <c r="B109" s="291"/>
      <c r="C109" s="291"/>
      <c r="D109" s="291"/>
      <c r="E109" s="291"/>
      <c r="F109" s="291"/>
      <c r="G109" s="291"/>
      <c r="H109" s="291"/>
      <c r="I109" s="291"/>
      <c r="J109" s="291"/>
      <c r="K109" s="291"/>
      <c r="L109" s="291"/>
      <c r="M109" s="291"/>
      <c r="N109" s="291"/>
      <c r="O109" s="291"/>
      <c r="P109" s="291"/>
      <c r="Q109" s="291"/>
      <c r="R109" s="291"/>
      <c r="S109" s="291"/>
      <c r="T109" s="291"/>
      <c r="U109" s="291"/>
      <c r="V109" s="291"/>
      <c r="W109" s="291"/>
      <c r="X109" s="291"/>
      <c r="Y109" s="291"/>
      <c r="Z109" s="291"/>
      <c r="AA109" s="291"/>
      <c r="AB109" s="291"/>
      <c r="AC109" s="291"/>
      <c r="AD109" s="291"/>
      <c r="AE109" s="291"/>
      <c r="AF109" s="291"/>
      <c r="AG109" s="291"/>
      <c r="AH109" s="291"/>
      <c r="AI109" s="291"/>
      <c r="AJ109" s="291"/>
      <c r="AK109" s="291"/>
      <c r="AL109" s="291"/>
      <c r="AM109" s="291"/>
      <c r="AN109" s="291"/>
      <c r="AO109" s="291"/>
    </row>
    <row r="110" outlineLevel="1">
      <c r="A110" s="365" t="s">
        <v>328</v>
      </c>
      <c r="B110" s="142"/>
      <c r="C110" s="142"/>
      <c r="D110" s="142"/>
      <c r="E110" s="142"/>
      <c r="F110" s="142"/>
      <c r="G110" s="142"/>
      <c r="H110" s="142"/>
      <c r="I110" s="142"/>
      <c r="J110" s="142"/>
      <c r="K110" s="142"/>
      <c r="L110" s="142"/>
      <c r="M110" s="142"/>
      <c r="N110" s="142"/>
      <c r="O110" s="142"/>
      <c r="P110" s="142"/>
      <c r="Q110" s="142"/>
      <c r="R110" s="142"/>
      <c r="S110" s="142"/>
      <c r="T110" s="142"/>
      <c r="U110" s="142"/>
      <c r="V110" s="142"/>
      <c r="W110" s="142"/>
      <c r="X110" s="142"/>
      <c r="Y110" s="142"/>
      <c r="Z110" s="142"/>
      <c r="AA110" s="142"/>
      <c r="AB110" s="142"/>
      <c r="AC110" s="142"/>
      <c r="AD110" s="142"/>
      <c r="AE110" s="142"/>
      <c r="AF110" s="142"/>
      <c r="AG110" s="142"/>
      <c r="AH110" s="142"/>
      <c r="AI110" s="142"/>
      <c r="AJ110" s="142"/>
      <c r="AK110" s="142"/>
      <c r="AL110" s="142"/>
      <c r="AM110" s="142"/>
      <c r="AN110" s="142"/>
      <c r="AO110" s="142"/>
    </row>
    <row r="111" outlineLevel="1">
      <c r="A111" s="356" t="s">
        <v>329</v>
      </c>
      <c r="B111" s="322">
        <f>'Value of counterfactual spendin'!$B$41</f>
        <v>0.003578712176</v>
      </c>
      <c r="C111" s="322">
        <f>'Value of counterfactual spendin'!$B$41</f>
        <v>0.003578712176</v>
      </c>
      <c r="D111" s="322">
        <f>'Value of counterfactual spendin'!$B$41</f>
        <v>0.003578712176</v>
      </c>
      <c r="E111" s="322">
        <f>'Value of counterfactual spendin'!$B$41</f>
        <v>0.003578712176</v>
      </c>
      <c r="F111" s="322">
        <f>'Value of counterfactual spendin'!$B$41</f>
        <v>0.003578712176</v>
      </c>
      <c r="G111" s="322">
        <f>'Value of counterfactual spendin'!$B$41</f>
        <v>0.003578712176</v>
      </c>
      <c r="H111" s="322">
        <f>'Value of counterfactual spendin'!$B$41</f>
        <v>0.003578712176</v>
      </c>
      <c r="I111" s="322">
        <f>'Value of counterfactual spendin'!$B$41</f>
        <v>0.003578712176</v>
      </c>
      <c r="J111" s="322">
        <f>'Value of counterfactual spendin'!$B$41</f>
        <v>0.003578712176</v>
      </c>
      <c r="K111" s="322">
        <f>'Value of counterfactual spendin'!$B$41</f>
        <v>0.003578712176</v>
      </c>
      <c r="L111" s="322">
        <f>'Value of counterfactual spendin'!$B$41</f>
        <v>0.003578712176</v>
      </c>
      <c r="M111" s="322">
        <f>'Value of counterfactual spendin'!$B$41</f>
        <v>0.003578712176</v>
      </c>
      <c r="N111" s="322">
        <f>'Value of counterfactual spendin'!$B$41</f>
        <v>0.003578712176</v>
      </c>
      <c r="O111" s="322">
        <f>'Value of counterfactual spendin'!$B$41</f>
        <v>0.003578712176</v>
      </c>
      <c r="P111" s="322">
        <f>'Value of counterfactual spendin'!$B$41</f>
        <v>0.003578712176</v>
      </c>
      <c r="Q111" s="322">
        <f>'Value of counterfactual spendin'!$B$41</f>
        <v>0.003578712176</v>
      </c>
      <c r="R111" s="322">
        <f>'Value of counterfactual spendin'!$B$41</f>
        <v>0.003578712176</v>
      </c>
      <c r="S111" s="322">
        <f>'Value of counterfactual spendin'!$B$41</f>
        <v>0.003578712176</v>
      </c>
      <c r="T111" s="322">
        <f>'Value of counterfactual spendin'!$B$41</f>
        <v>0.003578712176</v>
      </c>
      <c r="U111" s="322">
        <f>'Value of counterfactual spendin'!$B$41</f>
        <v>0.003578712176</v>
      </c>
      <c r="V111" s="322">
        <f>'Value of counterfactual spendin'!$B$41</f>
        <v>0.003578712176</v>
      </c>
      <c r="W111" s="322">
        <f>'Value of counterfactual spendin'!$B$41</f>
        <v>0.003578712176</v>
      </c>
      <c r="X111" s="322">
        <f>'Value of counterfactual spendin'!$B$41</f>
        <v>0.003578712176</v>
      </c>
      <c r="Y111" s="322">
        <f>'Value of counterfactual spendin'!$B$41</f>
        <v>0.003578712176</v>
      </c>
      <c r="Z111" s="322">
        <f>'Value of counterfactual spendin'!$B$41</f>
        <v>0.003578712176</v>
      </c>
      <c r="AA111" s="322">
        <f>'Value of counterfactual spendin'!$B$41</f>
        <v>0.003578712176</v>
      </c>
      <c r="AB111" s="322">
        <f>'Value of counterfactual spendin'!$B$41</f>
        <v>0.003578712176</v>
      </c>
      <c r="AC111" s="322">
        <f>'Value of counterfactual spendin'!$B$41</f>
        <v>0.003578712176</v>
      </c>
      <c r="AD111" s="322">
        <f>'Value of counterfactual spendin'!$B$41</f>
        <v>0.003578712176</v>
      </c>
      <c r="AE111" s="322">
        <f>'Value of counterfactual spendin'!$B$41</f>
        <v>0.003578712176</v>
      </c>
      <c r="AF111" s="322">
        <f>'Value of counterfactual spendin'!$B$41</f>
        <v>0.003578712176</v>
      </c>
      <c r="AG111" s="322">
        <f>'Value of counterfactual spendin'!$B$41</f>
        <v>0.003578712176</v>
      </c>
      <c r="AH111" s="322">
        <f>'Value of counterfactual spendin'!$B$41</f>
        <v>0.003578712176</v>
      </c>
      <c r="AI111" s="322">
        <f>'Value of counterfactual spendin'!$B$41</f>
        <v>0.003578712176</v>
      </c>
      <c r="AJ111" s="322">
        <f>'Value of counterfactual spendin'!$B$41</f>
        <v>0.003578712176</v>
      </c>
      <c r="AK111" s="322">
        <f>'Value of counterfactual spendin'!$B$41</f>
        <v>0.003578712176</v>
      </c>
      <c r="AL111" s="322">
        <f>'Value of counterfactual spendin'!$B$41</f>
        <v>0.003578712176</v>
      </c>
      <c r="AM111" s="322">
        <f>'Value of counterfactual spendin'!$B$41</f>
        <v>0.003578712176</v>
      </c>
      <c r="AN111" s="322">
        <f>'Value of counterfactual spendin'!$B$41</f>
        <v>0.003578712176</v>
      </c>
      <c r="AO111" s="322">
        <f>'Value of counterfactual spendin'!$B$41</f>
        <v>0.003578712176</v>
      </c>
    </row>
    <row r="112" outlineLevel="1">
      <c r="A112" s="356" t="s">
        <v>330</v>
      </c>
      <c r="B112" s="322">
        <f>'Value of counterfactual spendin'!$B$41</f>
        <v>0.003578712176</v>
      </c>
      <c r="C112" s="322">
        <f>'Value of counterfactual spendin'!$B$41</f>
        <v>0.003578712176</v>
      </c>
      <c r="D112" s="322">
        <f>'Value of counterfactual spendin'!$B$41</f>
        <v>0.003578712176</v>
      </c>
      <c r="E112" s="322">
        <f>'Value of counterfactual spendin'!$B$41</f>
        <v>0.003578712176</v>
      </c>
      <c r="F112" s="322">
        <f>'Value of counterfactual spendin'!$B$41</f>
        <v>0.003578712176</v>
      </c>
      <c r="G112" s="322">
        <f>'Value of counterfactual spendin'!$B$41</f>
        <v>0.003578712176</v>
      </c>
      <c r="H112" s="322">
        <f>'Value of counterfactual spendin'!$B$41</f>
        <v>0.003578712176</v>
      </c>
      <c r="I112" s="322">
        <f>'Value of counterfactual spendin'!$B$41</f>
        <v>0.003578712176</v>
      </c>
      <c r="J112" s="322">
        <f>'Value of counterfactual spendin'!$B$41</f>
        <v>0.003578712176</v>
      </c>
      <c r="K112" s="322">
        <f>'Value of counterfactual spendin'!$B$41</f>
        <v>0.003578712176</v>
      </c>
      <c r="L112" s="322">
        <f>'Value of counterfactual spendin'!$B$41</f>
        <v>0.003578712176</v>
      </c>
      <c r="M112" s="322">
        <f>'Value of counterfactual spendin'!$B$41</f>
        <v>0.003578712176</v>
      </c>
      <c r="N112" s="322">
        <f>'Value of counterfactual spendin'!$B$41</f>
        <v>0.003578712176</v>
      </c>
      <c r="O112" s="322">
        <f>'Value of counterfactual spendin'!$B$41</f>
        <v>0.003578712176</v>
      </c>
      <c r="P112" s="322">
        <f>'Value of counterfactual spendin'!$B$41</f>
        <v>0.003578712176</v>
      </c>
      <c r="Q112" s="322">
        <f>'Value of counterfactual spendin'!$B$41</f>
        <v>0.003578712176</v>
      </c>
      <c r="R112" s="322">
        <f>'Value of counterfactual spendin'!$B$41</f>
        <v>0.003578712176</v>
      </c>
      <c r="S112" s="322">
        <f>'Value of counterfactual spendin'!$B$41</f>
        <v>0.003578712176</v>
      </c>
      <c r="T112" s="322">
        <f>'Value of counterfactual spendin'!$B$41</f>
        <v>0.003578712176</v>
      </c>
      <c r="U112" s="322">
        <f>'Value of counterfactual spendin'!$B$41</f>
        <v>0.003578712176</v>
      </c>
      <c r="V112" s="322">
        <f>'Value of counterfactual spendin'!$B$41</f>
        <v>0.003578712176</v>
      </c>
      <c r="W112" s="322">
        <f>'Value of counterfactual spendin'!$B$41</f>
        <v>0.003578712176</v>
      </c>
      <c r="X112" s="322">
        <f>'Value of counterfactual spendin'!$B$41</f>
        <v>0.003578712176</v>
      </c>
      <c r="Y112" s="322">
        <f>'Value of counterfactual spendin'!$B$41</f>
        <v>0.003578712176</v>
      </c>
      <c r="Z112" s="322">
        <f>'Value of counterfactual spendin'!$B$41</f>
        <v>0.003578712176</v>
      </c>
      <c r="AA112" s="322">
        <f>'Value of counterfactual spendin'!$B$41</f>
        <v>0.003578712176</v>
      </c>
      <c r="AB112" s="322">
        <f>'Value of counterfactual spendin'!$B$41</f>
        <v>0.003578712176</v>
      </c>
      <c r="AC112" s="322">
        <f>'Value of counterfactual spendin'!$B$41</f>
        <v>0.003578712176</v>
      </c>
      <c r="AD112" s="322">
        <f>'Value of counterfactual spendin'!$B$41</f>
        <v>0.003578712176</v>
      </c>
      <c r="AE112" s="322">
        <f>'Value of counterfactual spendin'!$B$41</f>
        <v>0.003578712176</v>
      </c>
      <c r="AF112" s="322">
        <f>'Value of counterfactual spendin'!$B$41</f>
        <v>0.003578712176</v>
      </c>
      <c r="AG112" s="322">
        <f>'Value of counterfactual spendin'!$B$41</f>
        <v>0.003578712176</v>
      </c>
      <c r="AH112" s="322">
        <f>'Value of counterfactual spendin'!$B$41</f>
        <v>0.003578712176</v>
      </c>
      <c r="AI112" s="322">
        <f>'Value of counterfactual spendin'!$B$41</f>
        <v>0.003578712176</v>
      </c>
      <c r="AJ112" s="322">
        <f>'Value of counterfactual spendin'!$B$41</f>
        <v>0.003578712176</v>
      </c>
      <c r="AK112" s="322">
        <f>'Value of counterfactual spendin'!$B$41</f>
        <v>0.003578712176</v>
      </c>
      <c r="AL112" s="322">
        <f>'Value of counterfactual spendin'!$B$41</f>
        <v>0.003578712176</v>
      </c>
      <c r="AM112" s="322">
        <f>'Value of counterfactual spendin'!$B$41</f>
        <v>0.003578712176</v>
      </c>
      <c r="AN112" s="322">
        <f>'Value of counterfactual spendin'!$B$41</f>
        <v>0.003578712176</v>
      </c>
      <c r="AO112" s="322">
        <f>'Value of counterfactual spendin'!$B$41</f>
        <v>0.003578712176</v>
      </c>
    </row>
    <row r="113" outlineLevel="1">
      <c r="A113" s="142" t="s">
        <v>331</v>
      </c>
      <c r="B113" s="322">
        <f>'Value of counterfactual spendin'!$B$43</f>
        <v>0.003931830274</v>
      </c>
      <c r="C113" s="322">
        <f>'Value of counterfactual spendin'!$B$43</f>
        <v>0.003931830274</v>
      </c>
      <c r="D113" s="322">
        <f>'Value of counterfactual spendin'!$B$43</f>
        <v>0.003931830274</v>
      </c>
      <c r="E113" s="322">
        <f>'Value of counterfactual spendin'!$B$43</f>
        <v>0.003931830274</v>
      </c>
      <c r="F113" s="322">
        <f>'Value of counterfactual spendin'!$B$43</f>
        <v>0.003931830274</v>
      </c>
      <c r="G113" s="322">
        <f>'Value of counterfactual spendin'!$B$43</f>
        <v>0.003931830274</v>
      </c>
      <c r="H113" s="322">
        <f>'Value of counterfactual spendin'!$B$43</f>
        <v>0.003931830274</v>
      </c>
      <c r="I113" s="322">
        <f>'Value of counterfactual spendin'!$B$43</f>
        <v>0.003931830274</v>
      </c>
      <c r="J113" s="322">
        <f>'Value of counterfactual spendin'!$B$43</f>
        <v>0.003931830274</v>
      </c>
      <c r="K113" s="322">
        <f>'Value of counterfactual spendin'!$B$43</f>
        <v>0.003931830274</v>
      </c>
      <c r="L113" s="322">
        <f>'Value of counterfactual spendin'!$B$43</f>
        <v>0.003931830274</v>
      </c>
      <c r="M113" s="322">
        <f>'Value of counterfactual spendin'!$B$43</f>
        <v>0.003931830274</v>
      </c>
      <c r="N113" s="322">
        <f>'Value of counterfactual spendin'!$B$43</f>
        <v>0.003931830274</v>
      </c>
      <c r="O113" s="322">
        <f>'Value of counterfactual spendin'!$B$43</f>
        <v>0.003931830274</v>
      </c>
      <c r="P113" s="322">
        <f>'Value of counterfactual spendin'!$B$43</f>
        <v>0.003931830274</v>
      </c>
      <c r="Q113" s="322">
        <f>'Value of counterfactual spendin'!$B$43</f>
        <v>0.003931830274</v>
      </c>
      <c r="R113" s="322">
        <f>'Value of counterfactual spendin'!$B$43</f>
        <v>0.003931830274</v>
      </c>
      <c r="S113" s="322">
        <f>'Value of counterfactual spendin'!$B$43</f>
        <v>0.003931830274</v>
      </c>
      <c r="T113" s="322">
        <f>'Value of counterfactual spendin'!$B$43</f>
        <v>0.003931830274</v>
      </c>
      <c r="U113" s="322">
        <f>'Value of counterfactual spendin'!$B$43</f>
        <v>0.003931830274</v>
      </c>
      <c r="V113" s="322">
        <f>'Value of counterfactual spendin'!$B$43</f>
        <v>0.003931830274</v>
      </c>
      <c r="W113" s="322">
        <f>'Value of counterfactual spendin'!$B$43</f>
        <v>0.003931830274</v>
      </c>
      <c r="X113" s="322">
        <f>'Value of counterfactual spendin'!$B$43</f>
        <v>0.003931830274</v>
      </c>
      <c r="Y113" s="322">
        <f>'Value of counterfactual spendin'!$B$43</f>
        <v>0.003931830274</v>
      </c>
      <c r="Z113" s="322">
        <f>'Value of counterfactual spendin'!$B$43</f>
        <v>0.003931830274</v>
      </c>
      <c r="AA113" s="322">
        <f>'Value of counterfactual spendin'!$B$43</f>
        <v>0.003931830274</v>
      </c>
      <c r="AB113" s="322">
        <f>'Value of counterfactual spendin'!$B$43</f>
        <v>0.003931830274</v>
      </c>
      <c r="AC113" s="322">
        <f>'Value of counterfactual spendin'!$B$43</f>
        <v>0.003931830274</v>
      </c>
      <c r="AD113" s="322">
        <f>'Value of counterfactual spendin'!$B$43</f>
        <v>0.003931830274</v>
      </c>
      <c r="AE113" s="322">
        <f>'Value of counterfactual spendin'!$B$43</f>
        <v>0.003931830274</v>
      </c>
      <c r="AF113" s="322">
        <f>'Value of counterfactual spendin'!$B$43</f>
        <v>0.003931830274</v>
      </c>
      <c r="AG113" s="322">
        <f>'Value of counterfactual spendin'!$B$43</f>
        <v>0.003931830274</v>
      </c>
      <c r="AH113" s="322">
        <f>'Value of counterfactual spendin'!$B$43</f>
        <v>0.003931830274</v>
      </c>
      <c r="AI113" s="322">
        <f>'Value of counterfactual spendin'!$B$43</f>
        <v>0.003931830274</v>
      </c>
      <c r="AJ113" s="322">
        <f>'Value of counterfactual spendin'!$B$43</f>
        <v>0.003931830274</v>
      </c>
      <c r="AK113" s="322">
        <f>'Value of counterfactual spendin'!$B$43</f>
        <v>0.003931830274</v>
      </c>
      <c r="AL113" s="322">
        <f>'Value of counterfactual spendin'!$B$43</f>
        <v>0.003931830274</v>
      </c>
      <c r="AM113" s="322">
        <f>'Value of counterfactual spendin'!$B$43</f>
        <v>0.003931830274</v>
      </c>
      <c r="AN113" s="322">
        <f>'Value of counterfactual spendin'!$B$43</f>
        <v>0.003931830274</v>
      </c>
      <c r="AO113" s="322">
        <f>'Value of counterfactual spendin'!$B$43</f>
        <v>0.003931830274</v>
      </c>
    </row>
    <row r="114" outlineLevel="1">
      <c r="A114" s="142" t="s">
        <v>434</v>
      </c>
      <c r="B114" s="188">
        <f>'Value of counterfactual spendin'!$B48</f>
        <v>0.007443271589</v>
      </c>
      <c r="C114" s="203">
        <f>'Value of counterfactual spendin'!$B48</f>
        <v>0.007443271589</v>
      </c>
      <c r="D114" s="203">
        <f>'Value of counterfactual spendin'!$B48</f>
        <v>0.007443271589</v>
      </c>
      <c r="E114" s="203">
        <f>'Value of counterfactual spendin'!$B48</f>
        <v>0.007443271589</v>
      </c>
      <c r="F114" s="203">
        <f>'Value of counterfactual spendin'!$B48</f>
        <v>0.007443271589</v>
      </c>
      <c r="G114" s="203">
        <f>'Value of counterfactual spendin'!$B48</f>
        <v>0.007443271589</v>
      </c>
      <c r="H114" s="203">
        <f>'Value of counterfactual spendin'!$B48</f>
        <v>0.007443271589</v>
      </c>
      <c r="I114" s="203">
        <f>'Value of counterfactual spendin'!$B48</f>
        <v>0.007443271589</v>
      </c>
      <c r="J114" s="203">
        <f>'Value of counterfactual spendin'!$B48</f>
        <v>0.007443271589</v>
      </c>
      <c r="K114" s="203">
        <f>'Value of counterfactual spendin'!$B48</f>
        <v>0.007443271589</v>
      </c>
      <c r="L114" s="203">
        <f>'Value of counterfactual spendin'!$B48</f>
        <v>0.007443271589</v>
      </c>
      <c r="M114" s="203">
        <f>'Value of counterfactual spendin'!$B48</f>
        <v>0.007443271589</v>
      </c>
      <c r="N114" s="203">
        <f>'Value of counterfactual spendin'!$B48</f>
        <v>0.007443271589</v>
      </c>
      <c r="O114" s="203">
        <f>'Value of counterfactual spendin'!$B48</f>
        <v>0.007443271589</v>
      </c>
      <c r="P114" s="203">
        <f>'Value of counterfactual spendin'!$B48</f>
        <v>0.007443271589</v>
      </c>
      <c r="Q114" s="203">
        <f>'Value of counterfactual spendin'!$B48</f>
        <v>0.007443271589</v>
      </c>
      <c r="R114" s="203">
        <f>'Value of counterfactual spendin'!$B48</f>
        <v>0.007443271589</v>
      </c>
      <c r="S114" s="203">
        <f>'Value of counterfactual spendin'!$B48</f>
        <v>0.007443271589</v>
      </c>
      <c r="T114" s="203">
        <f>'Value of counterfactual spendin'!$B48</f>
        <v>0.007443271589</v>
      </c>
      <c r="U114" s="203">
        <f>'Value of counterfactual spendin'!$B48</f>
        <v>0.007443271589</v>
      </c>
      <c r="V114" s="203">
        <f>'Value of counterfactual spendin'!$B48</f>
        <v>0.007443271589</v>
      </c>
      <c r="W114" s="203">
        <f>'Value of counterfactual spendin'!$B48</f>
        <v>0.007443271589</v>
      </c>
      <c r="X114" s="203">
        <f>'Value of counterfactual spendin'!$B48</f>
        <v>0.007443271589</v>
      </c>
      <c r="Y114" s="203">
        <f>'Value of counterfactual spendin'!$B48</f>
        <v>0.007443271589</v>
      </c>
      <c r="Z114" s="203">
        <f>'Value of counterfactual spendin'!$B48</f>
        <v>0.007443271589</v>
      </c>
      <c r="AA114" s="203">
        <f>'Value of counterfactual spendin'!$B48</f>
        <v>0.007443271589</v>
      </c>
      <c r="AB114" s="203">
        <f>'Value of counterfactual spendin'!$B48</f>
        <v>0.007443271589</v>
      </c>
      <c r="AC114" s="203">
        <f>'Value of counterfactual spendin'!$B48</f>
        <v>0.007443271589</v>
      </c>
      <c r="AD114" s="203">
        <f>'Value of counterfactual spendin'!$B48</f>
        <v>0.007443271589</v>
      </c>
      <c r="AE114" s="203">
        <f>'Value of counterfactual spendin'!$B48</f>
        <v>0.007443271589</v>
      </c>
      <c r="AF114" s="203">
        <f>'Value of counterfactual spendin'!$B48</f>
        <v>0.007443271589</v>
      </c>
      <c r="AG114" s="203">
        <f>'Value of counterfactual spendin'!$B48</f>
        <v>0.007443271589</v>
      </c>
      <c r="AH114" s="203">
        <f>'Value of counterfactual spendin'!$B48</f>
        <v>0.007443271589</v>
      </c>
      <c r="AI114" s="203">
        <f>'Value of counterfactual spendin'!$B48</f>
        <v>0.007443271589</v>
      </c>
      <c r="AJ114" s="203">
        <f>'Value of counterfactual spendin'!$B48</f>
        <v>0.007443271589</v>
      </c>
      <c r="AK114" s="203">
        <f>'Value of counterfactual spendin'!$B48</f>
        <v>0.007443271589</v>
      </c>
      <c r="AL114" s="203">
        <f>'Value of counterfactual spendin'!$B48</f>
        <v>0.007443271589</v>
      </c>
      <c r="AM114" s="203">
        <f>'Value of counterfactual spendin'!$B48</f>
        <v>0.007443271589</v>
      </c>
      <c r="AN114" s="203">
        <f>'Value of counterfactual spendin'!$B48</f>
        <v>0.007443271589</v>
      </c>
      <c r="AO114" s="203">
        <f>'Value of counterfactual spendin'!$B48</f>
        <v>0.007443271589</v>
      </c>
    </row>
    <row r="115" outlineLevel="1">
      <c r="A115" s="367"/>
      <c r="B115" s="242"/>
      <c r="C115" s="242"/>
      <c r="D115" s="242"/>
      <c r="E115" s="242"/>
      <c r="F115" s="242"/>
      <c r="G115" s="242"/>
      <c r="H115" s="242"/>
      <c r="I115" s="242"/>
      <c r="J115" s="242"/>
      <c r="K115" s="242"/>
      <c r="L115" s="242"/>
      <c r="M115" s="242"/>
      <c r="N115" s="242"/>
      <c r="O115" s="242"/>
      <c r="P115" s="242"/>
      <c r="Q115" s="242"/>
      <c r="R115" s="242"/>
      <c r="S115" s="242"/>
      <c r="T115" s="242"/>
      <c r="U115" s="242"/>
      <c r="V115" s="242"/>
      <c r="W115" s="242"/>
      <c r="X115" s="242"/>
      <c r="Y115" s="242"/>
      <c r="Z115" s="242"/>
      <c r="AA115" s="242"/>
      <c r="AB115" s="242"/>
      <c r="AC115" s="242"/>
      <c r="AD115" s="242"/>
      <c r="AE115" s="242"/>
      <c r="AF115" s="242"/>
      <c r="AG115" s="242"/>
      <c r="AH115" s="242"/>
      <c r="AI115" s="242"/>
      <c r="AJ115" s="242"/>
      <c r="AK115" s="242"/>
      <c r="AL115" s="242"/>
      <c r="AM115" s="242"/>
      <c r="AN115" s="242"/>
      <c r="AO115" s="242"/>
    </row>
    <row r="116" outlineLevel="1">
      <c r="A116" s="365" t="s">
        <v>435</v>
      </c>
      <c r="B116" s="242"/>
      <c r="C116" s="242"/>
      <c r="D116" s="242"/>
      <c r="E116" s="242"/>
      <c r="F116" s="242"/>
      <c r="G116" s="242"/>
      <c r="H116" s="242"/>
      <c r="I116" s="242"/>
      <c r="J116" s="242"/>
      <c r="K116" s="242"/>
      <c r="L116" s="242"/>
      <c r="M116" s="242"/>
      <c r="N116" s="242"/>
      <c r="O116" s="242"/>
      <c r="P116" s="242"/>
      <c r="Q116" s="242"/>
      <c r="R116" s="242"/>
      <c r="S116" s="242"/>
      <c r="T116" s="242"/>
      <c r="U116" s="242"/>
      <c r="V116" s="242"/>
      <c r="W116" s="242"/>
      <c r="X116" s="242"/>
      <c r="Y116" s="242"/>
      <c r="Z116" s="242"/>
      <c r="AA116" s="242"/>
      <c r="AB116" s="242"/>
      <c r="AC116" s="242"/>
      <c r="AD116" s="242"/>
      <c r="AE116" s="242"/>
      <c r="AF116" s="242"/>
      <c r="AG116" s="242"/>
      <c r="AH116" s="242"/>
      <c r="AI116" s="242"/>
      <c r="AJ116" s="242"/>
      <c r="AK116" s="242"/>
      <c r="AL116" s="242"/>
      <c r="AM116" s="242"/>
      <c r="AN116" s="242"/>
      <c r="AO116" s="242"/>
    </row>
    <row r="117" outlineLevel="1">
      <c r="A117" s="367" t="s">
        <v>436</v>
      </c>
      <c r="B117" s="127">
        <v>0.2</v>
      </c>
      <c r="C117" s="127">
        <v>0.2</v>
      </c>
      <c r="D117" s="127">
        <v>0.2</v>
      </c>
      <c r="E117" s="127">
        <v>0.2</v>
      </c>
      <c r="F117" s="127">
        <v>0.2</v>
      </c>
      <c r="G117" s="127">
        <v>0.2</v>
      </c>
      <c r="H117" s="127">
        <v>0.2</v>
      </c>
      <c r="I117" s="127">
        <v>0.2</v>
      </c>
      <c r="J117" s="127">
        <v>0.2</v>
      </c>
      <c r="K117" s="127">
        <v>0.2</v>
      </c>
      <c r="L117" s="127">
        <v>0.2</v>
      </c>
      <c r="M117" s="127">
        <v>0.2</v>
      </c>
      <c r="N117" s="127">
        <v>0.2</v>
      </c>
      <c r="O117" s="127">
        <v>0.2</v>
      </c>
      <c r="P117" s="127">
        <v>0.2</v>
      </c>
      <c r="Q117" s="127">
        <v>0.2</v>
      </c>
      <c r="R117" s="127">
        <v>0.2</v>
      </c>
      <c r="S117" s="127">
        <v>0.2</v>
      </c>
      <c r="T117" s="127">
        <v>0.2</v>
      </c>
      <c r="U117" s="127">
        <v>0.2</v>
      </c>
      <c r="V117" s="127">
        <v>0.2</v>
      </c>
      <c r="W117" s="127">
        <v>0.2</v>
      </c>
      <c r="X117" s="127">
        <v>0.2</v>
      </c>
      <c r="Y117" s="127">
        <v>0.2</v>
      </c>
      <c r="Z117" s="127">
        <v>0.2</v>
      </c>
      <c r="AA117" s="127">
        <v>0.2</v>
      </c>
      <c r="AB117" s="127">
        <v>0.2</v>
      </c>
      <c r="AC117" s="127">
        <v>0.2</v>
      </c>
      <c r="AD117" s="127">
        <v>0.2</v>
      </c>
      <c r="AE117" s="127">
        <v>0.2</v>
      </c>
      <c r="AF117" s="127">
        <v>0.2</v>
      </c>
      <c r="AG117" s="127">
        <v>0.2</v>
      </c>
      <c r="AH117" s="127">
        <v>0.2</v>
      </c>
      <c r="AI117" s="127">
        <v>0.2</v>
      </c>
      <c r="AJ117" s="127">
        <v>0.2</v>
      </c>
      <c r="AK117" s="127">
        <v>0.2</v>
      </c>
      <c r="AL117" s="127">
        <v>0.2</v>
      </c>
      <c r="AM117" s="127">
        <v>0.2</v>
      </c>
      <c r="AN117" s="127">
        <v>0.2</v>
      </c>
      <c r="AO117" s="127">
        <v>0.2</v>
      </c>
    </row>
    <row r="118" outlineLevel="1">
      <c r="A118" s="142" t="s">
        <v>437</v>
      </c>
      <c r="B118" s="127">
        <v>0.0</v>
      </c>
      <c r="C118" s="127">
        <v>0.0</v>
      </c>
      <c r="D118" s="127">
        <v>0.0</v>
      </c>
      <c r="E118" s="127">
        <v>0.1</v>
      </c>
      <c r="F118" s="127">
        <v>0.1</v>
      </c>
      <c r="G118" s="127">
        <v>0.1</v>
      </c>
      <c r="H118" s="127">
        <v>0.1</v>
      </c>
      <c r="I118" s="127">
        <v>0.1</v>
      </c>
      <c r="J118" s="127">
        <v>0.1</v>
      </c>
      <c r="K118" s="127">
        <v>0.1</v>
      </c>
      <c r="L118" s="127">
        <v>0.1</v>
      </c>
      <c r="M118" s="127">
        <v>0.1</v>
      </c>
      <c r="N118" s="127">
        <v>0.1</v>
      </c>
      <c r="O118" s="127">
        <v>0.1</v>
      </c>
      <c r="P118" s="127">
        <v>0.1</v>
      </c>
      <c r="Q118" s="127">
        <v>0.1</v>
      </c>
      <c r="R118" s="127">
        <v>0.1</v>
      </c>
      <c r="S118" s="127">
        <v>0.1</v>
      </c>
      <c r="T118" s="127">
        <v>0.1</v>
      </c>
      <c r="U118" s="127">
        <v>0.0</v>
      </c>
      <c r="V118" s="127">
        <v>0.0</v>
      </c>
      <c r="W118" s="127">
        <v>0.0</v>
      </c>
      <c r="X118" s="127">
        <v>0.0</v>
      </c>
      <c r="Y118" s="127">
        <v>0.0</v>
      </c>
      <c r="Z118" s="127">
        <v>0.0</v>
      </c>
      <c r="AA118" s="127">
        <v>0.0</v>
      </c>
      <c r="AB118" s="127">
        <v>0.0</v>
      </c>
      <c r="AC118" s="127">
        <v>0.0</v>
      </c>
      <c r="AD118" s="127">
        <v>0.0</v>
      </c>
      <c r="AE118" s="127">
        <v>0.0</v>
      </c>
      <c r="AF118" s="127">
        <v>0.0</v>
      </c>
      <c r="AG118" s="127">
        <v>0.0</v>
      </c>
      <c r="AH118" s="127">
        <v>0.0</v>
      </c>
      <c r="AI118" s="127">
        <v>0.0</v>
      </c>
      <c r="AJ118" s="127">
        <v>0.0</v>
      </c>
      <c r="AK118" s="127">
        <v>0.0</v>
      </c>
      <c r="AL118" s="127">
        <v>0.0</v>
      </c>
      <c r="AM118" s="127">
        <v>0.0</v>
      </c>
      <c r="AN118" s="127">
        <v>0.0</v>
      </c>
      <c r="AO118" s="127">
        <v>0.0</v>
      </c>
    </row>
    <row r="119" outlineLevel="1">
      <c r="A119" s="367" t="s">
        <v>333</v>
      </c>
      <c r="B119" s="127">
        <v>0.0</v>
      </c>
      <c r="C119" s="127">
        <v>0.0</v>
      </c>
      <c r="D119" s="127">
        <v>0.0</v>
      </c>
      <c r="E119" s="127">
        <v>0.0</v>
      </c>
      <c r="F119" s="127">
        <v>0.0</v>
      </c>
      <c r="G119" s="127">
        <v>0.0</v>
      </c>
      <c r="H119" s="127">
        <v>0.0</v>
      </c>
      <c r="I119" s="127">
        <v>0.0</v>
      </c>
      <c r="J119" s="127">
        <v>0.0</v>
      </c>
      <c r="K119" s="127">
        <v>0.0</v>
      </c>
      <c r="L119" s="127">
        <v>0.0</v>
      </c>
      <c r="M119" s="127">
        <v>0.0</v>
      </c>
      <c r="N119" s="127">
        <v>0.0</v>
      </c>
      <c r="O119" s="127">
        <v>0.0</v>
      </c>
      <c r="P119" s="127">
        <v>0.0</v>
      </c>
      <c r="Q119" s="127">
        <v>0.0</v>
      </c>
      <c r="R119" s="127">
        <v>0.0</v>
      </c>
      <c r="S119" s="127">
        <v>0.0</v>
      </c>
      <c r="T119" s="127">
        <v>0.0</v>
      </c>
      <c r="U119" s="127">
        <v>0.0</v>
      </c>
      <c r="V119" s="127">
        <v>0.0</v>
      </c>
      <c r="W119" s="127">
        <v>0.0</v>
      </c>
      <c r="X119" s="127">
        <v>0.0</v>
      </c>
      <c r="Y119" s="127">
        <v>0.0</v>
      </c>
      <c r="Z119" s="127">
        <v>0.0</v>
      </c>
      <c r="AA119" s="127">
        <v>0.0</v>
      </c>
      <c r="AB119" s="127">
        <v>0.0</v>
      </c>
      <c r="AC119" s="127">
        <v>0.0</v>
      </c>
      <c r="AD119" s="127">
        <v>0.0</v>
      </c>
      <c r="AE119" s="127">
        <v>0.0</v>
      </c>
      <c r="AF119" s="127">
        <v>0.0</v>
      </c>
      <c r="AG119" s="127">
        <v>0.0</v>
      </c>
      <c r="AH119" s="127">
        <v>0.0</v>
      </c>
      <c r="AI119" s="127">
        <v>0.0</v>
      </c>
      <c r="AJ119" s="127">
        <v>0.0</v>
      </c>
      <c r="AK119" s="127">
        <v>0.0</v>
      </c>
      <c r="AL119" s="127">
        <v>0.0</v>
      </c>
      <c r="AM119" s="127">
        <v>0.0</v>
      </c>
      <c r="AN119" s="127">
        <v>0.0</v>
      </c>
      <c r="AO119" s="127">
        <v>0.0</v>
      </c>
    </row>
    <row r="120" outlineLevel="1">
      <c r="A120" s="142" t="s">
        <v>220</v>
      </c>
      <c r="B120" s="127">
        <f t="shared" ref="B120:AO120" si="31">1-SUM(B117:B119)</f>
        <v>0.8</v>
      </c>
      <c r="C120" s="127">
        <f t="shared" si="31"/>
        <v>0.8</v>
      </c>
      <c r="D120" s="127">
        <f t="shared" si="31"/>
        <v>0.8</v>
      </c>
      <c r="E120" s="127">
        <f t="shared" si="31"/>
        <v>0.7</v>
      </c>
      <c r="F120" s="127">
        <f t="shared" si="31"/>
        <v>0.7</v>
      </c>
      <c r="G120" s="127">
        <f t="shared" si="31"/>
        <v>0.7</v>
      </c>
      <c r="H120" s="127">
        <f t="shared" si="31"/>
        <v>0.7</v>
      </c>
      <c r="I120" s="127">
        <f t="shared" si="31"/>
        <v>0.7</v>
      </c>
      <c r="J120" s="127">
        <f t="shared" si="31"/>
        <v>0.7</v>
      </c>
      <c r="K120" s="127">
        <f t="shared" si="31"/>
        <v>0.7</v>
      </c>
      <c r="L120" s="127">
        <f t="shared" si="31"/>
        <v>0.7</v>
      </c>
      <c r="M120" s="127">
        <f t="shared" si="31"/>
        <v>0.7</v>
      </c>
      <c r="N120" s="127">
        <f t="shared" si="31"/>
        <v>0.7</v>
      </c>
      <c r="O120" s="127">
        <f t="shared" si="31"/>
        <v>0.7</v>
      </c>
      <c r="P120" s="127">
        <f t="shared" si="31"/>
        <v>0.7</v>
      </c>
      <c r="Q120" s="127">
        <f t="shared" si="31"/>
        <v>0.7</v>
      </c>
      <c r="R120" s="127">
        <f t="shared" si="31"/>
        <v>0.7</v>
      </c>
      <c r="S120" s="127">
        <f t="shared" si="31"/>
        <v>0.7</v>
      </c>
      <c r="T120" s="127">
        <f t="shared" si="31"/>
        <v>0.7</v>
      </c>
      <c r="U120" s="127">
        <f t="shared" si="31"/>
        <v>0.8</v>
      </c>
      <c r="V120" s="127">
        <f t="shared" si="31"/>
        <v>0.8</v>
      </c>
      <c r="W120" s="127">
        <f t="shared" si="31"/>
        <v>0.8</v>
      </c>
      <c r="X120" s="127">
        <f t="shared" si="31"/>
        <v>0.8</v>
      </c>
      <c r="Y120" s="127">
        <f t="shared" si="31"/>
        <v>0.8</v>
      </c>
      <c r="Z120" s="127">
        <f t="shared" si="31"/>
        <v>0.8</v>
      </c>
      <c r="AA120" s="127">
        <f t="shared" si="31"/>
        <v>0.8</v>
      </c>
      <c r="AB120" s="127">
        <f t="shared" si="31"/>
        <v>0.8</v>
      </c>
      <c r="AC120" s="127">
        <f t="shared" si="31"/>
        <v>0.8</v>
      </c>
      <c r="AD120" s="127">
        <f t="shared" si="31"/>
        <v>0.8</v>
      </c>
      <c r="AE120" s="127">
        <f t="shared" si="31"/>
        <v>0.8</v>
      </c>
      <c r="AF120" s="127">
        <f t="shared" si="31"/>
        <v>0.8</v>
      </c>
      <c r="AG120" s="127">
        <f t="shared" si="31"/>
        <v>0.8</v>
      </c>
      <c r="AH120" s="127">
        <f t="shared" si="31"/>
        <v>0.8</v>
      </c>
      <c r="AI120" s="127">
        <f t="shared" si="31"/>
        <v>0.8</v>
      </c>
      <c r="AJ120" s="127">
        <f t="shared" si="31"/>
        <v>0.8</v>
      </c>
      <c r="AK120" s="127">
        <f t="shared" si="31"/>
        <v>0.8</v>
      </c>
      <c r="AL120" s="127">
        <f t="shared" si="31"/>
        <v>0.8</v>
      </c>
      <c r="AM120" s="127">
        <f t="shared" si="31"/>
        <v>0.8</v>
      </c>
      <c r="AN120" s="127">
        <f t="shared" si="31"/>
        <v>0.8</v>
      </c>
      <c r="AO120" s="127">
        <f t="shared" si="31"/>
        <v>0.8</v>
      </c>
    </row>
    <row r="121" outlineLevel="1">
      <c r="A121" s="142"/>
      <c r="B121" s="242"/>
      <c r="C121" s="242"/>
      <c r="D121" s="242"/>
      <c r="E121" s="242"/>
      <c r="F121" s="242"/>
      <c r="G121" s="242"/>
      <c r="H121" s="242"/>
      <c r="I121" s="242"/>
      <c r="J121" s="242"/>
      <c r="K121" s="242"/>
      <c r="L121" s="242"/>
      <c r="M121" s="242"/>
      <c r="N121" s="242"/>
      <c r="O121" s="242"/>
      <c r="P121" s="242"/>
      <c r="Q121" s="242"/>
      <c r="R121" s="242"/>
      <c r="S121" s="242"/>
      <c r="T121" s="242"/>
      <c r="U121" s="242"/>
      <c r="V121" s="242"/>
      <c r="W121" s="242"/>
      <c r="X121" s="242"/>
      <c r="Y121" s="242"/>
      <c r="Z121" s="242"/>
      <c r="AA121" s="242"/>
      <c r="AB121" s="242"/>
      <c r="AC121" s="242"/>
      <c r="AD121" s="242"/>
      <c r="AE121" s="242"/>
      <c r="AF121" s="242"/>
      <c r="AG121" s="242"/>
      <c r="AH121" s="242"/>
      <c r="AI121" s="242"/>
      <c r="AJ121" s="242"/>
      <c r="AK121" s="242"/>
      <c r="AL121" s="242"/>
      <c r="AM121" s="242"/>
      <c r="AN121" s="242"/>
      <c r="AO121" s="242"/>
    </row>
    <row r="122" outlineLevel="1">
      <c r="A122" s="365" t="s">
        <v>334</v>
      </c>
      <c r="B122" s="242"/>
      <c r="C122" s="242"/>
      <c r="D122" s="242"/>
      <c r="E122" s="242"/>
      <c r="F122" s="242"/>
      <c r="G122" s="242"/>
      <c r="H122" s="242"/>
      <c r="I122" s="242"/>
      <c r="J122" s="242"/>
      <c r="K122" s="242"/>
      <c r="L122" s="242"/>
      <c r="M122" s="242"/>
      <c r="N122" s="242"/>
      <c r="O122" s="242"/>
      <c r="P122" s="242"/>
      <c r="Q122" s="242"/>
      <c r="R122" s="242"/>
      <c r="S122" s="242"/>
      <c r="T122" s="242"/>
      <c r="U122" s="242"/>
      <c r="V122" s="242"/>
      <c r="W122" s="242"/>
      <c r="X122" s="242"/>
      <c r="Y122" s="242"/>
      <c r="Z122" s="242"/>
      <c r="AA122" s="242"/>
      <c r="AB122" s="242"/>
      <c r="AC122" s="242"/>
      <c r="AD122" s="242"/>
      <c r="AE122" s="242"/>
      <c r="AF122" s="242"/>
      <c r="AG122" s="242"/>
      <c r="AH122" s="242"/>
      <c r="AI122" s="242"/>
      <c r="AJ122" s="242"/>
      <c r="AK122" s="242"/>
      <c r="AL122" s="242"/>
      <c r="AM122" s="242"/>
      <c r="AN122" s="242"/>
      <c r="AO122" s="242"/>
    </row>
    <row r="123" outlineLevel="1">
      <c r="A123" s="367" t="s">
        <v>438</v>
      </c>
      <c r="B123" s="89">
        <f t="shared" ref="B123:AO123" si="32">1</f>
        <v>1</v>
      </c>
      <c r="C123" s="89">
        <f t="shared" si="32"/>
        <v>1</v>
      </c>
      <c r="D123" s="89">
        <f t="shared" si="32"/>
        <v>1</v>
      </c>
      <c r="E123" s="89">
        <f t="shared" si="32"/>
        <v>1</v>
      </c>
      <c r="F123" s="89">
        <f t="shared" si="32"/>
        <v>1</v>
      </c>
      <c r="G123" s="89">
        <f t="shared" si="32"/>
        <v>1</v>
      </c>
      <c r="H123" s="89">
        <f t="shared" si="32"/>
        <v>1</v>
      </c>
      <c r="I123" s="89">
        <f t="shared" si="32"/>
        <v>1</v>
      </c>
      <c r="J123" s="89">
        <f t="shared" si="32"/>
        <v>1</v>
      </c>
      <c r="K123" s="89">
        <f t="shared" si="32"/>
        <v>1</v>
      </c>
      <c r="L123" s="89">
        <f t="shared" si="32"/>
        <v>1</v>
      </c>
      <c r="M123" s="89">
        <f t="shared" si="32"/>
        <v>1</v>
      </c>
      <c r="N123" s="89">
        <f t="shared" si="32"/>
        <v>1</v>
      </c>
      <c r="O123" s="89">
        <f t="shared" si="32"/>
        <v>1</v>
      </c>
      <c r="P123" s="89">
        <f t="shared" si="32"/>
        <v>1</v>
      </c>
      <c r="Q123" s="89">
        <f t="shared" si="32"/>
        <v>1</v>
      </c>
      <c r="R123" s="89">
        <f t="shared" si="32"/>
        <v>1</v>
      </c>
      <c r="S123" s="89">
        <f t="shared" si="32"/>
        <v>1</v>
      </c>
      <c r="T123" s="89">
        <f t="shared" si="32"/>
        <v>1</v>
      </c>
      <c r="U123" s="89">
        <f t="shared" si="32"/>
        <v>1</v>
      </c>
      <c r="V123" s="89">
        <f t="shared" si="32"/>
        <v>1</v>
      </c>
      <c r="W123" s="89">
        <f t="shared" si="32"/>
        <v>1</v>
      </c>
      <c r="X123" s="89">
        <f t="shared" si="32"/>
        <v>1</v>
      </c>
      <c r="Y123" s="89">
        <f t="shared" si="32"/>
        <v>1</v>
      </c>
      <c r="Z123" s="89">
        <f t="shared" si="32"/>
        <v>1</v>
      </c>
      <c r="AA123" s="89">
        <f t="shared" si="32"/>
        <v>1</v>
      </c>
      <c r="AB123" s="89">
        <f t="shared" si="32"/>
        <v>1</v>
      </c>
      <c r="AC123" s="89">
        <f t="shared" si="32"/>
        <v>1</v>
      </c>
      <c r="AD123" s="89">
        <f t="shared" si="32"/>
        <v>1</v>
      </c>
      <c r="AE123" s="89">
        <f t="shared" si="32"/>
        <v>1</v>
      </c>
      <c r="AF123" s="89">
        <f t="shared" si="32"/>
        <v>1</v>
      </c>
      <c r="AG123" s="89">
        <f t="shared" si="32"/>
        <v>1</v>
      </c>
      <c r="AH123" s="89">
        <f t="shared" si="32"/>
        <v>1</v>
      </c>
      <c r="AI123" s="89">
        <f t="shared" si="32"/>
        <v>1</v>
      </c>
      <c r="AJ123" s="89">
        <f t="shared" si="32"/>
        <v>1</v>
      </c>
      <c r="AK123" s="89">
        <f t="shared" si="32"/>
        <v>1</v>
      </c>
      <c r="AL123" s="89">
        <f t="shared" si="32"/>
        <v>1</v>
      </c>
      <c r="AM123" s="89">
        <f t="shared" si="32"/>
        <v>1</v>
      </c>
      <c r="AN123" s="89">
        <f t="shared" si="32"/>
        <v>1</v>
      </c>
      <c r="AO123" s="89">
        <f t="shared" si="32"/>
        <v>1</v>
      </c>
    </row>
    <row r="124" outlineLevel="1">
      <c r="A124" s="142" t="s">
        <v>437</v>
      </c>
      <c r="B124" s="124">
        <v>1.0</v>
      </c>
      <c r="C124" s="124">
        <v>1.0</v>
      </c>
      <c r="D124" s="124">
        <v>1.0</v>
      </c>
      <c r="E124" s="124">
        <v>1.0</v>
      </c>
      <c r="F124" s="124">
        <v>1.0</v>
      </c>
      <c r="G124" s="124">
        <v>1.0</v>
      </c>
      <c r="H124" s="124">
        <v>1.0</v>
      </c>
      <c r="I124" s="124">
        <v>1.0</v>
      </c>
      <c r="J124" s="124">
        <v>1.0</v>
      </c>
      <c r="K124" s="124">
        <v>1.0</v>
      </c>
      <c r="L124" s="124">
        <v>1.0</v>
      </c>
      <c r="M124" s="124">
        <v>1.0</v>
      </c>
      <c r="N124" s="124">
        <v>1.0</v>
      </c>
      <c r="O124" s="124">
        <v>1.0</v>
      </c>
      <c r="P124" s="124">
        <v>1.0</v>
      </c>
      <c r="Q124" s="124">
        <v>1.0</v>
      </c>
      <c r="R124" s="124">
        <v>1.0</v>
      </c>
      <c r="S124" s="124">
        <v>1.0</v>
      </c>
      <c r="T124" s="124">
        <v>1.0</v>
      </c>
      <c r="U124" s="124">
        <v>1.0</v>
      </c>
      <c r="V124" s="124">
        <v>1.0</v>
      </c>
      <c r="W124" s="124">
        <v>1.0</v>
      </c>
      <c r="X124" s="124">
        <v>1.0</v>
      </c>
      <c r="Y124" s="124">
        <v>1.0</v>
      </c>
      <c r="Z124" s="124">
        <v>1.0</v>
      </c>
      <c r="AA124" s="124">
        <v>1.0</v>
      </c>
      <c r="AB124" s="124">
        <v>1.0</v>
      </c>
      <c r="AC124" s="124">
        <v>1.0</v>
      </c>
      <c r="AD124" s="124">
        <v>1.0</v>
      </c>
      <c r="AE124" s="124">
        <v>1.0</v>
      </c>
      <c r="AF124" s="124">
        <v>1.0</v>
      </c>
      <c r="AG124" s="124">
        <v>1.0</v>
      </c>
      <c r="AH124" s="124">
        <v>1.0</v>
      </c>
      <c r="AI124" s="124">
        <v>1.0</v>
      </c>
      <c r="AJ124" s="124">
        <v>1.0</v>
      </c>
      <c r="AK124" s="124">
        <v>1.0</v>
      </c>
      <c r="AL124" s="124">
        <v>1.0</v>
      </c>
      <c r="AM124" s="124">
        <v>1.0</v>
      </c>
      <c r="AN124" s="124">
        <v>1.0</v>
      </c>
      <c r="AO124" s="124">
        <v>1.0</v>
      </c>
    </row>
    <row r="125" outlineLevel="1">
      <c r="A125" s="367" t="s">
        <v>333</v>
      </c>
      <c r="B125" s="89">
        <f t="shared" ref="B125:AO125" si="33">B101/B107</f>
        <v>0</v>
      </c>
      <c r="C125" s="89">
        <f t="shared" si="33"/>
        <v>0</v>
      </c>
      <c r="D125" s="89">
        <f t="shared" si="33"/>
        <v>0</v>
      </c>
      <c r="E125" s="89">
        <f t="shared" si="33"/>
        <v>0</v>
      </c>
      <c r="F125" s="89">
        <f t="shared" si="33"/>
        <v>0</v>
      </c>
      <c r="G125" s="89">
        <f t="shared" si="33"/>
        <v>0</v>
      </c>
      <c r="H125" s="89">
        <f t="shared" si="33"/>
        <v>0</v>
      </c>
      <c r="I125" s="89">
        <f t="shared" si="33"/>
        <v>0</v>
      </c>
      <c r="J125" s="89">
        <f t="shared" si="33"/>
        <v>0</v>
      </c>
      <c r="K125" s="89">
        <f t="shared" si="33"/>
        <v>0</v>
      </c>
      <c r="L125" s="89">
        <f t="shared" si="33"/>
        <v>0</v>
      </c>
      <c r="M125" s="89">
        <f t="shared" si="33"/>
        <v>0</v>
      </c>
      <c r="N125" s="89">
        <f t="shared" si="33"/>
        <v>0</v>
      </c>
      <c r="O125" s="89">
        <f t="shared" si="33"/>
        <v>0</v>
      </c>
      <c r="P125" s="89">
        <f t="shared" si="33"/>
        <v>0</v>
      </c>
      <c r="Q125" s="89">
        <f t="shared" si="33"/>
        <v>0</v>
      </c>
      <c r="R125" s="89">
        <f t="shared" si="33"/>
        <v>0</v>
      </c>
      <c r="S125" s="89">
        <f t="shared" si="33"/>
        <v>0</v>
      </c>
      <c r="T125" s="89">
        <f t="shared" si="33"/>
        <v>0</v>
      </c>
      <c r="U125" s="89">
        <f t="shared" si="33"/>
        <v>0</v>
      </c>
      <c r="V125" s="89">
        <f t="shared" si="33"/>
        <v>0</v>
      </c>
      <c r="W125" s="89">
        <f t="shared" si="33"/>
        <v>0</v>
      </c>
      <c r="X125" s="89">
        <f t="shared" si="33"/>
        <v>0</v>
      </c>
      <c r="Y125" s="89">
        <f t="shared" si="33"/>
        <v>0</v>
      </c>
      <c r="Z125" s="89">
        <f t="shared" si="33"/>
        <v>0</v>
      </c>
      <c r="AA125" s="89">
        <f t="shared" si="33"/>
        <v>0</v>
      </c>
      <c r="AB125" s="89">
        <f t="shared" si="33"/>
        <v>0</v>
      </c>
      <c r="AC125" s="89">
        <f t="shared" si="33"/>
        <v>0</v>
      </c>
      <c r="AD125" s="89">
        <f t="shared" si="33"/>
        <v>0</v>
      </c>
      <c r="AE125" s="89">
        <f t="shared" si="33"/>
        <v>0</v>
      </c>
      <c r="AF125" s="89">
        <f t="shared" si="33"/>
        <v>0</v>
      </c>
      <c r="AG125" s="89">
        <f t="shared" si="33"/>
        <v>0</v>
      </c>
      <c r="AH125" s="89">
        <f t="shared" si="33"/>
        <v>0</v>
      </c>
      <c r="AI125" s="89">
        <f t="shared" si="33"/>
        <v>0</v>
      </c>
      <c r="AJ125" s="89">
        <f t="shared" si="33"/>
        <v>0</v>
      </c>
      <c r="AK125" s="89">
        <f t="shared" si="33"/>
        <v>0</v>
      </c>
      <c r="AL125" s="89">
        <f t="shared" si="33"/>
        <v>0</v>
      </c>
      <c r="AM125" s="89">
        <f t="shared" si="33"/>
        <v>0</v>
      </c>
      <c r="AN125" s="89">
        <f t="shared" si="33"/>
        <v>0</v>
      </c>
      <c r="AO125" s="89">
        <f t="shared" si="33"/>
        <v>0</v>
      </c>
    </row>
    <row r="126" outlineLevel="1">
      <c r="A126" s="367" t="s">
        <v>220</v>
      </c>
      <c r="B126" s="434">
        <v>0.0</v>
      </c>
      <c r="C126" s="434">
        <v>0.0</v>
      </c>
      <c r="D126" s="434">
        <v>0.0</v>
      </c>
      <c r="E126" s="434">
        <v>0.0</v>
      </c>
      <c r="F126" s="434">
        <v>0.0</v>
      </c>
      <c r="G126" s="434">
        <v>0.0</v>
      </c>
      <c r="H126" s="434">
        <v>0.0</v>
      </c>
      <c r="I126" s="434">
        <v>0.0</v>
      </c>
      <c r="J126" s="434">
        <v>0.0</v>
      </c>
      <c r="K126" s="434">
        <v>0.0</v>
      </c>
      <c r="L126" s="434">
        <v>0.0</v>
      </c>
      <c r="M126" s="434">
        <v>0.0</v>
      </c>
      <c r="N126" s="434">
        <v>0.0</v>
      </c>
      <c r="O126" s="434">
        <v>0.0</v>
      </c>
      <c r="P126" s="434">
        <v>0.0</v>
      </c>
      <c r="Q126" s="434">
        <v>0.0</v>
      </c>
      <c r="R126" s="434">
        <v>0.0</v>
      </c>
      <c r="S126" s="434">
        <v>0.0</v>
      </c>
      <c r="T126" s="434">
        <v>0.0</v>
      </c>
      <c r="U126" s="434">
        <v>0.0</v>
      </c>
      <c r="V126" s="434">
        <v>0.0</v>
      </c>
      <c r="W126" s="434">
        <v>0.0</v>
      </c>
      <c r="X126" s="434">
        <v>0.0</v>
      </c>
      <c r="Y126" s="434">
        <v>0.0</v>
      </c>
      <c r="Z126" s="434">
        <v>0.0</v>
      </c>
      <c r="AA126" s="434">
        <v>0.0</v>
      </c>
      <c r="AB126" s="434">
        <v>0.0</v>
      </c>
      <c r="AC126" s="434">
        <v>0.0</v>
      </c>
      <c r="AD126" s="434">
        <v>0.0</v>
      </c>
      <c r="AE126" s="434">
        <v>0.0</v>
      </c>
      <c r="AF126" s="434">
        <v>0.0</v>
      </c>
      <c r="AG126" s="434">
        <v>0.0</v>
      </c>
      <c r="AH126" s="434">
        <v>0.0</v>
      </c>
      <c r="AI126" s="434">
        <v>0.0</v>
      </c>
      <c r="AJ126" s="434">
        <v>0.0</v>
      </c>
      <c r="AK126" s="434">
        <v>0.0</v>
      </c>
      <c r="AL126" s="434">
        <v>0.0</v>
      </c>
      <c r="AM126" s="434">
        <v>0.0</v>
      </c>
      <c r="AN126" s="434">
        <v>0.0</v>
      </c>
      <c r="AO126" s="434">
        <v>0.0</v>
      </c>
    </row>
    <row r="127" outlineLevel="1">
      <c r="B127" s="242"/>
      <c r="C127" s="242"/>
      <c r="D127" s="242"/>
      <c r="E127" s="242"/>
      <c r="F127" s="242"/>
      <c r="G127" s="242"/>
      <c r="H127" s="242"/>
      <c r="I127" s="242"/>
      <c r="J127" s="242"/>
      <c r="K127" s="242"/>
      <c r="L127" s="242"/>
      <c r="M127" s="242"/>
      <c r="N127" s="242"/>
      <c r="O127" s="242"/>
      <c r="P127" s="242"/>
      <c r="Q127" s="242"/>
      <c r="R127" s="242"/>
      <c r="S127" s="242"/>
      <c r="T127" s="242"/>
      <c r="U127" s="242"/>
      <c r="V127" s="242"/>
      <c r="W127" s="242"/>
      <c r="X127" s="242"/>
      <c r="Y127" s="242"/>
      <c r="Z127" s="242"/>
      <c r="AA127" s="242"/>
      <c r="AB127" s="242"/>
      <c r="AC127" s="242"/>
      <c r="AD127" s="242"/>
      <c r="AE127" s="242"/>
      <c r="AF127" s="242"/>
      <c r="AG127" s="242"/>
      <c r="AH127" s="242"/>
      <c r="AI127" s="242"/>
      <c r="AJ127" s="242"/>
      <c r="AK127" s="242"/>
      <c r="AL127" s="242"/>
      <c r="AM127" s="242"/>
      <c r="AN127" s="242"/>
      <c r="AO127" s="242"/>
    </row>
    <row r="128" outlineLevel="1">
      <c r="A128" s="369" t="s">
        <v>439</v>
      </c>
      <c r="B128" s="242"/>
      <c r="C128" s="242"/>
      <c r="D128" s="242"/>
      <c r="E128" s="242"/>
      <c r="F128" s="242"/>
      <c r="G128" s="242"/>
      <c r="H128" s="242"/>
      <c r="I128" s="242"/>
      <c r="J128" s="242"/>
      <c r="K128" s="242"/>
      <c r="L128" s="242"/>
      <c r="M128" s="242"/>
      <c r="N128" s="242"/>
      <c r="O128" s="242"/>
      <c r="P128" s="242"/>
      <c r="Q128" s="242"/>
      <c r="R128" s="242"/>
      <c r="S128" s="242"/>
      <c r="T128" s="242"/>
      <c r="U128" s="242"/>
      <c r="V128" s="242"/>
      <c r="W128" s="242"/>
      <c r="X128" s="242"/>
      <c r="Y128" s="242"/>
      <c r="Z128" s="242"/>
      <c r="AA128" s="242"/>
      <c r="AB128" s="242"/>
      <c r="AC128" s="242"/>
      <c r="AD128" s="242"/>
      <c r="AE128" s="242"/>
      <c r="AF128" s="242"/>
      <c r="AG128" s="242"/>
      <c r="AH128" s="242"/>
      <c r="AI128" s="242"/>
      <c r="AJ128" s="242"/>
      <c r="AK128" s="242"/>
      <c r="AL128" s="242"/>
      <c r="AM128" s="242"/>
      <c r="AN128" s="242"/>
      <c r="AO128" s="242"/>
    </row>
    <row r="129" outlineLevel="1">
      <c r="A129" s="356" t="s">
        <v>438</v>
      </c>
    </row>
    <row r="130" outlineLevel="1">
      <c r="A130" s="356" t="s">
        <v>336</v>
      </c>
      <c r="B130" s="248">
        <f t="shared" ref="B130:AO130" si="34">B100</f>
        <v>100000</v>
      </c>
      <c r="C130" s="248">
        <f t="shared" si="34"/>
        <v>100000</v>
      </c>
      <c r="D130" s="248">
        <f t="shared" si="34"/>
        <v>100000</v>
      </c>
      <c r="E130" s="248">
        <f t="shared" si="34"/>
        <v>100000</v>
      </c>
      <c r="F130" s="248">
        <f t="shared" si="34"/>
        <v>100000</v>
      </c>
      <c r="G130" s="248">
        <f t="shared" si="34"/>
        <v>100000</v>
      </c>
      <c r="H130" s="248">
        <f t="shared" si="34"/>
        <v>100000</v>
      </c>
      <c r="I130" s="248">
        <f t="shared" si="34"/>
        <v>100000</v>
      </c>
      <c r="J130" s="248">
        <f t="shared" si="34"/>
        <v>100000</v>
      </c>
      <c r="K130" s="248">
        <f t="shared" si="34"/>
        <v>100000</v>
      </c>
      <c r="L130" s="248">
        <f t="shared" si="34"/>
        <v>100000</v>
      </c>
      <c r="M130" s="248">
        <f t="shared" si="34"/>
        <v>100000</v>
      </c>
      <c r="N130" s="248">
        <f t="shared" si="34"/>
        <v>100000</v>
      </c>
      <c r="O130" s="248">
        <f t="shared" si="34"/>
        <v>100000</v>
      </c>
      <c r="P130" s="248">
        <f t="shared" si="34"/>
        <v>100000</v>
      </c>
      <c r="Q130" s="248">
        <f t="shared" si="34"/>
        <v>100000</v>
      </c>
      <c r="R130" s="248">
        <f t="shared" si="34"/>
        <v>100000</v>
      </c>
      <c r="S130" s="248">
        <f t="shared" si="34"/>
        <v>100000</v>
      </c>
      <c r="T130" s="248">
        <f t="shared" si="34"/>
        <v>100000</v>
      </c>
      <c r="U130" s="248">
        <f t="shared" si="34"/>
        <v>100000</v>
      </c>
      <c r="V130" s="248">
        <f t="shared" si="34"/>
        <v>100000</v>
      </c>
      <c r="W130" s="248">
        <f t="shared" si="34"/>
        <v>100000</v>
      </c>
      <c r="X130" s="248">
        <f t="shared" si="34"/>
        <v>100000</v>
      </c>
      <c r="Y130" s="248">
        <f t="shared" si="34"/>
        <v>100000</v>
      </c>
      <c r="Z130" s="248">
        <f t="shared" si="34"/>
        <v>100000</v>
      </c>
      <c r="AA130" s="248">
        <f t="shared" si="34"/>
        <v>100000</v>
      </c>
      <c r="AB130" s="248">
        <f t="shared" si="34"/>
        <v>100000</v>
      </c>
      <c r="AC130" s="248">
        <f t="shared" si="34"/>
        <v>100000</v>
      </c>
      <c r="AD130" s="248">
        <f t="shared" si="34"/>
        <v>100000</v>
      </c>
      <c r="AE130" s="248">
        <f t="shared" si="34"/>
        <v>100000</v>
      </c>
      <c r="AF130" s="248">
        <f t="shared" si="34"/>
        <v>100000</v>
      </c>
      <c r="AG130" s="248">
        <f t="shared" si="34"/>
        <v>100000</v>
      </c>
      <c r="AH130" s="248">
        <f t="shared" si="34"/>
        <v>100000</v>
      </c>
      <c r="AI130" s="248">
        <f t="shared" si="34"/>
        <v>100000</v>
      </c>
      <c r="AJ130" s="248">
        <f t="shared" si="34"/>
        <v>100000</v>
      </c>
      <c r="AK130" s="248">
        <f t="shared" si="34"/>
        <v>100000</v>
      </c>
      <c r="AL130" s="248">
        <f t="shared" si="34"/>
        <v>100000</v>
      </c>
      <c r="AM130" s="248">
        <f t="shared" si="34"/>
        <v>100000</v>
      </c>
      <c r="AN130" s="248">
        <f t="shared" si="34"/>
        <v>100000</v>
      </c>
      <c r="AO130" s="248">
        <f t="shared" si="34"/>
        <v>100000</v>
      </c>
    </row>
    <row r="131" outlineLevel="1">
      <c r="A131" s="356" t="s">
        <v>337</v>
      </c>
      <c r="B131" s="100">
        <v>0.0</v>
      </c>
      <c r="C131" s="100">
        <v>0.0</v>
      </c>
      <c r="D131" s="100">
        <v>0.0</v>
      </c>
      <c r="E131" s="100">
        <v>0.0</v>
      </c>
      <c r="F131" s="100">
        <v>0.0</v>
      </c>
      <c r="G131" s="100">
        <v>0.0</v>
      </c>
      <c r="H131" s="100">
        <v>0.0</v>
      </c>
      <c r="I131" s="100">
        <v>0.0</v>
      </c>
      <c r="J131" s="100">
        <v>0.0</v>
      </c>
      <c r="K131" s="100">
        <v>0.0</v>
      </c>
      <c r="L131" s="100">
        <v>0.0</v>
      </c>
      <c r="M131" s="100">
        <v>0.0</v>
      </c>
      <c r="N131" s="100">
        <v>0.0</v>
      </c>
      <c r="O131" s="100">
        <v>0.0</v>
      </c>
      <c r="P131" s="100">
        <v>0.0</v>
      </c>
      <c r="Q131" s="100">
        <v>0.0</v>
      </c>
      <c r="R131" s="100">
        <v>0.0</v>
      </c>
      <c r="S131" s="100">
        <v>0.0</v>
      </c>
      <c r="T131" s="100">
        <v>0.0</v>
      </c>
      <c r="U131" s="100">
        <v>0.0</v>
      </c>
      <c r="V131" s="100">
        <v>0.0</v>
      </c>
      <c r="W131" s="100">
        <v>0.0</v>
      </c>
      <c r="X131" s="100">
        <v>0.0</v>
      </c>
      <c r="Y131" s="100">
        <v>0.0</v>
      </c>
      <c r="Z131" s="100">
        <v>0.0</v>
      </c>
      <c r="AA131" s="100">
        <v>0.0</v>
      </c>
      <c r="AB131" s="100">
        <v>0.0</v>
      </c>
      <c r="AC131" s="100">
        <v>0.0</v>
      </c>
      <c r="AD131" s="100">
        <v>0.0</v>
      </c>
      <c r="AE131" s="100">
        <v>0.0</v>
      </c>
      <c r="AF131" s="100">
        <v>0.0</v>
      </c>
      <c r="AG131" s="100">
        <v>0.0</v>
      </c>
      <c r="AH131" s="100">
        <v>0.0</v>
      </c>
      <c r="AI131" s="100">
        <v>0.0</v>
      </c>
      <c r="AJ131" s="100">
        <v>0.0</v>
      </c>
      <c r="AK131" s="100">
        <v>0.0</v>
      </c>
      <c r="AL131" s="100">
        <v>0.0</v>
      </c>
      <c r="AM131" s="100">
        <v>0.0</v>
      </c>
      <c r="AN131" s="100">
        <v>0.0</v>
      </c>
      <c r="AO131" s="100">
        <v>0.0</v>
      </c>
    </row>
    <row r="132" outlineLevel="1">
      <c r="A132" s="356" t="s">
        <v>338</v>
      </c>
      <c r="B132" s="100">
        <v>0.0</v>
      </c>
      <c r="C132" s="100">
        <v>0.0</v>
      </c>
      <c r="D132" s="100">
        <v>0.0</v>
      </c>
      <c r="E132" s="100">
        <v>0.0</v>
      </c>
      <c r="F132" s="100">
        <v>0.0</v>
      </c>
      <c r="G132" s="100">
        <v>0.0</v>
      </c>
      <c r="H132" s="100">
        <v>0.0</v>
      </c>
      <c r="I132" s="100">
        <v>0.0</v>
      </c>
      <c r="J132" s="100">
        <v>0.0</v>
      </c>
      <c r="K132" s="100">
        <v>0.0</v>
      </c>
      <c r="L132" s="100">
        <v>0.0</v>
      </c>
      <c r="M132" s="100">
        <v>0.0</v>
      </c>
      <c r="N132" s="100">
        <v>0.0</v>
      </c>
      <c r="O132" s="100">
        <v>0.0</v>
      </c>
      <c r="P132" s="100">
        <v>0.0</v>
      </c>
      <c r="Q132" s="100">
        <v>0.0</v>
      </c>
      <c r="R132" s="100">
        <v>0.0</v>
      </c>
      <c r="S132" s="100">
        <v>0.0</v>
      </c>
      <c r="T132" s="100">
        <v>0.0</v>
      </c>
      <c r="U132" s="100">
        <v>0.0</v>
      </c>
      <c r="V132" s="100">
        <v>0.0</v>
      </c>
      <c r="W132" s="100">
        <v>0.0</v>
      </c>
      <c r="X132" s="100">
        <v>0.0</v>
      </c>
      <c r="Y132" s="100">
        <v>0.0</v>
      </c>
      <c r="Z132" s="100">
        <v>0.0</v>
      </c>
      <c r="AA132" s="100">
        <v>0.0</v>
      </c>
      <c r="AB132" s="100">
        <v>0.0</v>
      </c>
      <c r="AC132" s="100">
        <v>0.0</v>
      </c>
      <c r="AD132" s="100">
        <v>0.0</v>
      </c>
      <c r="AE132" s="100">
        <v>0.0</v>
      </c>
      <c r="AF132" s="100">
        <v>0.0</v>
      </c>
      <c r="AG132" s="100">
        <v>0.0</v>
      </c>
      <c r="AH132" s="100">
        <v>0.0</v>
      </c>
      <c r="AI132" s="100">
        <v>0.0</v>
      </c>
      <c r="AJ132" s="100">
        <v>0.0</v>
      </c>
      <c r="AK132" s="100">
        <v>0.0</v>
      </c>
      <c r="AL132" s="100">
        <v>0.0</v>
      </c>
      <c r="AM132" s="100">
        <v>0.0</v>
      </c>
      <c r="AN132" s="100">
        <v>0.0</v>
      </c>
      <c r="AO132" s="100">
        <v>0.0</v>
      </c>
    </row>
    <row r="133" outlineLevel="1">
      <c r="A133" s="142" t="s">
        <v>440</v>
      </c>
      <c r="B133" s="370">
        <v>0.0</v>
      </c>
      <c r="C133" s="370">
        <v>0.0</v>
      </c>
      <c r="D133" s="370">
        <v>0.0</v>
      </c>
      <c r="E133" s="370">
        <v>0.0</v>
      </c>
      <c r="F133" s="370">
        <v>0.0</v>
      </c>
      <c r="G133" s="370">
        <v>0.0</v>
      </c>
      <c r="H133" s="370">
        <v>0.0</v>
      </c>
      <c r="I133" s="370">
        <v>0.0</v>
      </c>
      <c r="J133" s="370">
        <v>0.0</v>
      </c>
      <c r="K133" s="370">
        <v>0.0</v>
      </c>
      <c r="L133" s="370">
        <v>0.0</v>
      </c>
      <c r="M133" s="370">
        <v>0.0</v>
      </c>
      <c r="N133" s="370">
        <v>0.0</v>
      </c>
      <c r="O133" s="370">
        <v>0.0</v>
      </c>
      <c r="P133" s="370">
        <v>0.0</v>
      </c>
      <c r="Q133" s="370">
        <v>0.0</v>
      </c>
      <c r="R133" s="370">
        <v>0.0</v>
      </c>
      <c r="S133" s="370">
        <v>0.0</v>
      </c>
      <c r="T133" s="370">
        <v>0.0</v>
      </c>
      <c r="U133" s="370">
        <v>0.0</v>
      </c>
      <c r="V133" s="370">
        <v>0.0</v>
      </c>
      <c r="W133" s="370">
        <v>0.0</v>
      </c>
      <c r="X133" s="370">
        <v>0.0</v>
      </c>
      <c r="Y133" s="370">
        <v>0.0</v>
      </c>
      <c r="Z133" s="370">
        <v>0.0</v>
      </c>
      <c r="AA133" s="370">
        <v>0.0</v>
      </c>
      <c r="AB133" s="370">
        <v>0.0</v>
      </c>
      <c r="AC133" s="370">
        <v>0.0</v>
      </c>
      <c r="AD133" s="370">
        <v>0.0</v>
      </c>
      <c r="AE133" s="370">
        <v>0.0</v>
      </c>
      <c r="AF133" s="370">
        <v>0.0</v>
      </c>
      <c r="AG133" s="370">
        <v>0.0</v>
      </c>
      <c r="AH133" s="370">
        <v>0.0</v>
      </c>
      <c r="AI133" s="370">
        <v>0.0</v>
      </c>
      <c r="AJ133" s="370">
        <v>0.0</v>
      </c>
      <c r="AK133" s="370">
        <v>0.0</v>
      </c>
      <c r="AL133" s="370">
        <v>0.0</v>
      </c>
      <c r="AM133" s="370">
        <v>0.0</v>
      </c>
      <c r="AN133" s="370">
        <v>0.0</v>
      </c>
      <c r="AO133" s="370">
        <v>0.0</v>
      </c>
    </row>
    <row r="134" outlineLevel="1">
      <c r="A134" s="356"/>
      <c r="B134" s="166"/>
      <c r="C134" s="166"/>
      <c r="D134" s="166"/>
      <c r="E134" s="166"/>
      <c r="F134" s="166"/>
      <c r="G134" s="166"/>
      <c r="H134" s="166"/>
      <c r="I134" s="166"/>
      <c r="J134" s="166"/>
      <c r="K134" s="166"/>
      <c r="L134" s="166"/>
      <c r="M134" s="166"/>
      <c r="N134" s="166"/>
      <c r="O134" s="166"/>
      <c r="P134" s="166"/>
      <c r="Q134" s="166"/>
      <c r="R134" s="166"/>
      <c r="S134" s="166"/>
      <c r="T134" s="166"/>
      <c r="U134" s="166"/>
      <c r="V134" s="166"/>
      <c r="W134" s="166"/>
      <c r="X134" s="166"/>
      <c r="Y134" s="166"/>
      <c r="Z134" s="166"/>
      <c r="AA134" s="166"/>
      <c r="AB134" s="166"/>
      <c r="AC134" s="166"/>
      <c r="AD134" s="166"/>
      <c r="AE134" s="166"/>
      <c r="AF134" s="166"/>
      <c r="AG134" s="166"/>
      <c r="AH134" s="166"/>
      <c r="AI134" s="166"/>
      <c r="AJ134" s="166"/>
      <c r="AK134" s="166"/>
      <c r="AL134" s="166"/>
      <c r="AM134" s="166"/>
      <c r="AN134" s="166"/>
      <c r="AO134" s="166"/>
    </row>
    <row r="135" outlineLevel="1">
      <c r="A135" s="142" t="s">
        <v>437</v>
      </c>
      <c r="B135" s="84"/>
      <c r="C135" s="84"/>
      <c r="D135" s="84"/>
      <c r="E135" s="84"/>
      <c r="F135" s="84"/>
      <c r="G135" s="84"/>
      <c r="H135" s="84"/>
      <c r="I135" s="84"/>
      <c r="J135" s="84"/>
      <c r="K135" s="84"/>
      <c r="L135" s="84"/>
      <c r="M135" s="84"/>
      <c r="N135" s="84"/>
      <c r="O135" s="84"/>
      <c r="P135" s="84"/>
      <c r="Q135" s="84"/>
      <c r="R135" s="84"/>
      <c r="S135" s="84"/>
      <c r="T135" s="84"/>
      <c r="U135" s="84"/>
      <c r="V135" s="84"/>
      <c r="W135" s="84"/>
      <c r="X135" s="84"/>
      <c r="Y135" s="84"/>
      <c r="Z135" s="84"/>
      <c r="AA135" s="84"/>
      <c r="AB135" s="84"/>
      <c r="AC135" s="84"/>
      <c r="AD135" s="84"/>
      <c r="AE135" s="84"/>
      <c r="AF135" s="84"/>
      <c r="AG135" s="84"/>
      <c r="AH135" s="84"/>
      <c r="AI135" s="84"/>
      <c r="AJ135" s="84"/>
      <c r="AK135" s="84"/>
      <c r="AL135" s="84"/>
      <c r="AM135" s="84"/>
      <c r="AN135" s="84"/>
      <c r="AO135" s="84"/>
    </row>
    <row r="136" outlineLevel="1">
      <c r="A136" s="142" t="s">
        <v>336</v>
      </c>
      <c r="B136" s="370">
        <v>0.0</v>
      </c>
      <c r="C136" s="370">
        <v>0.0</v>
      </c>
      <c r="D136" s="370">
        <v>0.0</v>
      </c>
      <c r="E136" s="370">
        <v>0.0</v>
      </c>
      <c r="F136" s="370">
        <v>0.0</v>
      </c>
      <c r="G136" s="370">
        <v>0.0</v>
      </c>
      <c r="H136" s="370">
        <v>0.0</v>
      </c>
      <c r="I136" s="370">
        <v>0.0</v>
      </c>
      <c r="J136" s="370">
        <v>0.0</v>
      </c>
      <c r="K136" s="370">
        <v>0.0</v>
      </c>
      <c r="L136" s="370">
        <v>0.0</v>
      </c>
      <c r="M136" s="370">
        <v>0.0</v>
      </c>
      <c r="N136" s="370">
        <v>0.0</v>
      </c>
      <c r="O136" s="370">
        <v>0.0</v>
      </c>
      <c r="P136" s="370">
        <v>0.0</v>
      </c>
      <c r="Q136" s="370">
        <v>0.0</v>
      </c>
      <c r="R136" s="370">
        <v>0.0</v>
      </c>
      <c r="S136" s="370">
        <v>0.0</v>
      </c>
      <c r="T136" s="370">
        <v>0.0</v>
      </c>
      <c r="U136" s="370">
        <v>0.0</v>
      </c>
      <c r="V136" s="370">
        <v>0.0</v>
      </c>
      <c r="W136" s="370">
        <v>0.0</v>
      </c>
      <c r="X136" s="370">
        <v>0.0</v>
      </c>
      <c r="Y136" s="370">
        <v>0.0</v>
      </c>
      <c r="Z136" s="370">
        <v>0.0</v>
      </c>
      <c r="AA136" s="370">
        <v>0.0</v>
      </c>
      <c r="AB136" s="370">
        <v>0.0</v>
      </c>
      <c r="AC136" s="370">
        <v>0.0</v>
      </c>
      <c r="AD136" s="370">
        <v>0.0</v>
      </c>
      <c r="AE136" s="370">
        <v>0.0</v>
      </c>
      <c r="AF136" s="370">
        <v>0.0</v>
      </c>
      <c r="AG136" s="370">
        <v>0.0</v>
      </c>
      <c r="AH136" s="370">
        <v>0.0</v>
      </c>
      <c r="AI136" s="370">
        <v>0.0</v>
      </c>
      <c r="AJ136" s="370">
        <v>0.0</v>
      </c>
      <c r="AK136" s="370">
        <v>0.0</v>
      </c>
      <c r="AL136" s="370">
        <v>0.0</v>
      </c>
      <c r="AM136" s="370">
        <v>0.0</v>
      </c>
      <c r="AN136" s="370">
        <v>0.0</v>
      </c>
      <c r="AO136" s="370">
        <v>0.0</v>
      </c>
    </row>
    <row r="137" outlineLevel="1">
      <c r="A137" s="142" t="s">
        <v>337</v>
      </c>
      <c r="B137" s="370">
        <v>0.0</v>
      </c>
      <c r="C137" s="370">
        <v>0.0</v>
      </c>
      <c r="D137" s="370">
        <v>0.0</v>
      </c>
      <c r="E137" s="370">
        <v>0.0</v>
      </c>
      <c r="F137" s="370">
        <v>0.0</v>
      </c>
      <c r="G137" s="370">
        <v>0.0</v>
      </c>
      <c r="H137" s="370">
        <v>0.0</v>
      </c>
      <c r="I137" s="370">
        <v>0.0</v>
      </c>
      <c r="J137" s="370">
        <v>0.0</v>
      </c>
      <c r="K137" s="370">
        <v>0.0</v>
      </c>
      <c r="L137" s="370">
        <v>0.0</v>
      </c>
      <c r="M137" s="370">
        <v>0.0</v>
      </c>
      <c r="N137" s="370">
        <v>0.0</v>
      </c>
      <c r="O137" s="370">
        <v>0.0</v>
      </c>
      <c r="P137" s="370">
        <v>0.0</v>
      </c>
      <c r="Q137" s="370">
        <v>0.0</v>
      </c>
      <c r="R137" s="370">
        <v>0.0</v>
      </c>
      <c r="S137" s="370">
        <v>0.0</v>
      </c>
      <c r="T137" s="370">
        <v>0.0</v>
      </c>
      <c r="U137" s="370">
        <v>0.0</v>
      </c>
      <c r="V137" s="370">
        <v>0.0</v>
      </c>
      <c r="W137" s="370">
        <v>0.0</v>
      </c>
      <c r="X137" s="370">
        <v>0.0</v>
      </c>
      <c r="Y137" s="370">
        <v>0.0</v>
      </c>
      <c r="Z137" s="370">
        <v>0.0</v>
      </c>
      <c r="AA137" s="370">
        <v>0.0</v>
      </c>
      <c r="AB137" s="370">
        <v>0.0</v>
      </c>
      <c r="AC137" s="370">
        <v>0.0</v>
      </c>
      <c r="AD137" s="370">
        <v>0.0</v>
      </c>
      <c r="AE137" s="370">
        <v>0.0</v>
      </c>
      <c r="AF137" s="370">
        <v>0.0</v>
      </c>
      <c r="AG137" s="370">
        <v>0.0</v>
      </c>
      <c r="AH137" s="370">
        <v>0.0</v>
      </c>
      <c r="AI137" s="370">
        <v>0.0</v>
      </c>
      <c r="AJ137" s="370">
        <v>0.0</v>
      </c>
      <c r="AK137" s="370">
        <v>0.0</v>
      </c>
      <c r="AL137" s="370">
        <v>0.0</v>
      </c>
      <c r="AM137" s="370">
        <v>0.0</v>
      </c>
      <c r="AN137" s="370">
        <v>0.0</v>
      </c>
      <c r="AO137" s="370">
        <v>0.0</v>
      </c>
    </row>
    <row r="138" outlineLevel="1">
      <c r="A138" s="142" t="s">
        <v>338</v>
      </c>
      <c r="B138" s="370">
        <v>0.0</v>
      </c>
      <c r="C138" s="370">
        <v>0.0</v>
      </c>
      <c r="D138" s="370">
        <v>0.0</v>
      </c>
      <c r="E138" s="370">
        <v>0.0</v>
      </c>
      <c r="F138" s="370">
        <v>0.0</v>
      </c>
      <c r="G138" s="370">
        <v>0.0</v>
      </c>
      <c r="H138" s="370">
        <v>0.0</v>
      </c>
      <c r="I138" s="370">
        <v>0.0</v>
      </c>
      <c r="J138" s="370">
        <v>0.0</v>
      </c>
      <c r="K138" s="370">
        <v>0.0</v>
      </c>
      <c r="L138" s="370">
        <v>0.0</v>
      </c>
      <c r="M138" s="370">
        <v>0.0</v>
      </c>
      <c r="N138" s="370">
        <v>0.0</v>
      </c>
      <c r="O138" s="370">
        <v>0.0</v>
      </c>
      <c r="P138" s="370">
        <v>0.0</v>
      </c>
      <c r="Q138" s="370">
        <v>0.0</v>
      </c>
      <c r="R138" s="370">
        <v>0.0</v>
      </c>
      <c r="S138" s="370">
        <v>0.0</v>
      </c>
      <c r="T138" s="370">
        <v>0.0</v>
      </c>
      <c r="U138" s="370">
        <v>0.0</v>
      </c>
      <c r="V138" s="370">
        <v>0.0</v>
      </c>
      <c r="W138" s="370">
        <v>0.0</v>
      </c>
      <c r="X138" s="370">
        <v>0.0</v>
      </c>
      <c r="Y138" s="370">
        <v>0.0</v>
      </c>
      <c r="Z138" s="370">
        <v>0.0</v>
      </c>
      <c r="AA138" s="370">
        <v>0.0</v>
      </c>
      <c r="AB138" s="370">
        <v>0.0</v>
      </c>
      <c r="AC138" s="370">
        <v>0.0</v>
      </c>
      <c r="AD138" s="370">
        <v>0.0</v>
      </c>
      <c r="AE138" s="370">
        <v>0.0</v>
      </c>
      <c r="AF138" s="370">
        <v>0.0</v>
      </c>
      <c r="AG138" s="370">
        <v>0.0</v>
      </c>
      <c r="AH138" s="370">
        <v>0.0</v>
      </c>
      <c r="AI138" s="370">
        <v>0.0</v>
      </c>
      <c r="AJ138" s="370">
        <v>0.0</v>
      </c>
      <c r="AK138" s="370">
        <v>0.0</v>
      </c>
      <c r="AL138" s="370">
        <v>0.0</v>
      </c>
      <c r="AM138" s="370">
        <v>0.0</v>
      </c>
      <c r="AN138" s="370">
        <v>0.0</v>
      </c>
      <c r="AO138" s="370">
        <v>0.0</v>
      </c>
    </row>
    <row r="139" outlineLevel="1">
      <c r="A139" s="142" t="s">
        <v>440</v>
      </c>
      <c r="B139" s="248">
        <f t="shared" ref="B139:AO139" si="35">B100</f>
        <v>100000</v>
      </c>
      <c r="C139" s="248">
        <f t="shared" si="35"/>
        <v>100000</v>
      </c>
      <c r="D139" s="248">
        <f t="shared" si="35"/>
        <v>100000</v>
      </c>
      <c r="E139" s="248">
        <f t="shared" si="35"/>
        <v>100000</v>
      </c>
      <c r="F139" s="248">
        <f t="shared" si="35"/>
        <v>100000</v>
      </c>
      <c r="G139" s="248">
        <f t="shared" si="35"/>
        <v>100000</v>
      </c>
      <c r="H139" s="248">
        <f t="shared" si="35"/>
        <v>100000</v>
      </c>
      <c r="I139" s="248">
        <f t="shared" si="35"/>
        <v>100000</v>
      </c>
      <c r="J139" s="248">
        <f t="shared" si="35"/>
        <v>100000</v>
      </c>
      <c r="K139" s="248">
        <f t="shared" si="35"/>
        <v>100000</v>
      </c>
      <c r="L139" s="248">
        <f t="shared" si="35"/>
        <v>100000</v>
      </c>
      <c r="M139" s="248">
        <f t="shared" si="35"/>
        <v>100000</v>
      </c>
      <c r="N139" s="248">
        <f t="shared" si="35"/>
        <v>100000</v>
      </c>
      <c r="O139" s="248">
        <f t="shared" si="35"/>
        <v>100000</v>
      </c>
      <c r="P139" s="248">
        <f t="shared" si="35"/>
        <v>100000</v>
      </c>
      <c r="Q139" s="248">
        <f t="shared" si="35"/>
        <v>100000</v>
      </c>
      <c r="R139" s="248">
        <f t="shared" si="35"/>
        <v>100000</v>
      </c>
      <c r="S139" s="248">
        <f t="shared" si="35"/>
        <v>100000</v>
      </c>
      <c r="T139" s="248">
        <f t="shared" si="35"/>
        <v>100000</v>
      </c>
      <c r="U139" s="248">
        <f t="shared" si="35"/>
        <v>100000</v>
      </c>
      <c r="V139" s="248">
        <f t="shared" si="35"/>
        <v>100000</v>
      </c>
      <c r="W139" s="248">
        <f t="shared" si="35"/>
        <v>100000</v>
      </c>
      <c r="X139" s="248">
        <f t="shared" si="35"/>
        <v>100000</v>
      </c>
      <c r="Y139" s="248">
        <f t="shared" si="35"/>
        <v>100000</v>
      </c>
      <c r="Z139" s="248">
        <f t="shared" si="35"/>
        <v>100000</v>
      </c>
      <c r="AA139" s="248">
        <f t="shared" si="35"/>
        <v>100000</v>
      </c>
      <c r="AB139" s="248">
        <f t="shared" si="35"/>
        <v>100000</v>
      </c>
      <c r="AC139" s="248">
        <f t="shared" si="35"/>
        <v>100000</v>
      </c>
      <c r="AD139" s="248">
        <f t="shared" si="35"/>
        <v>100000</v>
      </c>
      <c r="AE139" s="248">
        <f t="shared" si="35"/>
        <v>100000</v>
      </c>
      <c r="AF139" s="248">
        <f t="shared" si="35"/>
        <v>100000</v>
      </c>
      <c r="AG139" s="248">
        <f t="shared" si="35"/>
        <v>100000</v>
      </c>
      <c r="AH139" s="248">
        <f t="shared" si="35"/>
        <v>100000</v>
      </c>
      <c r="AI139" s="248">
        <f t="shared" si="35"/>
        <v>100000</v>
      </c>
      <c r="AJ139" s="248">
        <f t="shared" si="35"/>
        <v>100000</v>
      </c>
      <c r="AK139" s="248">
        <f t="shared" si="35"/>
        <v>100000</v>
      </c>
      <c r="AL139" s="248">
        <f t="shared" si="35"/>
        <v>100000</v>
      </c>
      <c r="AM139" s="248">
        <f t="shared" si="35"/>
        <v>100000</v>
      </c>
      <c r="AN139" s="248">
        <f t="shared" si="35"/>
        <v>100000</v>
      </c>
      <c r="AO139" s="248">
        <f t="shared" si="35"/>
        <v>100000</v>
      </c>
    </row>
    <row r="140" outlineLevel="1">
      <c r="A140" s="356"/>
      <c r="B140" s="146"/>
      <c r="C140" s="146"/>
      <c r="D140" s="146"/>
      <c r="E140" s="146"/>
      <c r="F140" s="146"/>
      <c r="G140" s="146"/>
      <c r="H140" s="146"/>
      <c r="I140" s="146"/>
      <c r="J140" s="146"/>
      <c r="K140" s="146"/>
      <c r="L140" s="146"/>
      <c r="M140" s="146"/>
      <c r="N140" s="146"/>
      <c r="O140" s="146"/>
      <c r="P140" s="146"/>
      <c r="Q140" s="146"/>
      <c r="R140" s="146"/>
      <c r="S140" s="146"/>
      <c r="T140" s="146"/>
      <c r="U140" s="146"/>
      <c r="V140" s="146"/>
      <c r="W140" s="146"/>
      <c r="X140" s="146"/>
      <c r="Y140" s="146"/>
      <c r="Z140" s="146"/>
      <c r="AA140" s="146"/>
      <c r="AB140" s="146"/>
      <c r="AC140" s="146"/>
      <c r="AD140" s="146"/>
      <c r="AE140" s="146"/>
      <c r="AF140" s="146"/>
      <c r="AG140" s="146"/>
      <c r="AH140" s="146"/>
      <c r="AI140" s="146"/>
      <c r="AJ140" s="146"/>
      <c r="AK140" s="146"/>
      <c r="AL140" s="146"/>
      <c r="AM140" s="146"/>
      <c r="AN140" s="146"/>
      <c r="AO140" s="146"/>
    </row>
    <row r="141" outlineLevel="1">
      <c r="A141" s="356" t="s">
        <v>333</v>
      </c>
      <c r="B141" s="146"/>
      <c r="C141" s="146"/>
      <c r="D141" s="146"/>
      <c r="E141" s="146"/>
      <c r="F141" s="146"/>
      <c r="G141" s="146"/>
      <c r="H141" s="146"/>
      <c r="I141" s="146"/>
      <c r="J141" s="146"/>
      <c r="K141" s="146"/>
      <c r="L141" s="146"/>
      <c r="M141" s="146"/>
      <c r="N141" s="146"/>
      <c r="O141" s="146"/>
      <c r="P141" s="146"/>
      <c r="Q141" s="146"/>
      <c r="R141" s="146"/>
      <c r="S141" s="146"/>
      <c r="T141" s="146"/>
      <c r="U141" s="146"/>
      <c r="V141" s="146"/>
      <c r="W141" s="146"/>
      <c r="X141" s="146"/>
      <c r="Y141" s="146"/>
      <c r="Z141" s="146"/>
      <c r="AA141" s="146"/>
      <c r="AB141" s="146"/>
      <c r="AC141" s="146"/>
      <c r="AD141" s="146"/>
      <c r="AE141" s="146"/>
      <c r="AF141" s="146"/>
      <c r="AG141" s="146"/>
      <c r="AH141" s="146"/>
      <c r="AI141" s="146"/>
      <c r="AJ141" s="146"/>
      <c r="AK141" s="146"/>
      <c r="AL141" s="146"/>
      <c r="AM141" s="146"/>
      <c r="AN141" s="146"/>
      <c r="AO141" s="146"/>
    </row>
    <row r="142" outlineLevel="1">
      <c r="A142" s="142" t="s">
        <v>336</v>
      </c>
      <c r="B142" s="100">
        <v>0.0</v>
      </c>
      <c r="C142" s="100">
        <v>0.0</v>
      </c>
      <c r="D142" s="100">
        <v>0.0</v>
      </c>
      <c r="E142" s="100">
        <v>0.0</v>
      </c>
      <c r="F142" s="100">
        <v>0.0</v>
      </c>
      <c r="G142" s="100">
        <v>0.0</v>
      </c>
      <c r="H142" s="100">
        <v>0.0</v>
      </c>
      <c r="I142" s="100">
        <v>0.0</v>
      </c>
      <c r="J142" s="100">
        <v>0.0</v>
      </c>
      <c r="K142" s="100">
        <v>0.0</v>
      </c>
      <c r="L142" s="100">
        <v>0.0</v>
      </c>
      <c r="M142" s="100">
        <v>0.0</v>
      </c>
      <c r="N142" s="100">
        <v>0.0</v>
      </c>
      <c r="O142" s="100">
        <v>0.0</v>
      </c>
      <c r="P142" s="100">
        <v>0.0</v>
      </c>
      <c r="Q142" s="100">
        <v>0.0</v>
      </c>
      <c r="R142" s="100">
        <v>0.0</v>
      </c>
      <c r="S142" s="100">
        <v>0.0</v>
      </c>
      <c r="T142" s="100">
        <v>0.0</v>
      </c>
      <c r="U142" s="100">
        <v>0.0</v>
      </c>
      <c r="V142" s="100">
        <v>0.0</v>
      </c>
      <c r="W142" s="100">
        <v>0.0</v>
      </c>
      <c r="X142" s="100">
        <v>0.0</v>
      </c>
      <c r="Y142" s="100">
        <v>0.0</v>
      </c>
      <c r="Z142" s="100">
        <v>0.0</v>
      </c>
      <c r="AA142" s="100">
        <v>0.0</v>
      </c>
      <c r="AB142" s="100">
        <v>0.0</v>
      </c>
      <c r="AC142" s="100">
        <v>0.0</v>
      </c>
      <c r="AD142" s="100">
        <v>0.0</v>
      </c>
      <c r="AE142" s="100">
        <v>0.0</v>
      </c>
      <c r="AF142" s="100">
        <v>0.0</v>
      </c>
      <c r="AG142" s="100">
        <v>0.0</v>
      </c>
      <c r="AH142" s="100">
        <v>0.0</v>
      </c>
      <c r="AI142" s="100">
        <v>0.0</v>
      </c>
      <c r="AJ142" s="100">
        <v>0.0</v>
      </c>
      <c r="AK142" s="100">
        <v>0.0</v>
      </c>
      <c r="AL142" s="100">
        <v>0.0</v>
      </c>
      <c r="AM142" s="100">
        <v>0.0</v>
      </c>
      <c r="AN142" s="100">
        <v>0.0</v>
      </c>
      <c r="AO142" s="100">
        <v>0.0</v>
      </c>
    </row>
    <row r="143" outlineLevel="1">
      <c r="A143" s="356" t="s">
        <v>337</v>
      </c>
      <c r="B143" s="248">
        <f t="shared" ref="B143:AO143" si="36">(B102-B125*B102)*-1</f>
        <v>-50136.33741</v>
      </c>
      <c r="C143" s="248">
        <f t="shared" si="36"/>
        <v>-69974.24015</v>
      </c>
      <c r="D143" s="248">
        <f t="shared" si="36"/>
        <v>-57889.62224</v>
      </c>
      <c r="E143" s="248">
        <f t="shared" si="36"/>
        <v>-66502.75953</v>
      </c>
      <c r="F143" s="248">
        <f t="shared" si="36"/>
        <v>-66502.75953</v>
      </c>
      <c r="G143" s="248">
        <f t="shared" si="36"/>
        <v>-66502.75953</v>
      </c>
      <c r="H143" s="248">
        <f t="shared" si="36"/>
        <v>-66502.75953</v>
      </c>
      <c r="I143" s="248">
        <f t="shared" si="36"/>
        <v>-66502.75953</v>
      </c>
      <c r="J143" s="248">
        <f t="shared" si="36"/>
        <v>-66502.75953</v>
      </c>
      <c r="K143" s="248">
        <f t="shared" si="36"/>
        <v>-66502.75953</v>
      </c>
      <c r="L143" s="248">
        <f t="shared" si="36"/>
        <v>-66502.75953</v>
      </c>
      <c r="M143" s="248">
        <f t="shared" si="36"/>
        <v>-66502.75953</v>
      </c>
      <c r="N143" s="248">
        <f t="shared" si="36"/>
        <v>-66502.75953</v>
      </c>
      <c r="O143" s="248">
        <f t="shared" si="36"/>
        <v>-66502.75953</v>
      </c>
      <c r="P143" s="248">
        <f t="shared" si="36"/>
        <v>-66502.75953</v>
      </c>
      <c r="Q143" s="248">
        <f t="shared" si="36"/>
        <v>-66502.75953</v>
      </c>
      <c r="R143" s="248">
        <f t="shared" si="36"/>
        <v>-66502.75953</v>
      </c>
      <c r="S143" s="248">
        <f t="shared" si="36"/>
        <v>-66502.75953</v>
      </c>
      <c r="T143" s="248">
        <f t="shared" si="36"/>
        <v>-66502.75953</v>
      </c>
      <c r="U143" s="248">
        <f t="shared" si="36"/>
        <v>-64252.48657</v>
      </c>
      <c r="V143" s="248">
        <f t="shared" si="36"/>
        <v>-64252.48657</v>
      </c>
      <c r="W143" s="248">
        <f t="shared" si="36"/>
        <v>-64252.48657</v>
      </c>
      <c r="X143" s="248">
        <f t="shared" si="36"/>
        <v>-64252.48657</v>
      </c>
      <c r="Y143" s="248">
        <f t="shared" si="36"/>
        <v>-64252.48657</v>
      </c>
      <c r="Z143" s="248">
        <f t="shared" si="36"/>
        <v>-64252.48657</v>
      </c>
      <c r="AA143" s="248">
        <f t="shared" si="36"/>
        <v>-64252.48657</v>
      </c>
      <c r="AB143" s="248">
        <f t="shared" si="36"/>
        <v>-75578.23014</v>
      </c>
      <c r="AC143" s="248">
        <f t="shared" si="36"/>
        <v>-88334.51456</v>
      </c>
      <c r="AD143" s="248">
        <f t="shared" si="36"/>
        <v>-88334.51456</v>
      </c>
      <c r="AE143" s="248">
        <f t="shared" si="36"/>
        <v>-88334.51456</v>
      </c>
      <c r="AF143" s="248">
        <f t="shared" si="36"/>
        <v>-88334.51456</v>
      </c>
      <c r="AG143" s="248">
        <f t="shared" si="36"/>
        <v>-74618.49429</v>
      </c>
      <c r="AH143" s="248">
        <f t="shared" si="36"/>
        <v>-65540.6635</v>
      </c>
      <c r="AI143" s="248">
        <f t="shared" si="36"/>
        <v>-70461.65301</v>
      </c>
      <c r="AJ143" s="248">
        <f t="shared" si="36"/>
        <v>-70461.65301</v>
      </c>
      <c r="AK143" s="248">
        <f t="shared" si="36"/>
        <v>-70461.65301</v>
      </c>
      <c r="AL143" s="248">
        <f t="shared" si="36"/>
        <v>-70461.65301</v>
      </c>
      <c r="AM143" s="248">
        <f t="shared" si="36"/>
        <v>-70461.65301</v>
      </c>
      <c r="AN143" s="248">
        <f t="shared" si="36"/>
        <v>-70461.65301</v>
      </c>
      <c r="AO143" s="248">
        <f t="shared" si="36"/>
        <v>-45110.84185</v>
      </c>
    </row>
    <row r="144" outlineLevel="1">
      <c r="A144" s="142" t="s">
        <v>338</v>
      </c>
      <c r="B144" s="248">
        <f t="shared" ref="B144:AO144" si="37">(B103-B103*B125)*-1</f>
        <v>-16984.7873</v>
      </c>
      <c r="C144" s="248">
        <f t="shared" si="37"/>
        <v>-63273.22702</v>
      </c>
      <c r="D144" s="248">
        <f t="shared" si="37"/>
        <v>-35075.78523</v>
      </c>
      <c r="E144" s="248">
        <f t="shared" si="37"/>
        <v>-55173.10557</v>
      </c>
      <c r="F144" s="248">
        <f t="shared" si="37"/>
        <v>-55173.10557</v>
      </c>
      <c r="G144" s="248">
        <f t="shared" si="37"/>
        <v>-55173.10557</v>
      </c>
      <c r="H144" s="248">
        <f t="shared" si="37"/>
        <v>-55173.10557</v>
      </c>
      <c r="I144" s="248">
        <f t="shared" si="37"/>
        <v>-55173.10557</v>
      </c>
      <c r="J144" s="248">
        <f t="shared" si="37"/>
        <v>-55173.10557</v>
      </c>
      <c r="K144" s="248">
        <f t="shared" si="37"/>
        <v>-55173.10557</v>
      </c>
      <c r="L144" s="248">
        <f t="shared" si="37"/>
        <v>-55173.10557</v>
      </c>
      <c r="M144" s="248">
        <f t="shared" si="37"/>
        <v>-55173.10557</v>
      </c>
      <c r="N144" s="248">
        <f t="shared" si="37"/>
        <v>-55173.10557</v>
      </c>
      <c r="O144" s="248">
        <f t="shared" si="37"/>
        <v>-55173.10557</v>
      </c>
      <c r="P144" s="248">
        <f t="shared" si="37"/>
        <v>-55173.10557</v>
      </c>
      <c r="Q144" s="248">
        <f t="shared" si="37"/>
        <v>-55173.10557</v>
      </c>
      <c r="R144" s="248">
        <f t="shared" si="37"/>
        <v>-55173.10557</v>
      </c>
      <c r="S144" s="248">
        <f t="shared" si="37"/>
        <v>-55173.10557</v>
      </c>
      <c r="T144" s="248">
        <f t="shared" si="37"/>
        <v>-55173.10557</v>
      </c>
      <c r="U144" s="248">
        <f t="shared" si="37"/>
        <v>-49922.46867</v>
      </c>
      <c r="V144" s="248">
        <f t="shared" si="37"/>
        <v>-49922.46867</v>
      </c>
      <c r="W144" s="248">
        <f t="shared" si="37"/>
        <v>-49922.46867</v>
      </c>
      <c r="X144" s="248">
        <f t="shared" si="37"/>
        <v>-49922.46867</v>
      </c>
      <c r="Y144" s="248">
        <f t="shared" si="37"/>
        <v>-49922.46867</v>
      </c>
      <c r="Z144" s="248">
        <f t="shared" si="37"/>
        <v>-49922.46867</v>
      </c>
      <c r="AA144" s="248">
        <f t="shared" si="37"/>
        <v>-49922.46867</v>
      </c>
      <c r="AB144" s="248">
        <f t="shared" si="37"/>
        <v>-76349.20367</v>
      </c>
      <c r="AC144" s="248">
        <f t="shared" si="37"/>
        <v>-106113.8673</v>
      </c>
      <c r="AD144" s="248">
        <f t="shared" si="37"/>
        <v>-106113.8673</v>
      </c>
      <c r="AE144" s="248">
        <f t="shared" si="37"/>
        <v>-106113.8673</v>
      </c>
      <c r="AF144" s="248">
        <f t="shared" si="37"/>
        <v>-106113.8673</v>
      </c>
      <c r="AG144" s="248">
        <f t="shared" si="37"/>
        <v>-74109.82002</v>
      </c>
      <c r="AH144" s="248">
        <f t="shared" si="37"/>
        <v>-52928.21484</v>
      </c>
      <c r="AI144" s="248">
        <f t="shared" si="37"/>
        <v>-64410.52368</v>
      </c>
      <c r="AJ144" s="248">
        <f t="shared" si="37"/>
        <v>-64410.52368</v>
      </c>
      <c r="AK144" s="248">
        <f t="shared" si="37"/>
        <v>-64410.52368</v>
      </c>
      <c r="AL144" s="248">
        <f t="shared" si="37"/>
        <v>-64410.52368</v>
      </c>
      <c r="AM144" s="248">
        <f t="shared" si="37"/>
        <v>-64410.52368</v>
      </c>
      <c r="AN144" s="248">
        <f t="shared" si="37"/>
        <v>-64410.52368</v>
      </c>
      <c r="AO144" s="248">
        <f t="shared" si="37"/>
        <v>-5258.630982</v>
      </c>
    </row>
    <row r="145" outlineLevel="1">
      <c r="A145" s="142" t="s">
        <v>440</v>
      </c>
      <c r="B145" s="370">
        <v>0.0</v>
      </c>
      <c r="C145" s="370">
        <v>0.0</v>
      </c>
      <c r="D145" s="370">
        <v>0.0</v>
      </c>
      <c r="E145" s="370">
        <v>0.0</v>
      </c>
      <c r="F145" s="370">
        <v>0.0</v>
      </c>
      <c r="G145" s="370">
        <v>0.0</v>
      </c>
      <c r="H145" s="370">
        <v>0.0</v>
      </c>
      <c r="I145" s="370">
        <v>0.0</v>
      </c>
      <c r="J145" s="370">
        <v>0.0</v>
      </c>
      <c r="K145" s="370">
        <v>0.0</v>
      </c>
      <c r="L145" s="370">
        <v>0.0</v>
      </c>
      <c r="M145" s="370">
        <v>0.0</v>
      </c>
      <c r="N145" s="370">
        <v>0.0</v>
      </c>
      <c r="O145" s="370">
        <v>0.0</v>
      </c>
      <c r="P145" s="370">
        <v>0.0</v>
      </c>
      <c r="Q145" s="370">
        <v>0.0</v>
      </c>
      <c r="R145" s="370">
        <v>0.0</v>
      </c>
      <c r="S145" s="370">
        <v>0.0</v>
      </c>
      <c r="T145" s="370">
        <v>0.0</v>
      </c>
      <c r="U145" s="370">
        <v>0.0</v>
      </c>
      <c r="V145" s="370">
        <v>0.0</v>
      </c>
      <c r="W145" s="370">
        <v>0.0</v>
      </c>
      <c r="X145" s="370">
        <v>0.0</v>
      </c>
      <c r="Y145" s="370">
        <v>0.0</v>
      </c>
      <c r="Z145" s="370">
        <v>0.0</v>
      </c>
      <c r="AA145" s="370">
        <v>0.0</v>
      </c>
      <c r="AB145" s="370">
        <v>0.0</v>
      </c>
      <c r="AC145" s="370">
        <v>0.0</v>
      </c>
      <c r="AD145" s="370">
        <v>0.0</v>
      </c>
      <c r="AE145" s="370">
        <v>0.0</v>
      </c>
      <c r="AF145" s="370">
        <v>0.0</v>
      </c>
      <c r="AG145" s="370">
        <v>0.0</v>
      </c>
      <c r="AH145" s="370">
        <v>0.0</v>
      </c>
      <c r="AI145" s="370">
        <v>0.0</v>
      </c>
      <c r="AJ145" s="370">
        <v>0.0</v>
      </c>
      <c r="AK145" s="370">
        <v>0.0</v>
      </c>
      <c r="AL145" s="370">
        <v>0.0</v>
      </c>
      <c r="AM145" s="370">
        <v>0.0</v>
      </c>
      <c r="AN145" s="370">
        <v>0.0</v>
      </c>
      <c r="AO145" s="370">
        <v>0.0</v>
      </c>
    </row>
    <row r="146" outlineLevel="1">
      <c r="A146" s="356"/>
      <c r="B146" s="166"/>
      <c r="C146" s="166"/>
      <c r="D146" s="166"/>
      <c r="E146" s="166"/>
      <c r="F146" s="166"/>
      <c r="G146" s="166"/>
      <c r="H146" s="166"/>
      <c r="I146" s="166"/>
      <c r="J146" s="166"/>
      <c r="K146" s="166"/>
      <c r="L146" s="166"/>
      <c r="M146" s="166"/>
      <c r="N146" s="166"/>
      <c r="O146" s="166"/>
      <c r="P146" s="166"/>
      <c r="Q146" s="166"/>
      <c r="R146" s="166"/>
      <c r="S146" s="166"/>
      <c r="T146" s="166"/>
      <c r="U146" s="166"/>
      <c r="V146" s="166"/>
      <c r="W146" s="166"/>
      <c r="X146" s="166"/>
      <c r="Y146" s="166"/>
      <c r="Z146" s="166"/>
      <c r="AA146" s="166"/>
      <c r="AB146" s="166"/>
      <c r="AC146" s="166"/>
      <c r="AD146" s="166"/>
      <c r="AE146" s="166"/>
      <c r="AF146" s="166"/>
      <c r="AG146" s="166"/>
      <c r="AH146" s="166"/>
      <c r="AI146" s="166"/>
      <c r="AJ146" s="166"/>
      <c r="AK146" s="166"/>
      <c r="AL146" s="166"/>
      <c r="AM146" s="166"/>
      <c r="AN146" s="166"/>
      <c r="AO146" s="166"/>
    </row>
    <row r="147" outlineLevel="1">
      <c r="A147" s="356" t="s">
        <v>220</v>
      </c>
      <c r="B147" s="199"/>
      <c r="C147" s="199"/>
      <c r="D147" s="199"/>
      <c r="E147" s="199"/>
      <c r="F147" s="199"/>
      <c r="G147" s="199"/>
      <c r="H147" s="199"/>
      <c r="I147" s="199"/>
      <c r="J147" s="199"/>
      <c r="K147" s="199"/>
      <c r="L147" s="199"/>
      <c r="M147" s="199"/>
      <c r="N147" s="199"/>
      <c r="O147" s="199"/>
      <c r="P147" s="199"/>
      <c r="Q147" s="199"/>
      <c r="R147" s="199"/>
      <c r="S147" s="199"/>
      <c r="T147" s="199"/>
      <c r="U147" s="199"/>
      <c r="V147" s="199"/>
      <c r="W147" s="199"/>
      <c r="X147" s="199"/>
      <c r="Y147" s="199"/>
      <c r="Z147" s="199"/>
      <c r="AA147" s="199"/>
      <c r="AB147" s="199"/>
      <c r="AC147" s="199"/>
      <c r="AD147" s="199"/>
      <c r="AE147" s="199"/>
      <c r="AF147" s="199"/>
      <c r="AG147" s="199"/>
      <c r="AH147" s="199"/>
      <c r="AI147" s="199"/>
      <c r="AJ147" s="199"/>
      <c r="AK147" s="199"/>
      <c r="AL147" s="199"/>
      <c r="AM147" s="199"/>
      <c r="AN147" s="199"/>
      <c r="AO147" s="199"/>
    </row>
    <row r="148" outlineLevel="1">
      <c r="A148" s="142" t="s">
        <v>336</v>
      </c>
      <c r="B148" s="95">
        <f t="shared" ref="B148:AO148" si="38">-B101</f>
        <v>0</v>
      </c>
      <c r="C148" s="95">
        <f t="shared" si="38"/>
        <v>0</v>
      </c>
      <c r="D148" s="95">
        <f t="shared" si="38"/>
        <v>0</v>
      </c>
      <c r="E148" s="95">
        <f t="shared" si="38"/>
        <v>0</v>
      </c>
      <c r="F148" s="95">
        <f t="shared" si="38"/>
        <v>0</v>
      </c>
      <c r="G148" s="95">
        <f t="shared" si="38"/>
        <v>0</v>
      </c>
      <c r="H148" s="95">
        <f t="shared" si="38"/>
        <v>0</v>
      </c>
      <c r="I148" s="95">
        <f t="shared" si="38"/>
        <v>0</v>
      </c>
      <c r="J148" s="95">
        <f t="shared" si="38"/>
        <v>0</v>
      </c>
      <c r="K148" s="95">
        <f t="shared" si="38"/>
        <v>0</v>
      </c>
      <c r="L148" s="95">
        <f t="shared" si="38"/>
        <v>0</v>
      </c>
      <c r="M148" s="95">
        <f t="shared" si="38"/>
        <v>0</v>
      </c>
      <c r="N148" s="95">
        <f t="shared" si="38"/>
        <v>0</v>
      </c>
      <c r="O148" s="95">
        <f t="shared" si="38"/>
        <v>0</v>
      </c>
      <c r="P148" s="95">
        <f t="shared" si="38"/>
        <v>0</v>
      </c>
      <c r="Q148" s="95">
        <f t="shared" si="38"/>
        <v>0</v>
      </c>
      <c r="R148" s="95">
        <f t="shared" si="38"/>
        <v>0</v>
      </c>
      <c r="S148" s="95">
        <f t="shared" si="38"/>
        <v>0</v>
      </c>
      <c r="T148" s="95">
        <f t="shared" si="38"/>
        <v>0</v>
      </c>
      <c r="U148" s="95">
        <f t="shared" si="38"/>
        <v>0</v>
      </c>
      <c r="V148" s="95">
        <f t="shared" si="38"/>
        <v>0</v>
      </c>
      <c r="W148" s="95">
        <f t="shared" si="38"/>
        <v>0</v>
      </c>
      <c r="X148" s="95">
        <f t="shared" si="38"/>
        <v>0</v>
      </c>
      <c r="Y148" s="95">
        <f t="shared" si="38"/>
        <v>0</v>
      </c>
      <c r="Z148" s="95">
        <f t="shared" si="38"/>
        <v>0</v>
      </c>
      <c r="AA148" s="95">
        <f t="shared" si="38"/>
        <v>0</v>
      </c>
      <c r="AB148" s="95">
        <f t="shared" si="38"/>
        <v>0</v>
      </c>
      <c r="AC148" s="95">
        <f t="shared" si="38"/>
        <v>0</v>
      </c>
      <c r="AD148" s="95">
        <f t="shared" si="38"/>
        <v>0</v>
      </c>
      <c r="AE148" s="95">
        <f t="shared" si="38"/>
        <v>0</v>
      </c>
      <c r="AF148" s="95">
        <f t="shared" si="38"/>
        <v>0</v>
      </c>
      <c r="AG148" s="95">
        <f t="shared" si="38"/>
        <v>0</v>
      </c>
      <c r="AH148" s="95">
        <f t="shared" si="38"/>
        <v>0</v>
      </c>
      <c r="AI148" s="95">
        <f t="shared" si="38"/>
        <v>0</v>
      </c>
      <c r="AJ148" s="95">
        <f t="shared" si="38"/>
        <v>0</v>
      </c>
      <c r="AK148" s="95">
        <f t="shared" si="38"/>
        <v>0</v>
      </c>
      <c r="AL148" s="95">
        <f t="shared" si="38"/>
        <v>0</v>
      </c>
      <c r="AM148" s="95">
        <f t="shared" si="38"/>
        <v>0</v>
      </c>
      <c r="AN148" s="95">
        <f t="shared" si="38"/>
        <v>0</v>
      </c>
      <c r="AO148" s="95">
        <f t="shared" si="38"/>
        <v>0</v>
      </c>
    </row>
    <row r="149" outlineLevel="1">
      <c r="A149" s="356" t="s">
        <v>337</v>
      </c>
      <c r="B149" s="95">
        <f t="shared" ref="B149:AO149" si="39">-B102</f>
        <v>-50136.33741</v>
      </c>
      <c r="C149" s="95">
        <f t="shared" si="39"/>
        <v>-69974.24015</v>
      </c>
      <c r="D149" s="95">
        <f t="shared" si="39"/>
        <v>-57889.62224</v>
      </c>
      <c r="E149" s="95">
        <f t="shared" si="39"/>
        <v>-66502.75953</v>
      </c>
      <c r="F149" s="95">
        <f t="shared" si="39"/>
        <v>-66502.75953</v>
      </c>
      <c r="G149" s="95">
        <f t="shared" si="39"/>
        <v>-66502.75953</v>
      </c>
      <c r="H149" s="95">
        <f t="shared" si="39"/>
        <v>-66502.75953</v>
      </c>
      <c r="I149" s="95">
        <f t="shared" si="39"/>
        <v>-66502.75953</v>
      </c>
      <c r="J149" s="95">
        <f t="shared" si="39"/>
        <v>-66502.75953</v>
      </c>
      <c r="K149" s="95">
        <f t="shared" si="39"/>
        <v>-66502.75953</v>
      </c>
      <c r="L149" s="95">
        <f t="shared" si="39"/>
        <v>-66502.75953</v>
      </c>
      <c r="M149" s="95">
        <f t="shared" si="39"/>
        <v>-66502.75953</v>
      </c>
      <c r="N149" s="95">
        <f t="shared" si="39"/>
        <v>-66502.75953</v>
      </c>
      <c r="O149" s="95">
        <f t="shared" si="39"/>
        <v>-66502.75953</v>
      </c>
      <c r="P149" s="95">
        <f t="shared" si="39"/>
        <v>-66502.75953</v>
      </c>
      <c r="Q149" s="95">
        <f t="shared" si="39"/>
        <v>-66502.75953</v>
      </c>
      <c r="R149" s="95">
        <f t="shared" si="39"/>
        <v>-66502.75953</v>
      </c>
      <c r="S149" s="95">
        <f t="shared" si="39"/>
        <v>-66502.75953</v>
      </c>
      <c r="T149" s="95">
        <f t="shared" si="39"/>
        <v>-66502.75953</v>
      </c>
      <c r="U149" s="95">
        <f t="shared" si="39"/>
        <v>-64252.48657</v>
      </c>
      <c r="V149" s="95">
        <f t="shared" si="39"/>
        <v>-64252.48657</v>
      </c>
      <c r="W149" s="95">
        <f t="shared" si="39"/>
        <v>-64252.48657</v>
      </c>
      <c r="X149" s="95">
        <f t="shared" si="39"/>
        <v>-64252.48657</v>
      </c>
      <c r="Y149" s="95">
        <f t="shared" si="39"/>
        <v>-64252.48657</v>
      </c>
      <c r="Z149" s="95">
        <f t="shared" si="39"/>
        <v>-64252.48657</v>
      </c>
      <c r="AA149" s="95">
        <f t="shared" si="39"/>
        <v>-64252.48657</v>
      </c>
      <c r="AB149" s="95">
        <f t="shared" si="39"/>
        <v>-75578.23014</v>
      </c>
      <c r="AC149" s="95">
        <f t="shared" si="39"/>
        <v>-88334.51456</v>
      </c>
      <c r="AD149" s="95">
        <f t="shared" si="39"/>
        <v>-88334.51456</v>
      </c>
      <c r="AE149" s="95">
        <f t="shared" si="39"/>
        <v>-88334.51456</v>
      </c>
      <c r="AF149" s="95">
        <f t="shared" si="39"/>
        <v>-88334.51456</v>
      </c>
      <c r="AG149" s="95">
        <f t="shared" si="39"/>
        <v>-74618.49429</v>
      </c>
      <c r="AH149" s="95">
        <f t="shared" si="39"/>
        <v>-65540.6635</v>
      </c>
      <c r="AI149" s="95">
        <f t="shared" si="39"/>
        <v>-70461.65301</v>
      </c>
      <c r="AJ149" s="95">
        <f t="shared" si="39"/>
        <v>-70461.65301</v>
      </c>
      <c r="AK149" s="95">
        <f t="shared" si="39"/>
        <v>-70461.65301</v>
      </c>
      <c r="AL149" s="95">
        <f t="shared" si="39"/>
        <v>-70461.65301</v>
      </c>
      <c r="AM149" s="95">
        <f t="shared" si="39"/>
        <v>-70461.65301</v>
      </c>
      <c r="AN149" s="95">
        <f t="shared" si="39"/>
        <v>-70461.65301</v>
      </c>
      <c r="AO149" s="95">
        <f t="shared" si="39"/>
        <v>-45110.84185</v>
      </c>
    </row>
    <row r="150" outlineLevel="1">
      <c r="A150" s="142" t="s">
        <v>338</v>
      </c>
      <c r="B150" s="95">
        <f t="shared" ref="B150:AO150" si="40">-B103</f>
        <v>-16984.7873</v>
      </c>
      <c r="C150" s="95">
        <f t="shared" si="40"/>
        <v>-63273.22702</v>
      </c>
      <c r="D150" s="95">
        <f t="shared" si="40"/>
        <v>-35075.78523</v>
      </c>
      <c r="E150" s="95">
        <f t="shared" si="40"/>
        <v>-55173.10557</v>
      </c>
      <c r="F150" s="95">
        <f t="shared" si="40"/>
        <v>-55173.10557</v>
      </c>
      <c r="G150" s="95">
        <f t="shared" si="40"/>
        <v>-55173.10557</v>
      </c>
      <c r="H150" s="95">
        <f t="shared" si="40"/>
        <v>-55173.10557</v>
      </c>
      <c r="I150" s="95">
        <f t="shared" si="40"/>
        <v>-55173.10557</v>
      </c>
      <c r="J150" s="95">
        <f t="shared" si="40"/>
        <v>-55173.10557</v>
      </c>
      <c r="K150" s="95">
        <f t="shared" si="40"/>
        <v>-55173.10557</v>
      </c>
      <c r="L150" s="95">
        <f t="shared" si="40"/>
        <v>-55173.10557</v>
      </c>
      <c r="M150" s="95">
        <f t="shared" si="40"/>
        <v>-55173.10557</v>
      </c>
      <c r="N150" s="95">
        <f t="shared" si="40"/>
        <v>-55173.10557</v>
      </c>
      <c r="O150" s="95">
        <f t="shared" si="40"/>
        <v>-55173.10557</v>
      </c>
      <c r="P150" s="95">
        <f t="shared" si="40"/>
        <v>-55173.10557</v>
      </c>
      <c r="Q150" s="95">
        <f t="shared" si="40"/>
        <v>-55173.10557</v>
      </c>
      <c r="R150" s="95">
        <f t="shared" si="40"/>
        <v>-55173.10557</v>
      </c>
      <c r="S150" s="95">
        <f t="shared" si="40"/>
        <v>-55173.10557</v>
      </c>
      <c r="T150" s="95">
        <f t="shared" si="40"/>
        <v>-55173.10557</v>
      </c>
      <c r="U150" s="95">
        <f t="shared" si="40"/>
        <v>-49922.46867</v>
      </c>
      <c r="V150" s="95">
        <f t="shared" si="40"/>
        <v>-49922.46867</v>
      </c>
      <c r="W150" s="95">
        <f t="shared" si="40"/>
        <v>-49922.46867</v>
      </c>
      <c r="X150" s="95">
        <f t="shared" si="40"/>
        <v>-49922.46867</v>
      </c>
      <c r="Y150" s="95">
        <f t="shared" si="40"/>
        <v>-49922.46867</v>
      </c>
      <c r="Z150" s="95">
        <f t="shared" si="40"/>
        <v>-49922.46867</v>
      </c>
      <c r="AA150" s="95">
        <f t="shared" si="40"/>
        <v>-49922.46867</v>
      </c>
      <c r="AB150" s="95">
        <f t="shared" si="40"/>
        <v>-76349.20367</v>
      </c>
      <c r="AC150" s="95">
        <f t="shared" si="40"/>
        <v>-106113.8673</v>
      </c>
      <c r="AD150" s="95">
        <f t="shared" si="40"/>
        <v>-106113.8673</v>
      </c>
      <c r="AE150" s="95">
        <f t="shared" si="40"/>
        <v>-106113.8673</v>
      </c>
      <c r="AF150" s="95">
        <f t="shared" si="40"/>
        <v>-106113.8673</v>
      </c>
      <c r="AG150" s="95">
        <f t="shared" si="40"/>
        <v>-74109.82002</v>
      </c>
      <c r="AH150" s="95">
        <f t="shared" si="40"/>
        <v>-52928.21484</v>
      </c>
      <c r="AI150" s="95">
        <f t="shared" si="40"/>
        <v>-64410.52368</v>
      </c>
      <c r="AJ150" s="95">
        <f t="shared" si="40"/>
        <v>-64410.52368</v>
      </c>
      <c r="AK150" s="95">
        <f t="shared" si="40"/>
        <v>-64410.52368</v>
      </c>
      <c r="AL150" s="95">
        <f t="shared" si="40"/>
        <v>-64410.52368</v>
      </c>
      <c r="AM150" s="95">
        <f t="shared" si="40"/>
        <v>-64410.52368</v>
      </c>
      <c r="AN150" s="95">
        <f t="shared" si="40"/>
        <v>-64410.52368</v>
      </c>
      <c r="AO150" s="95">
        <f t="shared" si="40"/>
        <v>-5258.630982</v>
      </c>
    </row>
    <row r="151" outlineLevel="1">
      <c r="A151" s="142" t="s">
        <v>440</v>
      </c>
      <c r="B151" s="370">
        <v>0.0</v>
      </c>
      <c r="C151" s="370">
        <v>0.0</v>
      </c>
      <c r="D151" s="370">
        <v>0.0</v>
      </c>
      <c r="E151" s="370">
        <v>0.0</v>
      </c>
      <c r="F151" s="370">
        <v>0.0</v>
      </c>
      <c r="G151" s="370">
        <v>0.0</v>
      </c>
      <c r="H151" s="370">
        <v>0.0</v>
      </c>
      <c r="I151" s="370">
        <v>0.0</v>
      </c>
      <c r="J151" s="370">
        <v>0.0</v>
      </c>
      <c r="K151" s="370">
        <v>0.0</v>
      </c>
      <c r="L151" s="370">
        <v>0.0</v>
      </c>
      <c r="M151" s="370">
        <v>0.0</v>
      </c>
      <c r="N151" s="370">
        <v>0.0</v>
      </c>
      <c r="O151" s="370">
        <v>0.0</v>
      </c>
      <c r="P151" s="370">
        <v>0.0</v>
      </c>
      <c r="Q151" s="370">
        <v>0.0</v>
      </c>
      <c r="R151" s="370">
        <v>0.0</v>
      </c>
      <c r="S151" s="370">
        <v>0.0</v>
      </c>
      <c r="T151" s="370">
        <v>0.0</v>
      </c>
      <c r="U151" s="370">
        <v>0.0</v>
      </c>
      <c r="V151" s="370">
        <v>0.0</v>
      </c>
      <c r="W151" s="370">
        <v>0.0</v>
      </c>
      <c r="X151" s="370">
        <v>0.0</v>
      </c>
      <c r="Y151" s="370">
        <v>0.0</v>
      </c>
      <c r="Z151" s="370">
        <v>0.0</v>
      </c>
      <c r="AA151" s="370">
        <v>0.0</v>
      </c>
      <c r="AB151" s="370">
        <v>0.0</v>
      </c>
      <c r="AC151" s="370">
        <v>0.0</v>
      </c>
      <c r="AD151" s="370">
        <v>0.0</v>
      </c>
      <c r="AE151" s="370">
        <v>0.0</v>
      </c>
      <c r="AF151" s="370">
        <v>0.0</v>
      </c>
      <c r="AG151" s="370">
        <v>0.0</v>
      </c>
      <c r="AH151" s="370">
        <v>0.0</v>
      </c>
      <c r="AI151" s="370">
        <v>0.0</v>
      </c>
      <c r="AJ151" s="370">
        <v>0.0</v>
      </c>
      <c r="AK151" s="370">
        <v>0.0</v>
      </c>
      <c r="AL151" s="370">
        <v>0.0</v>
      </c>
      <c r="AM151" s="370">
        <v>0.0</v>
      </c>
      <c r="AN151" s="370">
        <v>0.0</v>
      </c>
      <c r="AO151" s="370">
        <v>0.0</v>
      </c>
    </row>
    <row r="152" outlineLevel="1">
      <c r="A152" s="142"/>
      <c r="B152" s="242"/>
      <c r="C152" s="242"/>
      <c r="D152" s="242"/>
      <c r="E152" s="242"/>
      <c r="F152" s="242"/>
      <c r="G152" s="242"/>
      <c r="H152" s="242"/>
      <c r="I152" s="242"/>
      <c r="J152" s="242"/>
      <c r="K152" s="242"/>
      <c r="L152" s="242"/>
      <c r="M152" s="242"/>
      <c r="N152" s="242"/>
      <c r="O152" s="242"/>
      <c r="P152" s="242"/>
      <c r="Q152" s="242"/>
      <c r="R152" s="242"/>
      <c r="S152" s="242"/>
      <c r="T152" s="242"/>
      <c r="U152" s="242"/>
      <c r="V152" s="242"/>
      <c r="W152" s="242"/>
      <c r="X152" s="242"/>
      <c r="Y152" s="242"/>
      <c r="Z152" s="242"/>
      <c r="AA152" s="242"/>
      <c r="AB152" s="242"/>
      <c r="AC152" s="242"/>
      <c r="AD152" s="242"/>
      <c r="AE152" s="242"/>
      <c r="AF152" s="242"/>
      <c r="AG152" s="242"/>
      <c r="AH152" s="242"/>
      <c r="AI152" s="242"/>
      <c r="AJ152" s="242"/>
      <c r="AK152" s="242"/>
      <c r="AL152" s="242"/>
      <c r="AM152" s="242"/>
      <c r="AN152" s="242"/>
      <c r="AO152" s="242"/>
    </row>
    <row r="153" outlineLevel="1">
      <c r="A153" s="371" t="s">
        <v>441</v>
      </c>
      <c r="B153" s="242"/>
      <c r="C153" s="242"/>
      <c r="D153" s="242"/>
      <c r="E153" s="242"/>
      <c r="F153" s="242"/>
      <c r="G153" s="242"/>
      <c r="H153" s="242"/>
      <c r="I153" s="242"/>
      <c r="J153" s="242"/>
      <c r="K153" s="242"/>
      <c r="L153" s="242"/>
      <c r="M153" s="242"/>
      <c r="N153" s="242"/>
      <c r="O153" s="242"/>
      <c r="P153" s="242"/>
      <c r="Q153" s="242"/>
      <c r="R153" s="242"/>
      <c r="S153" s="242"/>
      <c r="T153" s="242"/>
      <c r="U153" s="242"/>
      <c r="V153" s="242"/>
      <c r="W153" s="242"/>
      <c r="X153" s="242"/>
      <c r="Y153" s="242"/>
      <c r="Z153" s="242"/>
      <c r="AA153" s="242"/>
      <c r="AB153" s="242"/>
      <c r="AC153" s="242"/>
      <c r="AD153" s="242"/>
      <c r="AE153" s="242"/>
      <c r="AF153" s="242"/>
      <c r="AG153" s="242"/>
      <c r="AH153" s="242"/>
      <c r="AI153" s="242"/>
      <c r="AJ153" s="242"/>
      <c r="AK153" s="242"/>
      <c r="AL153" s="242"/>
      <c r="AM153" s="242"/>
      <c r="AN153" s="242"/>
      <c r="AO153" s="242"/>
    </row>
    <row r="154" outlineLevel="1">
      <c r="A154" s="356" t="s">
        <v>438</v>
      </c>
      <c r="B154" s="168"/>
      <c r="C154" s="168"/>
      <c r="D154" s="168"/>
      <c r="E154" s="168"/>
      <c r="F154" s="168"/>
      <c r="G154" s="168"/>
      <c r="H154" s="168"/>
      <c r="I154" s="168"/>
      <c r="J154" s="168"/>
      <c r="K154" s="168"/>
      <c r="L154" s="168"/>
      <c r="M154" s="168"/>
      <c r="N154" s="168"/>
      <c r="O154" s="168"/>
      <c r="P154" s="168"/>
      <c r="Q154" s="168"/>
      <c r="R154" s="168"/>
      <c r="S154" s="168"/>
      <c r="T154" s="168"/>
      <c r="U154" s="168"/>
      <c r="V154" s="168"/>
      <c r="W154" s="168"/>
      <c r="X154" s="168"/>
      <c r="Y154" s="168"/>
      <c r="Z154" s="168"/>
      <c r="AA154" s="168"/>
      <c r="AB154" s="168"/>
      <c r="AC154" s="168"/>
      <c r="AD154" s="168"/>
      <c r="AE154" s="168"/>
      <c r="AF154" s="168"/>
      <c r="AG154" s="168"/>
      <c r="AH154" s="168"/>
      <c r="AI154" s="168"/>
      <c r="AJ154" s="168"/>
      <c r="AK154" s="168"/>
      <c r="AL154" s="168"/>
      <c r="AM154" s="168"/>
      <c r="AN154" s="168"/>
      <c r="AO154" s="168"/>
    </row>
    <row r="155" outlineLevel="1">
      <c r="A155" s="142" t="s">
        <v>336</v>
      </c>
      <c r="B155" s="168">
        <f t="shared" ref="B155:AO155" si="41">B130*B$86</f>
        <v>1017.847049</v>
      </c>
      <c r="C155" s="168">
        <f t="shared" si="41"/>
        <v>4338.213964</v>
      </c>
      <c r="D155" s="168">
        <f t="shared" si="41"/>
        <v>3189.471154</v>
      </c>
      <c r="E155" s="168">
        <f t="shared" si="41"/>
        <v>3628.602137</v>
      </c>
      <c r="F155" s="168">
        <f t="shared" si="41"/>
        <v>2584.996345</v>
      </c>
      <c r="G155" s="168">
        <f t="shared" si="41"/>
        <v>1994.177998</v>
      </c>
      <c r="H155" s="168">
        <f t="shared" si="41"/>
        <v>1432.993091</v>
      </c>
      <c r="I155" s="168">
        <f t="shared" si="41"/>
        <v>2977.139962</v>
      </c>
      <c r="J155" s="168">
        <f t="shared" si="41"/>
        <v>882.038689</v>
      </c>
      <c r="K155" s="168">
        <f t="shared" si="41"/>
        <v>679.2331061</v>
      </c>
      <c r="L155" s="168">
        <f t="shared" si="41"/>
        <v>4775.78123</v>
      </c>
      <c r="M155" s="168">
        <f t="shared" si="41"/>
        <v>218.0824938</v>
      </c>
      <c r="N155" s="168">
        <f t="shared" si="41"/>
        <v>4775.78123</v>
      </c>
      <c r="O155" s="168">
        <f t="shared" si="41"/>
        <v>4254.689759</v>
      </c>
      <c r="P155" s="168">
        <f t="shared" si="41"/>
        <v>459.0803541</v>
      </c>
      <c r="Q155" s="168">
        <f t="shared" si="41"/>
        <v>2604.090068</v>
      </c>
      <c r="R155" s="168">
        <f t="shared" si="41"/>
        <v>1518.646701</v>
      </c>
      <c r="S155" s="168">
        <f t="shared" si="41"/>
        <v>1163.567228</v>
      </c>
      <c r="T155" s="168">
        <f t="shared" si="41"/>
        <v>2416.498587</v>
      </c>
      <c r="U155" s="168">
        <f t="shared" si="41"/>
        <v>1373.767224</v>
      </c>
      <c r="V155" s="168">
        <f t="shared" si="41"/>
        <v>4271.996084</v>
      </c>
      <c r="W155" s="168">
        <f t="shared" si="41"/>
        <v>3349.909891</v>
      </c>
      <c r="X155" s="168">
        <f t="shared" si="41"/>
        <v>1814.847252</v>
      </c>
      <c r="Y155" s="168">
        <f t="shared" si="41"/>
        <v>2126.664706</v>
      </c>
      <c r="Z155" s="168">
        <f t="shared" si="41"/>
        <v>439.571755</v>
      </c>
      <c r="AA155" s="168">
        <f t="shared" si="41"/>
        <v>2437.189355</v>
      </c>
      <c r="AB155" s="168">
        <f t="shared" si="41"/>
        <v>2700.6312</v>
      </c>
      <c r="AC155" s="168">
        <f t="shared" si="41"/>
        <v>3224.373077</v>
      </c>
      <c r="AD155" s="168">
        <f t="shared" si="41"/>
        <v>2743.096215</v>
      </c>
      <c r="AE155" s="168">
        <f t="shared" si="41"/>
        <v>3980.025808</v>
      </c>
      <c r="AF155" s="168">
        <f t="shared" si="41"/>
        <v>4002.448816</v>
      </c>
      <c r="AG155" s="168">
        <f t="shared" si="41"/>
        <v>1098.871398</v>
      </c>
      <c r="AH155" s="168">
        <f t="shared" si="41"/>
        <v>1086.00887</v>
      </c>
      <c r="AI155" s="168">
        <f t="shared" si="41"/>
        <v>5724.877104</v>
      </c>
      <c r="AJ155" s="168">
        <f t="shared" si="41"/>
        <v>2960.678705</v>
      </c>
      <c r="AK155" s="168">
        <f t="shared" si="41"/>
        <v>1708.545899</v>
      </c>
      <c r="AL155" s="168">
        <f t="shared" si="41"/>
        <v>6211.770489</v>
      </c>
      <c r="AM155" s="168">
        <f t="shared" si="41"/>
        <v>3925.187061</v>
      </c>
      <c r="AN155" s="168">
        <f t="shared" si="41"/>
        <v>6211.770489</v>
      </c>
      <c r="AO155" s="168">
        <f t="shared" si="41"/>
        <v>79.04988904</v>
      </c>
    </row>
    <row r="156" outlineLevel="1">
      <c r="A156" s="356" t="s">
        <v>337</v>
      </c>
      <c r="B156" s="168">
        <f t="shared" ref="B156:AO156" si="42">B131*B$86</f>
        <v>0</v>
      </c>
      <c r="C156" s="168">
        <f t="shared" si="42"/>
        <v>0</v>
      </c>
      <c r="D156" s="168">
        <f t="shared" si="42"/>
        <v>0</v>
      </c>
      <c r="E156" s="168">
        <f t="shared" si="42"/>
        <v>0</v>
      </c>
      <c r="F156" s="168">
        <f t="shared" si="42"/>
        <v>0</v>
      </c>
      <c r="G156" s="168">
        <f t="shared" si="42"/>
        <v>0</v>
      </c>
      <c r="H156" s="168">
        <f t="shared" si="42"/>
        <v>0</v>
      </c>
      <c r="I156" s="168">
        <f t="shared" si="42"/>
        <v>0</v>
      </c>
      <c r="J156" s="168">
        <f t="shared" si="42"/>
        <v>0</v>
      </c>
      <c r="K156" s="168">
        <f t="shared" si="42"/>
        <v>0</v>
      </c>
      <c r="L156" s="168">
        <f t="shared" si="42"/>
        <v>0</v>
      </c>
      <c r="M156" s="168">
        <f t="shared" si="42"/>
        <v>0</v>
      </c>
      <c r="N156" s="168">
        <f t="shared" si="42"/>
        <v>0</v>
      </c>
      <c r="O156" s="168">
        <f t="shared" si="42"/>
        <v>0</v>
      </c>
      <c r="P156" s="168">
        <f t="shared" si="42"/>
        <v>0</v>
      </c>
      <c r="Q156" s="168">
        <f t="shared" si="42"/>
        <v>0</v>
      </c>
      <c r="R156" s="168">
        <f t="shared" si="42"/>
        <v>0</v>
      </c>
      <c r="S156" s="168">
        <f t="shared" si="42"/>
        <v>0</v>
      </c>
      <c r="T156" s="168">
        <f t="shared" si="42"/>
        <v>0</v>
      </c>
      <c r="U156" s="168">
        <f t="shared" si="42"/>
        <v>0</v>
      </c>
      <c r="V156" s="168">
        <f t="shared" si="42"/>
        <v>0</v>
      </c>
      <c r="W156" s="168">
        <f t="shared" si="42"/>
        <v>0</v>
      </c>
      <c r="X156" s="168">
        <f t="shared" si="42"/>
        <v>0</v>
      </c>
      <c r="Y156" s="168">
        <f t="shared" si="42"/>
        <v>0</v>
      </c>
      <c r="Z156" s="168">
        <f t="shared" si="42"/>
        <v>0</v>
      </c>
      <c r="AA156" s="168">
        <f t="shared" si="42"/>
        <v>0</v>
      </c>
      <c r="AB156" s="168">
        <f t="shared" si="42"/>
        <v>0</v>
      </c>
      <c r="AC156" s="168">
        <f t="shared" si="42"/>
        <v>0</v>
      </c>
      <c r="AD156" s="168">
        <f t="shared" si="42"/>
        <v>0</v>
      </c>
      <c r="AE156" s="168">
        <f t="shared" si="42"/>
        <v>0</v>
      </c>
      <c r="AF156" s="168">
        <f t="shared" si="42"/>
        <v>0</v>
      </c>
      <c r="AG156" s="168">
        <f t="shared" si="42"/>
        <v>0</v>
      </c>
      <c r="AH156" s="168">
        <f t="shared" si="42"/>
        <v>0</v>
      </c>
      <c r="AI156" s="168">
        <f t="shared" si="42"/>
        <v>0</v>
      </c>
      <c r="AJ156" s="168">
        <f t="shared" si="42"/>
        <v>0</v>
      </c>
      <c r="AK156" s="168">
        <f t="shared" si="42"/>
        <v>0</v>
      </c>
      <c r="AL156" s="168">
        <f t="shared" si="42"/>
        <v>0</v>
      </c>
      <c r="AM156" s="168">
        <f t="shared" si="42"/>
        <v>0</v>
      </c>
      <c r="AN156" s="168">
        <f t="shared" si="42"/>
        <v>0</v>
      </c>
      <c r="AO156" s="168">
        <f t="shared" si="42"/>
        <v>0</v>
      </c>
    </row>
    <row r="157" outlineLevel="1">
      <c r="A157" s="142" t="s">
        <v>338</v>
      </c>
      <c r="B157" s="168">
        <f t="shared" ref="B157:AO157" si="43">B132*B$86</f>
        <v>0</v>
      </c>
      <c r="C157" s="168">
        <f t="shared" si="43"/>
        <v>0</v>
      </c>
      <c r="D157" s="168">
        <f t="shared" si="43"/>
        <v>0</v>
      </c>
      <c r="E157" s="168">
        <f t="shared" si="43"/>
        <v>0</v>
      </c>
      <c r="F157" s="168">
        <f t="shared" si="43"/>
        <v>0</v>
      </c>
      <c r="G157" s="168">
        <f t="shared" si="43"/>
        <v>0</v>
      </c>
      <c r="H157" s="168">
        <f t="shared" si="43"/>
        <v>0</v>
      </c>
      <c r="I157" s="168">
        <f t="shared" si="43"/>
        <v>0</v>
      </c>
      <c r="J157" s="168">
        <f t="shared" si="43"/>
        <v>0</v>
      </c>
      <c r="K157" s="168">
        <f t="shared" si="43"/>
        <v>0</v>
      </c>
      <c r="L157" s="168">
        <f t="shared" si="43"/>
        <v>0</v>
      </c>
      <c r="M157" s="168">
        <f t="shared" si="43"/>
        <v>0</v>
      </c>
      <c r="N157" s="168">
        <f t="shared" si="43"/>
        <v>0</v>
      </c>
      <c r="O157" s="168">
        <f t="shared" si="43"/>
        <v>0</v>
      </c>
      <c r="P157" s="168">
        <f t="shared" si="43"/>
        <v>0</v>
      </c>
      <c r="Q157" s="168">
        <f t="shared" si="43"/>
        <v>0</v>
      </c>
      <c r="R157" s="168">
        <f t="shared" si="43"/>
        <v>0</v>
      </c>
      <c r="S157" s="168">
        <f t="shared" si="43"/>
        <v>0</v>
      </c>
      <c r="T157" s="168">
        <f t="shared" si="43"/>
        <v>0</v>
      </c>
      <c r="U157" s="168">
        <f t="shared" si="43"/>
        <v>0</v>
      </c>
      <c r="V157" s="168">
        <f t="shared" si="43"/>
        <v>0</v>
      </c>
      <c r="W157" s="168">
        <f t="shared" si="43"/>
        <v>0</v>
      </c>
      <c r="X157" s="168">
        <f t="shared" si="43"/>
        <v>0</v>
      </c>
      <c r="Y157" s="168">
        <f t="shared" si="43"/>
        <v>0</v>
      </c>
      <c r="Z157" s="168">
        <f t="shared" si="43"/>
        <v>0</v>
      </c>
      <c r="AA157" s="168">
        <f t="shared" si="43"/>
        <v>0</v>
      </c>
      <c r="AB157" s="168">
        <f t="shared" si="43"/>
        <v>0</v>
      </c>
      <c r="AC157" s="168">
        <f t="shared" si="43"/>
        <v>0</v>
      </c>
      <c r="AD157" s="168">
        <f t="shared" si="43"/>
        <v>0</v>
      </c>
      <c r="AE157" s="168">
        <f t="shared" si="43"/>
        <v>0</v>
      </c>
      <c r="AF157" s="168">
        <f t="shared" si="43"/>
        <v>0</v>
      </c>
      <c r="AG157" s="168">
        <f t="shared" si="43"/>
        <v>0</v>
      </c>
      <c r="AH157" s="168">
        <f t="shared" si="43"/>
        <v>0</v>
      </c>
      <c r="AI157" s="168">
        <f t="shared" si="43"/>
        <v>0</v>
      </c>
      <c r="AJ157" s="168">
        <f t="shared" si="43"/>
        <v>0</v>
      </c>
      <c r="AK157" s="168">
        <f t="shared" si="43"/>
        <v>0</v>
      </c>
      <c r="AL157" s="168">
        <f t="shared" si="43"/>
        <v>0</v>
      </c>
      <c r="AM157" s="168">
        <f t="shared" si="43"/>
        <v>0</v>
      </c>
      <c r="AN157" s="168">
        <f t="shared" si="43"/>
        <v>0</v>
      </c>
      <c r="AO157" s="168">
        <f t="shared" si="43"/>
        <v>0</v>
      </c>
    </row>
    <row r="158" outlineLevel="1">
      <c r="A158" s="142" t="s">
        <v>440</v>
      </c>
      <c r="B158" s="168">
        <f t="shared" ref="B158:AO158" si="44">B133*B$86</f>
        <v>0</v>
      </c>
      <c r="C158" s="168">
        <f t="shared" si="44"/>
        <v>0</v>
      </c>
      <c r="D158" s="168">
        <f t="shared" si="44"/>
        <v>0</v>
      </c>
      <c r="E158" s="168">
        <f t="shared" si="44"/>
        <v>0</v>
      </c>
      <c r="F158" s="168">
        <f t="shared" si="44"/>
        <v>0</v>
      </c>
      <c r="G158" s="168">
        <f t="shared" si="44"/>
        <v>0</v>
      </c>
      <c r="H158" s="168">
        <f t="shared" si="44"/>
        <v>0</v>
      </c>
      <c r="I158" s="168">
        <f t="shared" si="44"/>
        <v>0</v>
      </c>
      <c r="J158" s="168">
        <f t="shared" si="44"/>
        <v>0</v>
      </c>
      <c r="K158" s="168">
        <f t="shared" si="44"/>
        <v>0</v>
      </c>
      <c r="L158" s="168">
        <f t="shared" si="44"/>
        <v>0</v>
      </c>
      <c r="M158" s="168">
        <f t="shared" si="44"/>
        <v>0</v>
      </c>
      <c r="N158" s="168">
        <f t="shared" si="44"/>
        <v>0</v>
      </c>
      <c r="O158" s="168">
        <f t="shared" si="44"/>
        <v>0</v>
      </c>
      <c r="P158" s="168">
        <f t="shared" si="44"/>
        <v>0</v>
      </c>
      <c r="Q158" s="168">
        <f t="shared" si="44"/>
        <v>0</v>
      </c>
      <c r="R158" s="168">
        <f t="shared" si="44"/>
        <v>0</v>
      </c>
      <c r="S158" s="168">
        <f t="shared" si="44"/>
        <v>0</v>
      </c>
      <c r="T158" s="168">
        <f t="shared" si="44"/>
        <v>0</v>
      </c>
      <c r="U158" s="168">
        <f t="shared" si="44"/>
        <v>0</v>
      </c>
      <c r="V158" s="168">
        <f t="shared" si="44"/>
        <v>0</v>
      </c>
      <c r="W158" s="168">
        <f t="shared" si="44"/>
        <v>0</v>
      </c>
      <c r="X158" s="168">
        <f t="shared" si="44"/>
        <v>0</v>
      </c>
      <c r="Y158" s="168">
        <f t="shared" si="44"/>
        <v>0</v>
      </c>
      <c r="Z158" s="168">
        <f t="shared" si="44"/>
        <v>0</v>
      </c>
      <c r="AA158" s="168">
        <f t="shared" si="44"/>
        <v>0</v>
      </c>
      <c r="AB158" s="168">
        <f t="shared" si="44"/>
        <v>0</v>
      </c>
      <c r="AC158" s="168">
        <f t="shared" si="44"/>
        <v>0</v>
      </c>
      <c r="AD158" s="168">
        <f t="shared" si="44"/>
        <v>0</v>
      </c>
      <c r="AE158" s="168">
        <f t="shared" si="44"/>
        <v>0</v>
      </c>
      <c r="AF158" s="168">
        <f t="shared" si="44"/>
        <v>0</v>
      </c>
      <c r="AG158" s="168">
        <f t="shared" si="44"/>
        <v>0</v>
      </c>
      <c r="AH158" s="168">
        <f t="shared" si="44"/>
        <v>0</v>
      </c>
      <c r="AI158" s="168">
        <f t="shared" si="44"/>
        <v>0</v>
      </c>
      <c r="AJ158" s="168">
        <f t="shared" si="44"/>
        <v>0</v>
      </c>
      <c r="AK158" s="168">
        <f t="shared" si="44"/>
        <v>0</v>
      </c>
      <c r="AL158" s="168">
        <f t="shared" si="44"/>
        <v>0</v>
      </c>
      <c r="AM158" s="168">
        <f t="shared" si="44"/>
        <v>0</v>
      </c>
      <c r="AN158" s="168">
        <f t="shared" si="44"/>
        <v>0</v>
      </c>
      <c r="AO158" s="168">
        <f t="shared" si="44"/>
        <v>0</v>
      </c>
    </row>
    <row r="159" outlineLevel="1">
      <c r="A159" s="356"/>
      <c r="B159" s="168"/>
      <c r="C159" s="168"/>
      <c r="D159" s="168"/>
      <c r="E159" s="168"/>
      <c r="F159" s="168"/>
      <c r="G159" s="168"/>
      <c r="H159" s="168"/>
      <c r="I159" s="168"/>
      <c r="J159" s="168"/>
      <c r="K159" s="168"/>
      <c r="L159" s="168"/>
      <c r="M159" s="168"/>
      <c r="N159" s="168"/>
      <c r="O159" s="168"/>
      <c r="P159" s="168"/>
      <c r="Q159" s="168"/>
      <c r="R159" s="168"/>
      <c r="S159" s="168"/>
      <c r="T159" s="168"/>
      <c r="U159" s="168"/>
      <c r="V159" s="168"/>
      <c r="W159" s="168"/>
      <c r="X159" s="168"/>
      <c r="Y159" s="168"/>
      <c r="Z159" s="168"/>
      <c r="AA159" s="168"/>
      <c r="AB159" s="168"/>
      <c r="AC159" s="168"/>
      <c r="AD159" s="168"/>
      <c r="AE159" s="168"/>
      <c r="AF159" s="168"/>
      <c r="AG159" s="168"/>
      <c r="AH159" s="168"/>
      <c r="AI159" s="168"/>
      <c r="AJ159" s="168"/>
      <c r="AK159" s="168"/>
      <c r="AL159" s="168"/>
      <c r="AM159" s="168"/>
      <c r="AN159" s="168"/>
      <c r="AO159" s="168"/>
    </row>
    <row r="160" outlineLevel="1">
      <c r="A160" s="142" t="s">
        <v>437</v>
      </c>
      <c r="B160" s="84"/>
      <c r="C160" s="84"/>
      <c r="D160" s="84"/>
      <c r="E160" s="84"/>
      <c r="F160" s="84"/>
      <c r="G160" s="84"/>
      <c r="H160" s="84"/>
      <c r="I160" s="84"/>
      <c r="J160" s="84"/>
      <c r="K160" s="84"/>
      <c r="L160" s="84"/>
      <c r="M160" s="84"/>
      <c r="N160" s="84"/>
      <c r="O160" s="84"/>
      <c r="P160" s="84"/>
      <c r="Q160" s="84"/>
      <c r="R160" s="84"/>
      <c r="S160" s="84"/>
      <c r="T160" s="84"/>
      <c r="U160" s="84"/>
      <c r="V160" s="84"/>
      <c r="W160" s="84"/>
      <c r="X160" s="84"/>
      <c r="Y160" s="84"/>
      <c r="Z160" s="84"/>
      <c r="AA160" s="84"/>
      <c r="AB160" s="84"/>
      <c r="AC160" s="84"/>
      <c r="AD160" s="84"/>
      <c r="AE160" s="84"/>
      <c r="AF160" s="84"/>
      <c r="AG160" s="84"/>
      <c r="AH160" s="84"/>
      <c r="AI160" s="84"/>
      <c r="AJ160" s="84"/>
      <c r="AK160" s="84"/>
      <c r="AL160" s="84"/>
      <c r="AM160" s="84"/>
      <c r="AN160" s="84"/>
      <c r="AO160" s="84"/>
    </row>
    <row r="161" outlineLevel="1">
      <c r="A161" s="142" t="s">
        <v>336</v>
      </c>
      <c r="B161" s="84">
        <f t="shared" ref="B161:AO161" si="45">B136*B$86</f>
        <v>0</v>
      </c>
      <c r="C161" s="84">
        <f t="shared" si="45"/>
        <v>0</v>
      </c>
      <c r="D161" s="84">
        <f t="shared" si="45"/>
        <v>0</v>
      </c>
      <c r="E161" s="84">
        <f t="shared" si="45"/>
        <v>0</v>
      </c>
      <c r="F161" s="84">
        <f t="shared" si="45"/>
        <v>0</v>
      </c>
      <c r="G161" s="84">
        <f t="shared" si="45"/>
        <v>0</v>
      </c>
      <c r="H161" s="84">
        <f t="shared" si="45"/>
        <v>0</v>
      </c>
      <c r="I161" s="84">
        <f t="shared" si="45"/>
        <v>0</v>
      </c>
      <c r="J161" s="84">
        <f t="shared" si="45"/>
        <v>0</v>
      </c>
      <c r="K161" s="84">
        <f t="shared" si="45"/>
        <v>0</v>
      </c>
      <c r="L161" s="84">
        <f t="shared" si="45"/>
        <v>0</v>
      </c>
      <c r="M161" s="84">
        <f t="shared" si="45"/>
        <v>0</v>
      </c>
      <c r="N161" s="84">
        <f t="shared" si="45"/>
        <v>0</v>
      </c>
      <c r="O161" s="84">
        <f t="shared" si="45"/>
        <v>0</v>
      </c>
      <c r="P161" s="84">
        <f t="shared" si="45"/>
        <v>0</v>
      </c>
      <c r="Q161" s="84">
        <f t="shared" si="45"/>
        <v>0</v>
      </c>
      <c r="R161" s="84">
        <f t="shared" si="45"/>
        <v>0</v>
      </c>
      <c r="S161" s="84">
        <f t="shared" si="45"/>
        <v>0</v>
      </c>
      <c r="T161" s="84">
        <f t="shared" si="45"/>
        <v>0</v>
      </c>
      <c r="U161" s="84">
        <f t="shared" si="45"/>
        <v>0</v>
      </c>
      <c r="V161" s="84">
        <f t="shared" si="45"/>
        <v>0</v>
      </c>
      <c r="W161" s="84">
        <f t="shared" si="45"/>
        <v>0</v>
      </c>
      <c r="X161" s="84">
        <f t="shared" si="45"/>
        <v>0</v>
      </c>
      <c r="Y161" s="84">
        <f t="shared" si="45"/>
        <v>0</v>
      </c>
      <c r="Z161" s="84">
        <f t="shared" si="45"/>
        <v>0</v>
      </c>
      <c r="AA161" s="84">
        <f t="shared" si="45"/>
        <v>0</v>
      </c>
      <c r="AB161" s="84">
        <f t="shared" si="45"/>
        <v>0</v>
      </c>
      <c r="AC161" s="84">
        <f t="shared" si="45"/>
        <v>0</v>
      </c>
      <c r="AD161" s="84">
        <f t="shared" si="45"/>
        <v>0</v>
      </c>
      <c r="AE161" s="84">
        <f t="shared" si="45"/>
        <v>0</v>
      </c>
      <c r="AF161" s="84">
        <f t="shared" si="45"/>
        <v>0</v>
      </c>
      <c r="AG161" s="84">
        <f t="shared" si="45"/>
        <v>0</v>
      </c>
      <c r="AH161" s="84">
        <f t="shared" si="45"/>
        <v>0</v>
      </c>
      <c r="AI161" s="84">
        <f t="shared" si="45"/>
        <v>0</v>
      </c>
      <c r="AJ161" s="84">
        <f t="shared" si="45"/>
        <v>0</v>
      </c>
      <c r="AK161" s="84">
        <f t="shared" si="45"/>
        <v>0</v>
      </c>
      <c r="AL161" s="84">
        <f t="shared" si="45"/>
        <v>0</v>
      </c>
      <c r="AM161" s="84">
        <f t="shared" si="45"/>
        <v>0</v>
      </c>
      <c r="AN161" s="84">
        <f t="shared" si="45"/>
        <v>0</v>
      </c>
      <c r="AO161" s="84">
        <f t="shared" si="45"/>
        <v>0</v>
      </c>
    </row>
    <row r="162" outlineLevel="1">
      <c r="A162" s="142" t="s">
        <v>337</v>
      </c>
      <c r="B162" s="84">
        <f t="shared" ref="B162:AO162" si="46">B137*B$86</f>
        <v>0</v>
      </c>
      <c r="C162" s="84">
        <f t="shared" si="46"/>
        <v>0</v>
      </c>
      <c r="D162" s="84">
        <f t="shared" si="46"/>
        <v>0</v>
      </c>
      <c r="E162" s="84">
        <f t="shared" si="46"/>
        <v>0</v>
      </c>
      <c r="F162" s="84">
        <f t="shared" si="46"/>
        <v>0</v>
      </c>
      <c r="G162" s="84">
        <f t="shared" si="46"/>
        <v>0</v>
      </c>
      <c r="H162" s="84">
        <f t="shared" si="46"/>
        <v>0</v>
      </c>
      <c r="I162" s="84">
        <f t="shared" si="46"/>
        <v>0</v>
      </c>
      <c r="J162" s="84">
        <f t="shared" si="46"/>
        <v>0</v>
      </c>
      <c r="K162" s="84">
        <f t="shared" si="46"/>
        <v>0</v>
      </c>
      <c r="L162" s="84">
        <f t="shared" si="46"/>
        <v>0</v>
      </c>
      <c r="M162" s="84">
        <f t="shared" si="46"/>
        <v>0</v>
      </c>
      <c r="N162" s="84">
        <f t="shared" si="46"/>
        <v>0</v>
      </c>
      <c r="O162" s="84">
        <f t="shared" si="46"/>
        <v>0</v>
      </c>
      <c r="P162" s="84">
        <f t="shared" si="46"/>
        <v>0</v>
      </c>
      <c r="Q162" s="84">
        <f t="shared" si="46"/>
        <v>0</v>
      </c>
      <c r="R162" s="84">
        <f t="shared" si="46"/>
        <v>0</v>
      </c>
      <c r="S162" s="84">
        <f t="shared" si="46"/>
        <v>0</v>
      </c>
      <c r="T162" s="84">
        <f t="shared" si="46"/>
        <v>0</v>
      </c>
      <c r="U162" s="84">
        <f t="shared" si="46"/>
        <v>0</v>
      </c>
      <c r="V162" s="84">
        <f t="shared" si="46"/>
        <v>0</v>
      </c>
      <c r="W162" s="84">
        <f t="shared" si="46"/>
        <v>0</v>
      </c>
      <c r="X162" s="84">
        <f t="shared" si="46"/>
        <v>0</v>
      </c>
      <c r="Y162" s="84">
        <f t="shared" si="46"/>
        <v>0</v>
      </c>
      <c r="Z162" s="84">
        <f t="shared" si="46"/>
        <v>0</v>
      </c>
      <c r="AA162" s="84">
        <f t="shared" si="46"/>
        <v>0</v>
      </c>
      <c r="AB162" s="84">
        <f t="shared" si="46"/>
        <v>0</v>
      </c>
      <c r="AC162" s="84">
        <f t="shared" si="46"/>
        <v>0</v>
      </c>
      <c r="AD162" s="84">
        <f t="shared" si="46"/>
        <v>0</v>
      </c>
      <c r="AE162" s="84">
        <f t="shared" si="46"/>
        <v>0</v>
      </c>
      <c r="AF162" s="84">
        <f t="shared" si="46"/>
        <v>0</v>
      </c>
      <c r="AG162" s="84">
        <f t="shared" si="46"/>
        <v>0</v>
      </c>
      <c r="AH162" s="84">
        <f t="shared" si="46"/>
        <v>0</v>
      </c>
      <c r="AI162" s="84">
        <f t="shared" si="46"/>
        <v>0</v>
      </c>
      <c r="AJ162" s="84">
        <f t="shared" si="46"/>
        <v>0</v>
      </c>
      <c r="AK162" s="84">
        <f t="shared" si="46"/>
        <v>0</v>
      </c>
      <c r="AL162" s="84">
        <f t="shared" si="46"/>
        <v>0</v>
      </c>
      <c r="AM162" s="84">
        <f t="shared" si="46"/>
        <v>0</v>
      </c>
      <c r="AN162" s="84">
        <f t="shared" si="46"/>
        <v>0</v>
      </c>
      <c r="AO162" s="84">
        <f t="shared" si="46"/>
        <v>0</v>
      </c>
    </row>
    <row r="163" outlineLevel="1">
      <c r="A163" s="142" t="s">
        <v>338</v>
      </c>
      <c r="B163" s="84">
        <f t="shared" ref="B163:AO163" si="47">B138*B$86</f>
        <v>0</v>
      </c>
      <c r="C163" s="84">
        <f t="shared" si="47"/>
        <v>0</v>
      </c>
      <c r="D163" s="84">
        <f t="shared" si="47"/>
        <v>0</v>
      </c>
      <c r="E163" s="84">
        <f t="shared" si="47"/>
        <v>0</v>
      </c>
      <c r="F163" s="84">
        <f t="shared" si="47"/>
        <v>0</v>
      </c>
      <c r="G163" s="84">
        <f t="shared" si="47"/>
        <v>0</v>
      </c>
      <c r="H163" s="84">
        <f t="shared" si="47"/>
        <v>0</v>
      </c>
      <c r="I163" s="84">
        <f t="shared" si="47"/>
        <v>0</v>
      </c>
      <c r="J163" s="84">
        <f t="shared" si="47"/>
        <v>0</v>
      </c>
      <c r="K163" s="84">
        <f t="shared" si="47"/>
        <v>0</v>
      </c>
      <c r="L163" s="84">
        <f t="shared" si="47"/>
        <v>0</v>
      </c>
      <c r="M163" s="84">
        <f t="shared" si="47"/>
        <v>0</v>
      </c>
      <c r="N163" s="84">
        <f t="shared" si="47"/>
        <v>0</v>
      </c>
      <c r="O163" s="84">
        <f t="shared" si="47"/>
        <v>0</v>
      </c>
      <c r="P163" s="84">
        <f t="shared" si="47"/>
        <v>0</v>
      </c>
      <c r="Q163" s="84">
        <f t="shared" si="47"/>
        <v>0</v>
      </c>
      <c r="R163" s="84">
        <f t="shared" si="47"/>
        <v>0</v>
      </c>
      <c r="S163" s="84">
        <f t="shared" si="47"/>
        <v>0</v>
      </c>
      <c r="T163" s="84">
        <f t="shared" si="47"/>
        <v>0</v>
      </c>
      <c r="U163" s="84">
        <f t="shared" si="47"/>
        <v>0</v>
      </c>
      <c r="V163" s="84">
        <f t="shared" si="47"/>
        <v>0</v>
      </c>
      <c r="W163" s="84">
        <f t="shared" si="47"/>
        <v>0</v>
      </c>
      <c r="X163" s="84">
        <f t="shared" si="47"/>
        <v>0</v>
      </c>
      <c r="Y163" s="84">
        <f t="shared" si="47"/>
        <v>0</v>
      </c>
      <c r="Z163" s="84">
        <f t="shared" si="47"/>
        <v>0</v>
      </c>
      <c r="AA163" s="84">
        <f t="shared" si="47"/>
        <v>0</v>
      </c>
      <c r="AB163" s="84">
        <f t="shared" si="47"/>
        <v>0</v>
      </c>
      <c r="AC163" s="84">
        <f t="shared" si="47"/>
        <v>0</v>
      </c>
      <c r="AD163" s="84">
        <f t="shared" si="47"/>
        <v>0</v>
      </c>
      <c r="AE163" s="84">
        <f t="shared" si="47"/>
        <v>0</v>
      </c>
      <c r="AF163" s="84">
        <f t="shared" si="47"/>
        <v>0</v>
      </c>
      <c r="AG163" s="84">
        <f t="shared" si="47"/>
        <v>0</v>
      </c>
      <c r="AH163" s="84">
        <f t="shared" si="47"/>
        <v>0</v>
      </c>
      <c r="AI163" s="84">
        <f t="shared" si="47"/>
        <v>0</v>
      </c>
      <c r="AJ163" s="84">
        <f t="shared" si="47"/>
        <v>0</v>
      </c>
      <c r="AK163" s="84">
        <f t="shared" si="47"/>
        <v>0</v>
      </c>
      <c r="AL163" s="84">
        <f t="shared" si="47"/>
        <v>0</v>
      </c>
      <c r="AM163" s="84">
        <f t="shared" si="47"/>
        <v>0</v>
      </c>
      <c r="AN163" s="84">
        <f t="shared" si="47"/>
        <v>0</v>
      </c>
      <c r="AO163" s="84">
        <f t="shared" si="47"/>
        <v>0</v>
      </c>
    </row>
    <row r="164" outlineLevel="1">
      <c r="A164" s="142" t="s">
        <v>440</v>
      </c>
      <c r="B164" s="84">
        <f t="shared" ref="B164:AO164" si="48">B139*B$86</f>
        <v>1017.847049</v>
      </c>
      <c r="C164" s="84">
        <f t="shared" si="48"/>
        <v>4338.213964</v>
      </c>
      <c r="D164" s="84">
        <f t="shared" si="48"/>
        <v>3189.471154</v>
      </c>
      <c r="E164" s="84">
        <f t="shared" si="48"/>
        <v>3628.602137</v>
      </c>
      <c r="F164" s="84">
        <f t="shared" si="48"/>
        <v>2584.996345</v>
      </c>
      <c r="G164" s="84">
        <f t="shared" si="48"/>
        <v>1994.177998</v>
      </c>
      <c r="H164" s="84">
        <f t="shared" si="48"/>
        <v>1432.993091</v>
      </c>
      <c r="I164" s="84">
        <f t="shared" si="48"/>
        <v>2977.139962</v>
      </c>
      <c r="J164" s="84">
        <f t="shared" si="48"/>
        <v>882.038689</v>
      </c>
      <c r="K164" s="84">
        <f t="shared" si="48"/>
        <v>679.2331061</v>
      </c>
      <c r="L164" s="84">
        <f t="shared" si="48"/>
        <v>4775.78123</v>
      </c>
      <c r="M164" s="84">
        <f t="shared" si="48"/>
        <v>218.0824938</v>
      </c>
      <c r="N164" s="84">
        <f t="shared" si="48"/>
        <v>4775.78123</v>
      </c>
      <c r="O164" s="84">
        <f t="shared" si="48"/>
        <v>4254.689759</v>
      </c>
      <c r="P164" s="84">
        <f t="shared" si="48"/>
        <v>459.0803541</v>
      </c>
      <c r="Q164" s="84">
        <f t="shared" si="48"/>
        <v>2604.090068</v>
      </c>
      <c r="R164" s="84">
        <f t="shared" si="48"/>
        <v>1518.646701</v>
      </c>
      <c r="S164" s="84">
        <f t="shared" si="48"/>
        <v>1163.567228</v>
      </c>
      <c r="T164" s="84">
        <f t="shared" si="48"/>
        <v>2416.498587</v>
      </c>
      <c r="U164" s="84">
        <f t="shared" si="48"/>
        <v>1373.767224</v>
      </c>
      <c r="V164" s="84">
        <f t="shared" si="48"/>
        <v>4271.996084</v>
      </c>
      <c r="W164" s="84">
        <f t="shared" si="48"/>
        <v>3349.909891</v>
      </c>
      <c r="X164" s="84">
        <f t="shared" si="48"/>
        <v>1814.847252</v>
      </c>
      <c r="Y164" s="84">
        <f t="shared" si="48"/>
        <v>2126.664706</v>
      </c>
      <c r="Z164" s="84">
        <f t="shared" si="48"/>
        <v>439.571755</v>
      </c>
      <c r="AA164" s="84">
        <f t="shared" si="48"/>
        <v>2437.189355</v>
      </c>
      <c r="AB164" s="84">
        <f t="shared" si="48"/>
        <v>2700.6312</v>
      </c>
      <c r="AC164" s="84">
        <f t="shared" si="48"/>
        <v>3224.373077</v>
      </c>
      <c r="AD164" s="84">
        <f t="shared" si="48"/>
        <v>2743.096215</v>
      </c>
      <c r="AE164" s="84">
        <f t="shared" si="48"/>
        <v>3980.025808</v>
      </c>
      <c r="AF164" s="84">
        <f t="shared" si="48"/>
        <v>4002.448816</v>
      </c>
      <c r="AG164" s="84">
        <f t="shared" si="48"/>
        <v>1098.871398</v>
      </c>
      <c r="AH164" s="84">
        <f t="shared" si="48"/>
        <v>1086.00887</v>
      </c>
      <c r="AI164" s="84">
        <f t="shared" si="48"/>
        <v>5724.877104</v>
      </c>
      <c r="AJ164" s="84">
        <f t="shared" si="48"/>
        <v>2960.678705</v>
      </c>
      <c r="AK164" s="84">
        <f t="shared" si="48"/>
        <v>1708.545899</v>
      </c>
      <c r="AL164" s="84">
        <f t="shared" si="48"/>
        <v>6211.770489</v>
      </c>
      <c r="AM164" s="84">
        <f t="shared" si="48"/>
        <v>3925.187061</v>
      </c>
      <c r="AN164" s="84">
        <f t="shared" si="48"/>
        <v>6211.770489</v>
      </c>
      <c r="AO164" s="84">
        <f t="shared" si="48"/>
        <v>79.04988904</v>
      </c>
    </row>
    <row r="165" outlineLevel="1">
      <c r="A165" s="356"/>
      <c r="B165" s="168"/>
      <c r="C165" s="168"/>
      <c r="D165" s="168"/>
      <c r="E165" s="168"/>
      <c r="F165" s="168"/>
      <c r="G165" s="168"/>
      <c r="H165" s="168"/>
      <c r="I165" s="168"/>
      <c r="J165" s="168"/>
      <c r="K165" s="168"/>
      <c r="L165" s="168"/>
      <c r="M165" s="168"/>
      <c r="N165" s="168"/>
      <c r="O165" s="168"/>
      <c r="P165" s="168"/>
      <c r="Q165" s="168"/>
      <c r="R165" s="168"/>
      <c r="S165" s="168"/>
      <c r="T165" s="168"/>
      <c r="U165" s="168"/>
      <c r="V165" s="168"/>
      <c r="W165" s="168"/>
      <c r="X165" s="168"/>
      <c r="Y165" s="168"/>
      <c r="Z165" s="168"/>
      <c r="AA165" s="168"/>
      <c r="AB165" s="168"/>
      <c r="AC165" s="168"/>
      <c r="AD165" s="168"/>
      <c r="AE165" s="168"/>
      <c r="AF165" s="168"/>
      <c r="AG165" s="168"/>
      <c r="AH165" s="168"/>
      <c r="AI165" s="168"/>
      <c r="AJ165" s="168"/>
      <c r="AK165" s="168"/>
      <c r="AL165" s="168"/>
      <c r="AM165" s="168"/>
      <c r="AN165" s="168"/>
      <c r="AO165" s="168"/>
    </row>
    <row r="166" outlineLevel="1">
      <c r="A166" s="356" t="s">
        <v>333</v>
      </c>
      <c r="B166" s="168"/>
      <c r="C166" s="168"/>
      <c r="D166" s="168"/>
      <c r="E166" s="168"/>
      <c r="F166" s="168"/>
      <c r="G166" s="168"/>
      <c r="H166" s="168"/>
      <c r="I166" s="168"/>
      <c r="J166" s="168"/>
      <c r="K166" s="168"/>
      <c r="L166" s="168"/>
      <c r="M166" s="168"/>
      <c r="N166" s="168"/>
      <c r="O166" s="168"/>
      <c r="P166" s="168"/>
      <c r="Q166" s="168"/>
      <c r="R166" s="168"/>
      <c r="S166" s="168"/>
      <c r="T166" s="168"/>
      <c r="U166" s="168"/>
      <c r="V166" s="168"/>
      <c r="W166" s="168"/>
      <c r="X166" s="168"/>
      <c r="Y166" s="168"/>
      <c r="Z166" s="168"/>
      <c r="AA166" s="168"/>
      <c r="AB166" s="168"/>
      <c r="AC166" s="168"/>
      <c r="AD166" s="168"/>
      <c r="AE166" s="168"/>
      <c r="AF166" s="168"/>
      <c r="AG166" s="168"/>
      <c r="AH166" s="168"/>
      <c r="AI166" s="168"/>
      <c r="AJ166" s="168"/>
      <c r="AK166" s="168"/>
      <c r="AL166" s="168"/>
      <c r="AM166" s="168"/>
      <c r="AN166" s="168"/>
      <c r="AO166" s="168"/>
    </row>
    <row r="167" outlineLevel="1">
      <c r="A167" s="142" t="s">
        <v>336</v>
      </c>
      <c r="B167" s="168">
        <f t="shared" ref="B167:AO167" si="49">B142*B$86</f>
        <v>0</v>
      </c>
      <c r="C167" s="168">
        <f t="shared" si="49"/>
        <v>0</v>
      </c>
      <c r="D167" s="168">
        <f t="shared" si="49"/>
        <v>0</v>
      </c>
      <c r="E167" s="168">
        <f t="shared" si="49"/>
        <v>0</v>
      </c>
      <c r="F167" s="168">
        <f t="shared" si="49"/>
        <v>0</v>
      </c>
      <c r="G167" s="168">
        <f t="shared" si="49"/>
        <v>0</v>
      </c>
      <c r="H167" s="168">
        <f t="shared" si="49"/>
        <v>0</v>
      </c>
      <c r="I167" s="168">
        <f t="shared" si="49"/>
        <v>0</v>
      </c>
      <c r="J167" s="168">
        <f t="shared" si="49"/>
        <v>0</v>
      </c>
      <c r="K167" s="168">
        <f t="shared" si="49"/>
        <v>0</v>
      </c>
      <c r="L167" s="168">
        <f t="shared" si="49"/>
        <v>0</v>
      </c>
      <c r="M167" s="168">
        <f t="shared" si="49"/>
        <v>0</v>
      </c>
      <c r="N167" s="168">
        <f t="shared" si="49"/>
        <v>0</v>
      </c>
      <c r="O167" s="168">
        <f t="shared" si="49"/>
        <v>0</v>
      </c>
      <c r="P167" s="168">
        <f t="shared" si="49"/>
        <v>0</v>
      </c>
      <c r="Q167" s="168">
        <f t="shared" si="49"/>
        <v>0</v>
      </c>
      <c r="R167" s="168">
        <f t="shared" si="49"/>
        <v>0</v>
      </c>
      <c r="S167" s="168">
        <f t="shared" si="49"/>
        <v>0</v>
      </c>
      <c r="T167" s="168">
        <f t="shared" si="49"/>
        <v>0</v>
      </c>
      <c r="U167" s="168">
        <f t="shared" si="49"/>
        <v>0</v>
      </c>
      <c r="V167" s="168">
        <f t="shared" si="49"/>
        <v>0</v>
      </c>
      <c r="W167" s="168">
        <f t="shared" si="49"/>
        <v>0</v>
      </c>
      <c r="X167" s="168">
        <f t="shared" si="49"/>
        <v>0</v>
      </c>
      <c r="Y167" s="168">
        <f t="shared" si="49"/>
        <v>0</v>
      </c>
      <c r="Z167" s="168">
        <f t="shared" si="49"/>
        <v>0</v>
      </c>
      <c r="AA167" s="168">
        <f t="shared" si="49"/>
        <v>0</v>
      </c>
      <c r="AB167" s="168">
        <f t="shared" si="49"/>
        <v>0</v>
      </c>
      <c r="AC167" s="168">
        <f t="shared" si="49"/>
        <v>0</v>
      </c>
      <c r="AD167" s="168">
        <f t="shared" si="49"/>
        <v>0</v>
      </c>
      <c r="AE167" s="168">
        <f t="shared" si="49"/>
        <v>0</v>
      </c>
      <c r="AF167" s="168">
        <f t="shared" si="49"/>
        <v>0</v>
      </c>
      <c r="AG167" s="168">
        <f t="shared" si="49"/>
        <v>0</v>
      </c>
      <c r="AH167" s="168">
        <f t="shared" si="49"/>
        <v>0</v>
      </c>
      <c r="AI167" s="168">
        <f t="shared" si="49"/>
        <v>0</v>
      </c>
      <c r="AJ167" s="168">
        <f t="shared" si="49"/>
        <v>0</v>
      </c>
      <c r="AK167" s="168">
        <f t="shared" si="49"/>
        <v>0</v>
      </c>
      <c r="AL167" s="168">
        <f t="shared" si="49"/>
        <v>0</v>
      </c>
      <c r="AM167" s="168">
        <f t="shared" si="49"/>
        <v>0</v>
      </c>
      <c r="AN167" s="168">
        <f t="shared" si="49"/>
        <v>0</v>
      </c>
      <c r="AO167" s="168">
        <f t="shared" si="49"/>
        <v>0</v>
      </c>
    </row>
    <row r="168" outlineLevel="1">
      <c r="A168" s="356" t="s">
        <v>337</v>
      </c>
      <c r="B168" s="168">
        <f t="shared" ref="B168:AO168" si="50">B143*B$86</f>
        <v>-510.3112309</v>
      </c>
      <c r="C168" s="168">
        <f t="shared" si="50"/>
        <v>-3035.632257</v>
      </c>
      <c r="D168" s="168">
        <f t="shared" si="50"/>
        <v>-1846.372803</v>
      </c>
      <c r="E168" s="168">
        <f t="shared" si="50"/>
        <v>-2413.120553</v>
      </c>
      <c r="F168" s="168">
        <f t="shared" si="50"/>
        <v>-1719.093903</v>
      </c>
      <c r="G168" s="168">
        <f t="shared" si="50"/>
        <v>-1326.183399</v>
      </c>
      <c r="H168" s="168">
        <f t="shared" si="50"/>
        <v>-952.9799493</v>
      </c>
      <c r="I168" s="168">
        <f t="shared" si="50"/>
        <v>-1979.88023</v>
      </c>
      <c r="J168" s="168">
        <f t="shared" si="50"/>
        <v>-586.5800683</v>
      </c>
      <c r="K168" s="168">
        <f t="shared" si="50"/>
        <v>-451.7087592</v>
      </c>
      <c r="L168" s="168">
        <f t="shared" si="50"/>
        <v>-3176.026307</v>
      </c>
      <c r="M168" s="168">
        <f t="shared" si="50"/>
        <v>-145.0308765</v>
      </c>
      <c r="N168" s="168">
        <f t="shared" si="50"/>
        <v>-3176.026307</v>
      </c>
      <c r="O168" s="168">
        <f t="shared" si="50"/>
        <v>-2829.486099</v>
      </c>
      <c r="P168" s="168">
        <f t="shared" si="50"/>
        <v>-305.301104</v>
      </c>
      <c r="Q168" s="168">
        <f t="shared" si="50"/>
        <v>-1731.791756</v>
      </c>
      <c r="R168" s="168">
        <f t="shared" si="50"/>
        <v>-1009.941964</v>
      </c>
      <c r="S168" s="168">
        <f t="shared" si="50"/>
        <v>-773.8043156</v>
      </c>
      <c r="T168" s="168">
        <f t="shared" si="50"/>
        <v>-1607.038245</v>
      </c>
      <c r="U168" s="168">
        <f t="shared" si="50"/>
        <v>-882.679601</v>
      </c>
      <c r="V168" s="168">
        <f t="shared" si="50"/>
        <v>-2744.86371</v>
      </c>
      <c r="W168" s="168">
        <f t="shared" si="50"/>
        <v>-2152.400403</v>
      </c>
      <c r="X168" s="168">
        <f t="shared" si="50"/>
        <v>-1166.084487</v>
      </c>
      <c r="Y168" s="168">
        <f t="shared" si="50"/>
        <v>-1366.434955</v>
      </c>
      <c r="Z168" s="168">
        <f t="shared" si="50"/>
        <v>-282.4357829</v>
      </c>
      <c r="AA168" s="168">
        <f t="shared" si="50"/>
        <v>-1565.954763</v>
      </c>
      <c r="AB168" s="168">
        <f t="shared" si="50"/>
        <v>-2041.089264</v>
      </c>
      <c r="AC168" s="168">
        <f t="shared" si="50"/>
        <v>-2848.234305</v>
      </c>
      <c r="AD168" s="168">
        <f t="shared" si="50"/>
        <v>-2423.100726</v>
      </c>
      <c r="AE168" s="168">
        <f t="shared" si="50"/>
        <v>-3515.736477</v>
      </c>
      <c r="AF168" s="168">
        <f t="shared" si="50"/>
        <v>-3535.543732</v>
      </c>
      <c r="AG168" s="168">
        <f t="shared" si="50"/>
        <v>-819.9612915</v>
      </c>
      <c r="AH168" s="168">
        <f t="shared" si="50"/>
        <v>-711.7774191</v>
      </c>
      <c r="AI168" s="168">
        <f t="shared" si="50"/>
        <v>-4033.84304</v>
      </c>
      <c r="AJ168" s="168">
        <f t="shared" si="50"/>
        <v>-2086.143156</v>
      </c>
      <c r="AK168" s="168">
        <f t="shared" si="50"/>
        <v>-1203.869683</v>
      </c>
      <c r="AL168" s="168">
        <f t="shared" si="50"/>
        <v>-4376.916167</v>
      </c>
      <c r="AM168" s="168">
        <f t="shared" si="50"/>
        <v>-2765.751687</v>
      </c>
      <c r="AN168" s="168">
        <f t="shared" si="50"/>
        <v>-4376.916167</v>
      </c>
      <c r="AO168" s="168">
        <f t="shared" si="50"/>
        <v>-35.66007043</v>
      </c>
    </row>
    <row r="169" outlineLevel="1">
      <c r="A169" s="142" t="s">
        <v>338</v>
      </c>
      <c r="B169" s="168">
        <f t="shared" ref="B169:AO169" si="51">B144*B$86</f>
        <v>-172.8791563</v>
      </c>
      <c r="C169" s="168">
        <f t="shared" si="51"/>
        <v>-2744.92797</v>
      </c>
      <c r="D169" s="168">
        <f t="shared" si="51"/>
        <v>-1118.732052</v>
      </c>
      <c r="E169" s="168">
        <f t="shared" si="51"/>
        <v>-2002.012488</v>
      </c>
      <c r="F169" s="168">
        <f t="shared" si="51"/>
        <v>-1426.222762</v>
      </c>
      <c r="G169" s="168">
        <f t="shared" si="51"/>
        <v>-1100.249932</v>
      </c>
      <c r="H169" s="168">
        <f t="shared" si="51"/>
        <v>-790.6267909</v>
      </c>
      <c r="I169" s="168">
        <f t="shared" si="51"/>
        <v>-1642.580574</v>
      </c>
      <c r="J169" s="168">
        <f t="shared" si="51"/>
        <v>-486.6481371</v>
      </c>
      <c r="K169" s="168">
        <f t="shared" si="51"/>
        <v>-374.7539987</v>
      </c>
      <c r="L169" s="168">
        <f t="shared" si="51"/>
        <v>-2634.94682</v>
      </c>
      <c r="M169" s="168">
        <f t="shared" si="51"/>
        <v>-120.3228846</v>
      </c>
      <c r="N169" s="168">
        <f t="shared" si="51"/>
        <v>-2634.94682</v>
      </c>
      <c r="O169" s="168">
        <f t="shared" si="51"/>
        <v>-2347.444472</v>
      </c>
      <c r="P169" s="168">
        <f t="shared" si="51"/>
        <v>-253.2888884</v>
      </c>
      <c r="Q169" s="168">
        <f t="shared" si="51"/>
        <v>-1436.757362</v>
      </c>
      <c r="R169" s="168">
        <f t="shared" si="51"/>
        <v>-837.8845477</v>
      </c>
      <c r="S169" s="168">
        <f t="shared" si="51"/>
        <v>-641.9761751</v>
      </c>
      <c r="T169" s="168">
        <f t="shared" si="51"/>
        <v>-1333.257317</v>
      </c>
      <c r="U169" s="168">
        <f t="shared" si="51"/>
        <v>-685.8185119</v>
      </c>
      <c r="V169" s="168">
        <f t="shared" si="51"/>
        <v>-2132.685906</v>
      </c>
      <c r="W169" s="168">
        <f t="shared" si="51"/>
        <v>-1672.357716</v>
      </c>
      <c r="X169" s="168">
        <f t="shared" si="51"/>
        <v>-906.0165506</v>
      </c>
      <c r="Y169" s="168">
        <f t="shared" si="51"/>
        <v>-1061.683521</v>
      </c>
      <c r="Z169" s="168">
        <f t="shared" si="51"/>
        <v>-219.4450717</v>
      </c>
      <c r="AA169" s="168">
        <f t="shared" si="51"/>
        <v>-1216.705092</v>
      </c>
      <c r="AB169" s="168">
        <f t="shared" si="51"/>
        <v>-2061.910415</v>
      </c>
      <c r="AC169" s="168">
        <f t="shared" si="51"/>
        <v>-3421.506969</v>
      </c>
      <c r="AD169" s="168">
        <f t="shared" si="51"/>
        <v>-2910.805478</v>
      </c>
      <c r="AE169" s="168">
        <f t="shared" si="51"/>
        <v>-4223.359305</v>
      </c>
      <c r="AF169" s="168">
        <f t="shared" si="51"/>
        <v>-4247.153225</v>
      </c>
      <c r="AG169" s="168">
        <f t="shared" si="51"/>
        <v>-814.3716153</v>
      </c>
      <c r="AH169" s="168">
        <f t="shared" si="51"/>
        <v>-574.8051079</v>
      </c>
      <c r="AI169" s="168">
        <f t="shared" si="51"/>
        <v>-3687.423323</v>
      </c>
      <c r="AJ169" s="168">
        <f t="shared" si="51"/>
        <v>-1906.988658</v>
      </c>
      <c r="AK169" s="168">
        <f t="shared" si="51"/>
        <v>-1100.483361</v>
      </c>
      <c r="AL169" s="168">
        <f t="shared" si="51"/>
        <v>-4001.033902</v>
      </c>
      <c r="AM169" s="168">
        <f t="shared" si="51"/>
        <v>-2528.233541</v>
      </c>
      <c r="AN169" s="168">
        <f t="shared" si="51"/>
        <v>-4001.033902</v>
      </c>
      <c r="AO169" s="168">
        <f t="shared" si="51"/>
        <v>-4.156941956</v>
      </c>
    </row>
    <row r="170" outlineLevel="1">
      <c r="A170" s="142" t="s">
        <v>440</v>
      </c>
      <c r="B170" s="168">
        <f t="shared" ref="B170:AO170" si="52">B145*B$86</f>
        <v>0</v>
      </c>
      <c r="C170" s="168">
        <f t="shared" si="52"/>
        <v>0</v>
      </c>
      <c r="D170" s="168">
        <f t="shared" si="52"/>
        <v>0</v>
      </c>
      <c r="E170" s="168">
        <f t="shared" si="52"/>
        <v>0</v>
      </c>
      <c r="F170" s="168">
        <f t="shared" si="52"/>
        <v>0</v>
      </c>
      <c r="G170" s="168">
        <f t="shared" si="52"/>
        <v>0</v>
      </c>
      <c r="H170" s="168">
        <f t="shared" si="52"/>
        <v>0</v>
      </c>
      <c r="I170" s="168">
        <f t="shared" si="52"/>
        <v>0</v>
      </c>
      <c r="J170" s="168">
        <f t="shared" si="52"/>
        <v>0</v>
      </c>
      <c r="K170" s="168">
        <f t="shared" si="52"/>
        <v>0</v>
      </c>
      <c r="L170" s="168">
        <f t="shared" si="52"/>
        <v>0</v>
      </c>
      <c r="M170" s="168">
        <f t="shared" si="52"/>
        <v>0</v>
      </c>
      <c r="N170" s="168">
        <f t="shared" si="52"/>
        <v>0</v>
      </c>
      <c r="O170" s="168">
        <f t="shared" si="52"/>
        <v>0</v>
      </c>
      <c r="P170" s="168">
        <f t="shared" si="52"/>
        <v>0</v>
      </c>
      <c r="Q170" s="168">
        <f t="shared" si="52"/>
        <v>0</v>
      </c>
      <c r="R170" s="168">
        <f t="shared" si="52"/>
        <v>0</v>
      </c>
      <c r="S170" s="168">
        <f t="shared" si="52"/>
        <v>0</v>
      </c>
      <c r="T170" s="168">
        <f t="shared" si="52"/>
        <v>0</v>
      </c>
      <c r="U170" s="168">
        <f t="shared" si="52"/>
        <v>0</v>
      </c>
      <c r="V170" s="168">
        <f t="shared" si="52"/>
        <v>0</v>
      </c>
      <c r="W170" s="168">
        <f t="shared" si="52"/>
        <v>0</v>
      </c>
      <c r="X170" s="168">
        <f t="shared" si="52"/>
        <v>0</v>
      </c>
      <c r="Y170" s="168">
        <f t="shared" si="52"/>
        <v>0</v>
      </c>
      <c r="Z170" s="168">
        <f t="shared" si="52"/>
        <v>0</v>
      </c>
      <c r="AA170" s="168">
        <f t="shared" si="52"/>
        <v>0</v>
      </c>
      <c r="AB170" s="168">
        <f t="shared" si="52"/>
        <v>0</v>
      </c>
      <c r="AC170" s="168">
        <f t="shared" si="52"/>
        <v>0</v>
      </c>
      <c r="AD170" s="168">
        <f t="shared" si="52"/>
        <v>0</v>
      </c>
      <c r="AE170" s="168">
        <f t="shared" si="52"/>
        <v>0</v>
      </c>
      <c r="AF170" s="168">
        <f t="shared" si="52"/>
        <v>0</v>
      </c>
      <c r="AG170" s="168">
        <f t="shared" si="52"/>
        <v>0</v>
      </c>
      <c r="AH170" s="168">
        <f t="shared" si="52"/>
        <v>0</v>
      </c>
      <c r="AI170" s="168">
        <f t="shared" si="52"/>
        <v>0</v>
      </c>
      <c r="AJ170" s="168">
        <f t="shared" si="52"/>
        <v>0</v>
      </c>
      <c r="AK170" s="168">
        <f t="shared" si="52"/>
        <v>0</v>
      </c>
      <c r="AL170" s="168">
        <f t="shared" si="52"/>
        <v>0</v>
      </c>
      <c r="AM170" s="168">
        <f t="shared" si="52"/>
        <v>0</v>
      </c>
      <c r="AN170" s="168">
        <f t="shared" si="52"/>
        <v>0</v>
      </c>
      <c r="AO170" s="168">
        <f t="shared" si="52"/>
        <v>0</v>
      </c>
    </row>
    <row r="171" outlineLevel="1">
      <c r="A171" s="356"/>
      <c r="B171" s="168"/>
      <c r="C171" s="168"/>
      <c r="D171" s="168"/>
      <c r="E171" s="168"/>
      <c r="F171" s="168"/>
      <c r="G171" s="168"/>
      <c r="H171" s="168"/>
      <c r="I171" s="168"/>
      <c r="J171" s="168"/>
      <c r="K171" s="168"/>
      <c r="L171" s="168"/>
      <c r="M171" s="168"/>
      <c r="N171" s="168"/>
      <c r="O171" s="168"/>
      <c r="P171" s="168"/>
      <c r="Q171" s="168"/>
      <c r="R171" s="168"/>
      <c r="S171" s="168"/>
      <c r="T171" s="168"/>
      <c r="U171" s="168"/>
      <c r="V171" s="168"/>
      <c r="W171" s="168"/>
      <c r="X171" s="168"/>
      <c r="Y171" s="168"/>
      <c r="Z171" s="168"/>
      <c r="AA171" s="168"/>
      <c r="AB171" s="168"/>
      <c r="AC171" s="168"/>
      <c r="AD171" s="168"/>
      <c r="AE171" s="168"/>
      <c r="AF171" s="168"/>
      <c r="AG171" s="168"/>
      <c r="AH171" s="168"/>
      <c r="AI171" s="168"/>
      <c r="AJ171" s="168"/>
      <c r="AK171" s="168"/>
      <c r="AL171" s="168"/>
      <c r="AM171" s="168"/>
      <c r="AN171" s="168"/>
      <c r="AO171" s="168"/>
    </row>
    <row r="172" outlineLevel="1">
      <c r="A172" s="367" t="s">
        <v>220</v>
      </c>
      <c r="B172" s="168"/>
      <c r="C172" s="168"/>
      <c r="D172" s="168"/>
      <c r="E172" s="168"/>
      <c r="F172" s="168"/>
      <c r="G172" s="168"/>
      <c r="H172" s="168"/>
      <c r="I172" s="168"/>
      <c r="J172" s="168"/>
      <c r="K172" s="168"/>
      <c r="L172" s="168"/>
      <c r="M172" s="168"/>
      <c r="N172" s="168"/>
      <c r="O172" s="168"/>
      <c r="P172" s="168"/>
      <c r="Q172" s="168"/>
      <c r="R172" s="168"/>
      <c r="S172" s="168"/>
      <c r="T172" s="168"/>
      <c r="U172" s="168"/>
      <c r="V172" s="168"/>
      <c r="W172" s="168"/>
      <c r="X172" s="168"/>
      <c r="Y172" s="168"/>
      <c r="Z172" s="168"/>
      <c r="AA172" s="168"/>
      <c r="AB172" s="168"/>
      <c r="AC172" s="168"/>
      <c r="AD172" s="168"/>
      <c r="AE172" s="168"/>
      <c r="AF172" s="168"/>
      <c r="AG172" s="168"/>
      <c r="AH172" s="168"/>
      <c r="AI172" s="168"/>
      <c r="AJ172" s="168"/>
      <c r="AK172" s="168"/>
      <c r="AL172" s="168"/>
      <c r="AM172" s="168"/>
      <c r="AN172" s="168"/>
      <c r="AO172" s="168"/>
    </row>
    <row r="173" outlineLevel="1">
      <c r="A173" s="142" t="s">
        <v>336</v>
      </c>
      <c r="B173" s="168">
        <f t="shared" ref="B173:AO173" si="53">B148*B$86</f>
        <v>0</v>
      </c>
      <c r="C173" s="168">
        <f t="shared" si="53"/>
        <v>0</v>
      </c>
      <c r="D173" s="168">
        <f t="shared" si="53"/>
        <v>0</v>
      </c>
      <c r="E173" s="168">
        <f t="shared" si="53"/>
        <v>0</v>
      </c>
      <c r="F173" s="168">
        <f t="shared" si="53"/>
        <v>0</v>
      </c>
      <c r="G173" s="168">
        <f t="shared" si="53"/>
        <v>0</v>
      </c>
      <c r="H173" s="168">
        <f t="shared" si="53"/>
        <v>0</v>
      </c>
      <c r="I173" s="168">
        <f t="shared" si="53"/>
        <v>0</v>
      </c>
      <c r="J173" s="168">
        <f t="shared" si="53"/>
        <v>0</v>
      </c>
      <c r="K173" s="168">
        <f t="shared" si="53"/>
        <v>0</v>
      </c>
      <c r="L173" s="168">
        <f t="shared" si="53"/>
        <v>0</v>
      </c>
      <c r="M173" s="168">
        <f t="shared" si="53"/>
        <v>0</v>
      </c>
      <c r="N173" s="168">
        <f t="shared" si="53"/>
        <v>0</v>
      </c>
      <c r="O173" s="168">
        <f t="shared" si="53"/>
        <v>0</v>
      </c>
      <c r="P173" s="168">
        <f t="shared" si="53"/>
        <v>0</v>
      </c>
      <c r="Q173" s="168">
        <f t="shared" si="53"/>
        <v>0</v>
      </c>
      <c r="R173" s="168">
        <f t="shared" si="53"/>
        <v>0</v>
      </c>
      <c r="S173" s="168">
        <f t="shared" si="53"/>
        <v>0</v>
      </c>
      <c r="T173" s="168">
        <f t="shared" si="53"/>
        <v>0</v>
      </c>
      <c r="U173" s="168">
        <f t="shared" si="53"/>
        <v>0</v>
      </c>
      <c r="V173" s="168">
        <f t="shared" si="53"/>
        <v>0</v>
      </c>
      <c r="W173" s="168">
        <f t="shared" si="53"/>
        <v>0</v>
      </c>
      <c r="X173" s="168">
        <f t="shared" si="53"/>
        <v>0</v>
      </c>
      <c r="Y173" s="168">
        <f t="shared" si="53"/>
        <v>0</v>
      </c>
      <c r="Z173" s="168">
        <f t="shared" si="53"/>
        <v>0</v>
      </c>
      <c r="AA173" s="168">
        <f t="shared" si="53"/>
        <v>0</v>
      </c>
      <c r="AB173" s="168">
        <f t="shared" si="53"/>
        <v>0</v>
      </c>
      <c r="AC173" s="168">
        <f t="shared" si="53"/>
        <v>0</v>
      </c>
      <c r="AD173" s="168">
        <f t="shared" si="53"/>
        <v>0</v>
      </c>
      <c r="AE173" s="168">
        <f t="shared" si="53"/>
        <v>0</v>
      </c>
      <c r="AF173" s="168">
        <f t="shared" si="53"/>
        <v>0</v>
      </c>
      <c r="AG173" s="168">
        <f t="shared" si="53"/>
        <v>0</v>
      </c>
      <c r="AH173" s="168">
        <f t="shared" si="53"/>
        <v>0</v>
      </c>
      <c r="AI173" s="168">
        <f t="shared" si="53"/>
        <v>0</v>
      </c>
      <c r="AJ173" s="168">
        <f t="shared" si="53"/>
        <v>0</v>
      </c>
      <c r="AK173" s="168">
        <f t="shared" si="53"/>
        <v>0</v>
      </c>
      <c r="AL173" s="168">
        <f t="shared" si="53"/>
        <v>0</v>
      </c>
      <c r="AM173" s="168">
        <f t="shared" si="53"/>
        <v>0</v>
      </c>
      <c r="AN173" s="168">
        <f t="shared" si="53"/>
        <v>0</v>
      </c>
      <c r="AO173" s="168">
        <f t="shared" si="53"/>
        <v>0</v>
      </c>
    </row>
    <row r="174" outlineLevel="1">
      <c r="A174" s="356" t="s">
        <v>337</v>
      </c>
      <c r="B174" s="168">
        <f t="shared" ref="B174:AO174" si="54">B149*B$86</f>
        <v>-510.3112309</v>
      </c>
      <c r="C174" s="168">
        <f t="shared" si="54"/>
        <v>-3035.632257</v>
      </c>
      <c r="D174" s="168">
        <f t="shared" si="54"/>
        <v>-1846.372803</v>
      </c>
      <c r="E174" s="168">
        <f t="shared" si="54"/>
        <v>-2413.120553</v>
      </c>
      <c r="F174" s="168">
        <f t="shared" si="54"/>
        <v>-1719.093903</v>
      </c>
      <c r="G174" s="168">
        <f t="shared" si="54"/>
        <v>-1326.183399</v>
      </c>
      <c r="H174" s="168">
        <f t="shared" si="54"/>
        <v>-952.9799493</v>
      </c>
      <c r="I174" s="168">
        <f t="shared" si="54"/>
        <v>-1979.88023</v>
      </c>
      <c r="J174" s="168">
        <f t="shared" si="54"/>
        <v>-586.5800683</v>
      </c>
      <c r="K174" s="168">
        <f t="shared" si="54"/>
        <v>-451.7087592</v>
      </c>
      <c r="L174" s="168">
        <f t="shared" si="54"/>
        <v>-3176.026307</v>
      </c>
      <c r="M174" s="168">
        <f t="shared" si="54"/>
        <v>-145.0308765</v>
      </c>
      <c r="N174" s="168">
        <f t="shared" si="54"/>
        <v>-3176.026307</v>
      </c>
      <c r="O174" s="168">
        <f t="shared" si="54"/>
        <v>-2829.486099</v>
      </c>
      <c r="P174" s="168">
        <f t="shared" si="54"/>
        <v>-305.301104</v>
      </c>
      <c r="Q174" s="168">
        <f t="shared" si="54"/>
        <v>-1731.791756</v>
      </c>
      <c r="R174" s="168">
        <f t="shared" si="54"/>
        <v>-1009.941964</v>
      </c>
      <c r="S174" s="168">
        <f t="shared" si="54"/>
        <v>-773.8043156</v>
      </c>
      <c r="T174" s="168">
        <f t="shared" si="54"/>
        <v>-1607.038245</v>
      </c>
      <c r="U174" s="168">
        <f t="shared" si="54"/>
        <v>-882.679601</v>
      </c>
      <c r="V174" s="168">
        <f t="shared" si="54"/>
        <v>-2744.86371</v>
      </c>
      <c r="W174" s="168">
        <f t="shared" si="54"/>
        <v>-2152.400403</v>
      </c>
      <c r="X174" s="168">
        <f t="shared" si="54"/>
        <v>-1166.084487</v>
      </c>
      <c r="Y174" s="168">
        <f t="shared" si="54"/>
        <v>-1366.434955</v>
      </c>
      <c r="Z174" s="168">
        <f t="shared" si="54"/>
        <v>-282.4357829</v>
      </c>
      <c r="AA174" s="168">
        <f t="shared" si="54"/>
        <v>-1565.954763</v>
      </c>
      <c r="AB174" s="168">
        <f t="shared" si="54"/>
        <v>-2041.089264</v>
      </c>
      <c r="AC174" s="168">
        <f t="shared" si="54"/>
        <v>-2848.234305</v>
      </c>
      <c r="AD174" s="168">
        <f t="shared" si="54"/>
        <v>-2423.100726</v>
      </c>
      <c r="AE174" s="168">
        <f t="shared" si="54"/>
        <v>-3515.736477</v>
      </c>
      <c r="AF174" s="168">
        <f t="shared" si="54"/>
        <v>-3535.543732</v>
      </c>
      <c r="AG174" s="168">
        <f t="shared" si="54"/>
        <v>-819.9612915</v>
      </c>
      <c r="AH174" s="168">
        <f t="shared" si="54"/>
        <v>-711.7774191</v>
      </c>
      <c r="AI174" s="168">
        <f t="shared" si="54"/>
        <v>-4033.84304</v>
      </c>
      <c r="AJ174" s="168">
        <f t="shared" si="54"/>
        <v>-2086.143156</v>
      </c>
      <c r="AK174" s="168">
        <f t="shared" si="54"/>
        <v>-1203.869683</v>
      </c>
      <c r="AL174" s="168">
        <f t="shared" si="54"/>
        <v>-4376.916167</v>
      </c>
      <c r="AM174" s="168">
        <f t="shared" si="54"/>
        <v>-2765.751687</v>
      </c>
      <c r="AN174" s="168">
        <f t="shared" si="54"/>
        <v>-4376.916167</v>
      </c>
      <c r="AO174" s="168">
        <f t="shared" si="54"/>
        <v>-35.66007043</v>
      </c>
    </row>
    <row r="175" outlineLevel="1">
      <c r="A175" s="142" t="s">
        <v>338</v>
      </c>
      <c r="B175" s="168">
        <f t="shared" ref="B175:AO175" si="55">B150*B$86</f>
        <v>-172.8791563</v>
      </c>
      <c r="C175" s="168">
        <f t="shared" si="55"/>
        <v>-2744.92797</v>
      </c>
      <c r="D175" s="168">
        <f t="shared" si="55"/>
        <v>-1118.732052</v>
      </c>
      <c r="E175" s="168">
        <f t="shared" si="55"/>
        <v>-2002.012488</v>
      </c>
      <c r="F175" s="168">
        <f t="shared" si="55"/>
        <v>-1426.222762</v>
      </c>
      <c r="G175" s="168">
        <f t="shared" si="55"/>
        <v>-1100.249932</v>
      </c>
      <c r="H175" s="168">
        <f t="shared" si="55"/>
        <v>-790.6267909</v>
      </c>
      <c r="I175" s="168">
        <f t="shared" si="55"/>
        <v>-1642.580574</v>
      </c>
      <c r="J175" s="168">
        <f t="shared" si="55"/>
        <v>-486.6481371</v>
      </c>
      <c r="K175" s="168">
        <f t="shared" si="55"/>
        <v>-374.7539987</v>
      </c>
      <c r="L175" s="168">
        <f t="shared" si="55"/>
        <v>-2634.94682</v>
      </c>
      <c r="M175" s="168">
        <f t="shared" si="55"/>
        <v>-120.3228846</v>
      </c>
      <c r="N175" s="168">
        <f t="shared" si="55"/>
        <v>-2634.94682</v>
      </c>
      <c r="O175" s="168">
        <f t="shared" si="55"/>
        <v>-2347.444472</v>
      </c>
      <c r="P175" s="168">
        <f t="shared" si="55"/>
        <v>-253.2888884</v>
      </c>
      <c r="Q175" s="168">
        <f t="shared" si="55"/>
        <v>-1436.757362</v>
      </c>
      <c r="R175" s="168">
        <f t="shared" si="55"/>
        <v>-837.8845477</v>
      </c>
      <c r="S175" s="168">
        <f t="shared" si="55"/>
        <v>-641.9761751</v>
      </c>
      <c r="T175" s="168">
        <f t="shared" si="55"/>
        <v>-1333.257317</v>
      </c>
      <c r="U175" s="168">
        <f t="shared" si="55"/>
        <v>-685.8185119</v>
      </c>
      <c r="V175" s="168">
        <f t="shared" si="55"/>
        <v>-2132.685906</v>
      </c>
      <c r="W175" s="168">
        <f t="shared" si="55"/>
        <v>-1672.357716</v>
      </c>
      <c r="X175" s="168">
        <f t="shared" si="55"/>
        <v>-906.0165506</v>
      </c>
      <c r="Y175" s="168">
        <f t="shared" si="55"/>
        <v>-1061.683521</v>
      </c>
      <c r="Z175" s="168">
        <f t="shared" si="55"/>
        <v>-219.4450717</v>
      </c>
      <c r="AA175" s="168">
        <f t="shared" si="55"/>
        <v>-1216.705092</v>
      </c>
      <c r="AB175" s="168">
        <f t="shared" si="55"/>
        <v>-2061.910415</v>
      </c>
      <c r="AC175" s="168">
        <f t="shared" si="55"/>
        <v>-3421.506969</v>
      </c>
      <c r="AD175" s="168">
        <f t="shared" si="55"/>
        <v>-2910.805478</v>
      </c>
      <c r="AE175" s="168">
        <f t="shared" si="55"/>
        <v>-4223.359305</v>
      </c>
      <c r="AF175" s="168">
        <f t="shared" si="55"/>
        <v>-4247.153225</v>
      </c>
      <c r="AG175" s="168">
        <f t="shared" si="55"/>
        <v>-814.3716153</v>
      </c>
      <c r="AH175" s="168">
        <f t="shared" si="55"/>
        <v>-574.8051079</v>
      </c>
      <c r="AI175" s="168">
        <f t="shared" si="55"/>
        <v>-3687.423323</v>
      </c>
      <c r="AJ175" s="168">
        <f t="shared" si="55"/>
        <v>-1906.988658</v>
      </c>
      <c r="AK175" s="168">
        <f t="shared" si="55"/>
        <v>-1100.483361</v>
      </c>
      <c r="AL175" s="168">
        <f t="shared" si="55"/>
        <v>-4001.033902</v>
      </c>
      <c r="AM175" s="168">
        <f t="shared" si="55"/>
        <v>-2528.233541</v>
      </c>
      <c r="AN175" s="168">
        <f t="shared" si="55"/>
        <v>-4001.033902</v>
      </c>
      <c r="AO175" s="168">
        <f t="shared" si="55"/>
        <v>-4.156941956</v>
      </c>
    </row>
    <row r="176" outlineLevel="1">
      <c r="A176" s="142" t="s">
        <v>440</v>
      </c>
      <c r="B176" s="168">
        <f t="shared" ref="B176:AO176" si="56">B151*B$86</f>
        <v>0</v>
      </c>
      <c r="C176" s="168">
        <f t="shared" si="56"/>
        <v>0</v>
      </c>
      <c r="D176" s="168">
        <f t="shared" si="56"/>
        <v>0</v>
      </c>
      <c r="E176" s="168">
        <f t="shared" si="56"/>
        <v>0</v>
      </c>
      <c r="F176" s="168">
        <f t="shared" si="56"/>
        <v>0</v>
      </c>
      <c r="G176" s="168">
        <f t="shared" si="56"/>
        <v>0</v>
      </c>
      <c r="H176" s="168">
        <f t="shared" si="56"/>
        <v>0</v>
      </c>
      <c r="I176" s="168">
        <f t="shared" si="56"/>
        <v>0</v>
      </c>
      <c r="J176" s="168">
        <f t="shared" si="56"/>
        <v>0</v>
      </c>
      <c r="K176" s="168">
        <f t="shared" si="56"/>
        <v>0</v>
      </c>
      <c r="L176" s="168">
        <f t="shared" si="56"/>
        <v>0</v>
      </c>
      <c r="M176" s="168">
        <f t="shared" si="56"/>
        <v>0</v>
      </c>
      <c r="N176" s="168">
        <f t="shared" si="56"/>
        <v>0</v>
      </c>
      <c r="O176" s="168">
        <f t="shared" si="56"/>
        <v>0</v>
      </c>
      <c r="P176" s="168">
        <f t="shared" si="56"/>
        <v>0</v>
      </c>
      <c r="Q176" s="168">
        <f t="shared" si="56"/>
        <v>0</v>
      </c>
      <c r="R176" s="168">
        <f t="shared" si="56"/>
        <v>0</v>
      </c>
      <c r="S176" s="168">
        <f t="shared" si="56"/>
        <v>0</v>
      </c>
      <c r="T176" s="168">
        <f t="shared" si="56"/>
        <v>0</v>
      </c>
      <c r="U176" s="168">
        <f t="shared" si="56"/>
        <v>0</v>
      </c>
      <c r="V176" s="168">
        <f t="shared" si="56"/>
        <v>0</v>
      </c>
      <c r="W176" s="168">
        <f t="shared" si="56"/>
        <v>0</v>
      </c>
      <c r="X176" s="168">
        <f t="shared" si="56"/>
        <v>0</v>
      </c>
      <c r="Y176" s="168">
        <f t="shared" si="56"/>
        <v>0</v>
      </c>
      <c r="Z176" s="168">
        <f t="shared" si="56"/>
        <v>0</v>
      </c>
      <c r="AA176" s="168">
        <f t="shared" si="56"/>
        <v>0</v>
      </c>
      <c r="AB176" s="168">
        <f t="shared" si="56"/>
        <v>0</v>
      </c>
      <c r="AC176" s="168">
        <f t="shared" si="56"/>
        <v>0</v>
      </c>
      <c r="AD176" s="168">
        <f t="shared" si="56"/>
        <v>0</v>
      </c>
      <c r="AE176" s="168">
        <f t="shared" si="56"/>
        <v>0</v>
      </c>
      <c r="AF176" s="168">
        <f t="shared" si="56"/>
        <v>0</v>
      </c>
      <c r="AG176" s="168">
        <f t="shared" si="56"/>
        <v>0</v>
      </c>
      <c r="AH176" s="168">
        <f t="shared" si="56"/>
        <v>0</v>
      </c>
      <c r="AI176" s="168">
        <f t="shared" si="56"/>
        <v>0</v>
      </c>
      <c r="AJ176" s="168">
        <f t="shared" si="56"/>
        <v>0</v>
      </c>
      <c r="AK176" s="168">
        <f t="shared" si="56"/>
        <v>0</v>
      </c>
      <c r="AL176" s="168">
        <f t="shared" si="56"/>
        <v>0</v>
      </c>
      <c r="AM176" s="168">
        <f t="shared" si="56"/>
        <v>0</v>
      </c>
      <c r="AN176" s="168">
        <f t="shared" si="56"/>
        <v>0</v>
      </c>
      <c r="AO176" s="168">
        <f t="shared" si="56"/>
        <v>0</v>
      </c>
    </row>
    <row r="177" outlineLevel="1">
      <c r="A177" s="435"/>
      <c r="B177" s="242"/>
      <c r="C177" s="242"/>
      <c r="D177" s="242"/>
      <c r="E177" s="242"/>
      <c r="F177" s="242"/>
      <c r="G177" s="242"/>
      <c r="H177" s="242"/>
      <c r="I177" s="242"/>
      <c r="J177" s="242"/>
      <c r="K177" s="242"/>
      <c r="L177" s="242"/>
      <c r="M177" s="242"/>
      <c r="N177" s="242"/>
      <c r="O177" s="242"/>
      <c r="P177" s="242"/>
      <c r="Q177" s="242"/>
      <c r="R177" s="242"/>
      <c r="S177" s="242"/>
      <c r="T177" s="242"/>
      <c r="U177" s="242"/>
      <c r="V177" s="242"/>
      <c r="W177" s="242"/>
      <c r="X177" s="242"/>
      <c r="Y177" s="242"/>
      <c r="Z177" s="242"/>
      <c r="AA177" s="242"/>
      <c r="AB177" s="242"/>
      <c r="AC177" s="242"/>
      <c r="AD177" s="242"/>
      <c r="AE177" s="242"/>
      <c r="AF177" s="242"/>
      <c r="AG177" s="242"/>
      <c r="AH177" s="242"/>
      <c r="AI177" s="242"/>
      <c r="AJ177" s="242"/>
      <c r="AK177" s="242"/>
      <c r="AL177" s="242"/>
      <c r="AM177" s="242"/>
      <c r="AN177" s="242"/>
      <c r="AO177" s="242"/>
    </row>
    <row r="178" outlineLevel="1">
      <c r="A178" s="435"/>
      <c r="B178" s="242"/>
      <c r="C178" s="242"/>
      <c r="D178" s="242"/>
      <c r="E178" s="242"/>
      <c r="F178" s="242"/>
      <c r="G178" s="242"/>
      <c r="H178" s="242"/>
      <c r="I178" s="242"/>
      <c r="J178" s="242"/>
      <c r="K178" s="242"/>
      <c r="L178" s="242"/>
      <c r="M178" s="242"/>
      <c r="N178" s="242"/>
      <c r="O178" s="242"/>
      <c r="P178" s="242"/>
      <c r="Q178" s="242"/>
      <c r="R178" s="242"/>
      <c r="S178" s="242"/>
      <c r="T178" s="242"/>
      <c r="U178" s="242"/>
      <c r="V178" s="242"/>
      <c r="W178" s="242"/>
      <c r="X178" s="242"/>
      <c r="Y178" s="242"/>
      <c r="Z178" s="242"/>
      <c r="AA178" s="242"/>
      <c r="AB178" s="242"/>
      <c r="AC178" s="242"/>
      <c r="AD178" s="242"/>
      <c r="AE178" s="242"/>
      <c r="AF178" s="242"/>
      <c r="AG178" s="242"/>
      <c r="AH178" s="242"/>
      <c r="AI178" s="242"/>
      <c r="AJ178" s="242"/>
      <c r="AK178" s="242"/>
      <c r="AL178" s="242"/>
      <c r="AM178" s="242"/>
      <c r="AN178" s="242"/>
      <c r="AO178" s="242"/>
    </row>
    <row r="179" outlineLevel="1">
      <c r="A179" s="372" t="s">
        <v>442</v>
      </c>
      <c r="B179" s="242"/>
      <c r="C179" s="242"/>
      <c r="D179" s="242"/>
      <c r="E179" s="242"/>
      <c r="F179" s="242"/>
      <c r="G179" s="242"/>
      <c r="H179" s="242"/>
      <c r="I179" s="242"/>
      <c r="J179" s="242"/>
      <c r="K179" s="242"/>
      <c r="L179" s="242"/>
      <c r="M179" s="242"/>
      <c r="N179" s="242"/>
      <c r="O179" s="242"/>
      <c r="P179" s="242"/>
      <c r="Q179" s="242"/>
      <c r="R179" s="242"/>
      <c r="S179" s="242"/>
      <c r="T179" s="242"/>
      <c r="U179" s="242"/>
      <c r="V179" s="242"/>
      <c r="W179" s="242"/>
      <c r="X179" s="242"/>
      <c r="Y179" s="242"/>
      <c r="Z179" s="242"/>
      <c r="AA179" s="242"/>
      <c r="AB179" s="242"/>
      <c r="AC179" s="242"/>
      <c r="AD179" s="242"/>
      <c r="AE179" s="242"/>
      <c r="AF179" s="242"/>
      <c r="AG179" s="242"/>
      <c r="AH179" s="242"/>
      <c r="AI179" s="242"/>
      <c r="AJ179" s="242"/>
      <c r="AK179" s="242"/>
      <c r="AL179" s="242"/>
      <c r="AM179" s="242"/>
      <c r="AN179" s="242"/>
      <c r="AO179" s="242"/>
    </row>
    <row r="180" outlineLevel="1">
      <c r="A180" s="356" t="s">
        <v>438</v>
      </c>
      <c r="B180" s="168"/>
      <c r="C180" s="168"/>
      <c r="D180" s="168"/>
      <c r="E180" s="168"/>
      <c r="F180" s="168"/>
      <c r="G180" s="168"/>
      <c r="H180" s="168"/>
      <c r="I180" s="168"/>
      <c r="J180" s="168"/>
      <c r="K180" s="168"/>
      <c r="L180" s="168"/>
      <c r="M180" s="168"/>
      <c r="N180" s="168"/>
      <c r="O180" s="168"/>
      <c r="P180" s="168"/>
      <c r="Q180" s="168"/>
      <c r="R180" s="168"/>
      <c r="S180" s="168"/>
      <c r="T180" s="168"/>
      <c r="U180" s="168"/>
      <c r="V180" s="168"/>
      <c r="W180" s="168"/>
      <c r="X180" s="168"/>
      <c r="Y180" s="168"/>
      <c r="Z180" s="168"/>
      <c r="AA180" s="168"/>
      <c r="AB180" s="168"/>
      <c r="AC180" s="168"/>
      <c r="AD180" s="168"/>
      <c r="AE180" s="168"/>
      <c r="AF180" s="168"/>
      <c r="AG180" s="168"/>
      <c r="AH180" s="168"/>
      <c r="AI180" s="168"/>
      <c r="AJ180" s="168"/>
      <c r="AK180" s="168"/>
      <c r="AL180" s="168"/>
      <c r="AM180" s="168"/>
      <c r="AN180" s="168"/>
      <c r="AO180" s="168"/>
    </row>
    <row r="181" outlineLevel="1">
      <c r="A181" s="142" t="s">
        <v>336</v>
      </c>
      <c r="B181" s="168">
        <f t="shared" ref="B181:AO181" si="57">-B130*B111</f>
        <v>-357.8712176</v>
      </c>
      <c r="C181" s="168">
        <f t="shared" si="57"/>
        <v>-357.8712176</v>
      </c>
      <c r="D181" s="168">
        <f t="shared" si="57"/>
        <v>-357.8712176</v>
      </c>
      <c r="E181" s="168">
        <f t="shared" si="57"/>
        <v>-357.8712176</v>
      </c>
      <c r="F181" s="168">
        <f t="shared" si="57"/>
        <v>-357.8712176</v>
      </c>
      <c r="G181" s="168">
        <f t="shared" si="57"/>
        <v>-357.8712176</v>
      </c>
      <c r="H181" s="168">
        <f t="shared" si="57"/>
        <v>-357.8712176</v>
      </c>
      <c r="I181" s="168">
        <f t="shared" si="57"/>
        <v>-357.8712176</v>
      </c>
      <c r="J181" s="168">
        <f t="shared" si="57"/>
        <v>-357.8712176</v>
      </c>
      <c r="K181" s="168">
        <f t="shared" si="57"/>
        <v>-357.8712176</v>
      </c>
      <c r="L181" s="168">
        <f t="shared" si="57"/>
        <v>-357.8712176</v>
      </c>
      <c r="M181" s="168">
        <f t="shared" si="57"/>
        <v>-357.8712176</v>
      </c>
      <c r="N181" s="168">
        <f t="shared" si="57"/>
        <v>-357.8712176</v>
      </c>
      <c r="O181" s="168">
        <f t="shared" si="57"/>
        <v>-357.8712176</v>
      </c>
      <c r="P181" s="168">
        <f t="shared" si="57"/>
        <v>-357.8712176</v>
      </c>
      <c r="Q181" s="168">
        <f t="shared" si="57"/>
        <v>-357.8712176</v>
      </c>
      <c r="R181" s="168">
        <f t="shared" si="57"/>
        <v>-357.8712176</v>
      </c>
      <c r="S181" s="168">
        <f t="shared" si="57"/>
        <v>-357.8712176</v>
      </c>
      <c r="T181" s="168">
        <f t="shared" si="57"/>
        <v>-357.8712176</v>
      </c>
      <c r="U181" s="168">
        <f t="shared" si="57"/>
        <v>-357.8712176</v>
      </c>
      <c r="V181" s="168">
        <f t="shared" si="57"/>
        <v>-357.8712176</v>
      </c>
      <c r="W181" s="168">
        <f t="shared" si="57"/>
        <v>-357.8712176</v>
      </c>
      <c r="X181" s="168">
        <f t="shared" si="57"/>
        <v>-357.8712176</v>
      </c>
      <c r="Y181" s="168">
        <f t="shared" si="57"/>
        <v>-357.8712176</v>
      </c>
      <c r="Z181" s="168">
        <f t="shared" si="57"/>
        <v>-357.8712176</v>
      </c>
      <c r="AA181" s="168">
        <f t="shared" si="57"/>
        <v>-357.8712176</v>
      </c>
      <c r="AB181" s="168">
        <f t="shared" si="57"/>
        <v>-357.8712176</v>
      </c>
      <c r="AC181" s="168">
        <f t="shared" si="57"/>
        <v>-357.8712176</v>
      </c>
      <c r="AD181" s="168">
        <f t="shared" si="57"/>
        <v>-357.8712176</v>
      </c>
      <c r="AE181" s="168">
        <f t="shared" si="57"/>
        <v>-357.8712176</v>
      </c>
      <c r="AF181" s="168">
        <f t="shared" si="57"/>
        <v>-357.8712176</v>
      </c>
      <c r="AG181" s="168">
        <f t="shared" si="57"/>
        <v>-357.8712176</v>
      </c>
      <c r="AH181" s="168">
        <f t="shared" si="57"/>
        <v>-357.8712176</v>
      </c>
      <c r="AI181" s="168">
        <f t="shared" si="57"/>
        <v>-357.8712176</v>
      </c>
      <c r="AJ181" s="168">
        <f t="shared" si="57"/>
        <v>-357.8712176</v>
      </c>
      <c r="AK181" s="168">
        <f t="shared" si="57"/>
        <v>-357.8712176</v>
      </c>
      <c r="AL181" s="168">
        <f t="shared" si="57"/>
        <v>-357.8712176</v>
      </c>
      <c r="AM181" s="168">
        <f t="shared" si="57"/>
        <v>-357.8712176</v>
      </c>
      <c r="AN181" s="168">
        <f t="shared" si="57"/>
        <v>-357.8712176</v>
      </c>
      <c r="AO181" s="168">
        <f t="shared" si="57"/>
        <v>-357.8712176</v>
      </c>
    </row>
    <row r="182" outlineLevel="1">
      <c r="A182" s="356" t="s">
        <v>337</v>
      </c>
      <c r="B182" s="168">
        <f t="shared" ref="B182:AO182" si="58">-B131*B112</f>
        <v>0</v>
      </c>
      <c r="C182" s="168">
        <f t="shared" si="58"/>
        <v>0</v>
      </c>
      <c r="D182" s="168">
        <f t="shared" si="58"/>
        <v>0</v>
      </c>
      <c r="E182" s="168">
        <f t="shared" si="58"/>
        <v>0</v>
      </c>
      <c r="F182" s="168">
        <f t="shared" si="58"/>
        <v>0</v>
      </c>
      <c r="G182" s="168">
        <f t="shared" si="58"/>
        <v>0</v>
      </c>
      <c r="H182" s="168">
        <f t="shared" si="58"/>
        <v>0</v>
      </c>
      <c r="I182" s="168">
        <f t="shared" si="58"/>
        <v>0</v>
      </c>
      <c r="J182" s="168">
        <f t="shared" si="58"/>
        <v>0</v>
      </c>
      <c r="K182" s="168">
        <f t="shared" si="58"/>
        <v>0</v>
      </c>
      <c r="L182" s="168">
        <f t="shared" si="58"/>
        <v>0</v>
      </c>
      <c r="M182" s="168">
        <f t="shared" si="58"/>
        <v>0</v>
      </c>
      <c r="N182" s="168">
        <f t="shared" si="58"/>
        <v>0</v>
      </c>
      <c r="O182" s="168">
        <f t="shared" si="58"/>
        <v>0</v>
      </c>
      <c r="P182" s="168">
        <f t="shared" si="58"/>
        <v>0</v>
      </c>
      <c r="Q182" s="168">
        <f t="shared" si="58"/>
        <v>0</v>
      </c>
      <c r="R182" s="168">
        <f t="shared" si="58"/>
        <v>0</v>
      </c>
      <c r="S182" s="168">
        <f t="shared" si="58"/>
        <v>0</v>
      </c>
      <c r="T182" s="168">
        <f t="shared" si="58"/>
        <v>0</v>
      </c>
      <c r="U182" s="168">
        <f t="shared" si="58"/>
        <v>0</v>
      </c>
      <c r="V182" s="168">
        <f t="shared" si="58"/>
        <v>0</v>
      </c>
      <c r="W182" s="168">
        <f t="shared" si="58"/>
        <v>0</v>
      </c>
      <c r="X182" s="168">
        <f t="shared" si="58"/>
        <v>0</v>
      </c>
      <c r="Y182" s="168">
        <f t="shared" si="58"/>
        <v>0</v>
      </c>
      <c r="Z182" s="168">
        <f t="shared" si="58"/>
        <v>0</v>
      </c>
      <c r="AA182" s="168">
        <f t="shared" si="58"/>
        <v>0</v>
      </c>
      <c r="AB182" s="168">
        <f t="shared" si="58"/>
        <v>0</v>
      </c>
      <c r="AC182" s="168">
        <f t="shared" si="58"/>
        <v>0</v>
      </c>
      <c r="AD182" s="168">
        <f t="shared" si="58"/>
        <v>0</v>
      </c>
      <c r="AE182" s="168">
        <f t="shared" si="58"/>
        <v>0</v>
      </c>
      <c r="AF182" s="168">
        <f t="shared" si="58"/>
        <v>0</v>
      </c>
      <c r="AG182" s="168">
        <f t="shared" si="58"/>
        <v>0</v>
      </c>
      <c r="AH182" s="168">
        <f t="shared" si="58"/>
        <v>0</v>
      </c>
      <c r="AI182" s="168">
        <f t="shared" si="58"/>
        <v>0</v>
      </c>
      <c r="AJ182" s="168">
        <f t="shared" si="58"/>
        <v>0</v>
      </c>
      <c r="AK182" s="168">
        <f t="shared" si="58"/>
        <v>0</v>
      </c>
      <c r="AL182" s="168">
        <f t="shared" si="58"/>
        <v>0</v>
      </c>
      <c r="AM182" s="168">
        <f t="shared" si="58"/>
        <v>0</v>
      </c>
      <c r="AN182" s="168">
        <f t="shared" si="58"/>
        <v>0</v>
      </c>
      <c r="AO182" s="168">
        <f t="shared" si="58"/>
        <v>0</v>
      </c>
    </row>
    <row r="183" outlineLevel="1">
      <c r="A183" s="142" t="s">
        <v>338</v>
      </c>
      <c r="B183" s="168">
        <f t="shared" ref="B183:AO183" si="59">-B132*B113</f>
        <v>0</v>
      </c>
      <c r="C183" s="168">
        <f t="shared" si="59"/>
        <v>0</v>
      </c>
      <c r="D183" s="168">
        <f t="shared" si="59"/>
        <v>0</v>
      </c>
      <c r="E183" s="168">
        <f t="shared" si="59"/>
        <v>0</v>
      </c>
      <c r="F183" s="168">
        <f t="shared" si="59"/>
        <v>0</v>
      </c>
      <c r="G183" s="168">
        <f t="shared" si="59"/>
        <v>0</v>
      </c>
      <c r="H183" s="168">
        <f t="shared" si="59"/>
        <v>0</v>
      </c>
      <c r="I183" s="168">
        <f t="shared" si="59"/>
        <v>0</v>
      </c>
      <c r="J183" s="168">
        <f t="shared" si="59"/>
        <v>0</v>
      </c>
      <c r="K183" s="168">
        <f t="shared" si="59"/>
        <v>0</v>
      </c>
      <c r="L183" s="168">
        <f t="shared" si="59"/>
        <v>0</v>
      </c>
      <c r="M183" s="168">
        <f t="shared" si="59"/>
        <v>0</v>
      </c>
      <c r="N183" s="168">
        <f t="shared" si="59"/>
        <v>0</v>
      </c>
      <c r="O183" s="168">
        <f t="shared" si="59"/>
        <v>0</v>
      </c>
      <c r="P183" s="168">
        <f t="shared" si="59"/>
        <v>0</v>
      </c>
      <c r="Q183" s="168">
        <f t="shared" si="59"/>
        <v>0</v>
      </c>
      <c r="R183" s="168">
        <f t="shared" si="59"/>
        <v>0</v>
      </c>
      <c r="S183" s="168">
        <f t="shared" si="59"/>
        <v>0</v>
      </c>
      <c r="T183" s="168">
        <f t="shared" si="59"/>
        <v>0</v>
      </c>
      <c r="U183" s="168">
        <f t="shared" si="59"/>
        <v>0</v>
      </c>
      <c r="V183" s="168">
        <f t="shared" si="59"/>
        <v>0</v>
      </c>
      <c r="W183" s="168">
        <f t="shared" si="59"/>
        <v>0</v>
      </c>
      <c r="X183" s="168">
        <f t="shared" si="59"/>
        <v>0</v>
      </c>
      <c r="Y183" s="168">
        <f t="shared" si="59"/>
        <v>0</v>
      </c>
      <c r="Z183" s="168">
        <f t="shared" si="59"/>
        <v>0</v>
      </c>
      <c r="AA183" s="168">
        <f t="shared" si="59"/>
        <v>0</v>
      </c>
      <c r="AB183" s="168">
        <f t="shared" si="59"/>
        <v>0</v>
      </c>
      <c r="AC183" s="168">
        <f t="shared" si="59"/>
        <v>0</v>
      </c>
      <c r="AD183" s="168">
        <f t="shared" si="59"/>
        <v>0</v>
      </c>
      <c r="AE183" s="168">
        <f t="shared" si="59"/>
        <v>0</v>
      </c>
      <c r="AF183" s="168">
        <f t="shared" si="59"/>
        <v>0</v>
      </c>
      <c r="AG183" s="168">
        <f t="shared" si="59"/>
        <v>0</v>
      </c>
      <c r="AH183" s="168">
        <f t="shared" si="59"/>
        <v>0</v>
      </c>
      <c r="AI183" s="168">
        <f t="shared" si="59"/>
        <v>0</v>
      </c>
      <c r="AJ183" s="168">
        <f t="shared" si="59"/>
        <v>0</v>
      </c>
      <c r="AK183" s="168">
        <f t="shared" si="59"/>
        <v>0</v>
      </c>
      <c r="AL183" s="168">
        <f t="shared" si="59"/>
        <v>0</v>
      </c>
      <c r="AM183" s="168">
        <f t="shared" si="59"/>
        <v>0</v>
      </c>
      <c r="AN183" s="168">
        <f t="shared" si="59"/>
        <v>0</v>
      </c>
      <c r="AO183" s="168">
        <f t="shared" si="59"/>
        <v>0</v>
      </c>
    </row>
    <row r="184" outlineLevel="1">
      <c r="A184" s="142" t="s">
        <v>440</v>
      </c>
      <c r="B184" s="168">
        <f t="shared" ref="B184:AO184" si="60">-B133*B114</f>
        <v>0</v>
      </c>
      <c r="C184" s="168">
        <f t="shared" si="60"/>
        <v>0</v>
      </c>
      <c r="D184" s="168">
        <f t="shared" si="60"/>
        <v>0</v>
      </c>
      <c r="E184" s="168">
        <f t="shared" si="60"/>
        <v>0</v>
      </c>
      <c r="F184" s="168">
        <f t="shared" si="60"/>
        <v>0</v>
      </c>
      <c r="G184" s="168">
        <f t="shared" si="60"/>
        <v>0</v>
      </c>
      <c r="H184" s="168">
        <f t="shared" si="60"/>
        <v>0</v>
      </c>
      <c r="I184" s="168">
        <f t="shared" si="60"/>
        <v>0</v>
      </c>
      <c r="J184" s="168">
        <f t="shared" si="60"/>
        <v>0</v>
      </c>
      <c r="K184" s="168">
        <f t="shared" si="60"/>
        <v>0</v>
      </c>
      <c r="L184" s="168">
        <f t="shared" si="60"/>
        <v>0</v>
      </c>
      <c r="M184" s="168">
        <f t="shared" si="60"/>
        <v>0</v>
      </c>
      <c r="N184" s="168">
        <f t="shared" si="60"/>
        <v>0</v>
      </c>
      <c r="O184" s="168">
        <f t="shared" si="60"/>
        <v>0</v>
      </c>
      <c r="P184" s="168">
        <f t="shared" si="60"/>
        <v>0</v>
      </c>
      <c r="Q184" s="168">
        <f t="shared" si="60"/>
        <v>0</v>
      </c>
      <c r="R184" s="168">
        <f t="shared" si="60"/>
        <v>0</v>
      </c>
      <c r="S184" s="168">
        <f t="shared" si="60"/>
        <v>0</v>
      </c>
      <c r="T184" s="168">
        <f t="shared" si="60"/>
        <v>0</v>
      </c>
      <c r="U184" s="168">
        <f t="shared" si="60"/>
        <v>0</v>
      </c>
      <c r="V184" s="168">
        <f t="shared" si="60"/>
        <v>0</v>
      </c>
      <c r="W184" s="168">
        <f t="shared" si="60"/>
        <v>0</v>
      </c>
      <c r="X184" s="168">
        <f t="shared" si="60"/>
        <v>0</v>
      </c>
      <c r="Y184" s="168">
        <f t="shared" si="60"/>
        <v>0</v>
      </c>
      <c r="Z184" s="168">
        <f t="shared" si="60"/>
        <v>0</v>
      </c>
      <c r="AA184" s="168">
        <f t="shared" si="60"/>
        <v>0</v>
      </c>
      <c r="AB184" s="168">
        <f t="shared" si="60"/>
        <v>0</v>
      </c>
      <c r="AC184" s="168">
        <f t="shared" si="60"/>
        <v>0</v>
      </c>
      <c r="AD184" s="168">
        <f t="shared" si="60"/>
        <v>0</v>
      </c>
      <c r="AE184" s="168">
        <f t="shared" si="60"/>
        <v>0</v>
      </c>
      <c r="AF184" s="168">
        <f t="shared" si="60"/>
        <v>0</v>
      </c>
      <c r="AG184" s="168">
        <f t="shared" si="60"/>
        <v>0</v>
      </c>
      <c r="AH184" s="168">
        <f t="shared" si="60"/>
        <v>0</v>
      </c>
      <c r="AI184" s="168">
        <f t="shared" si="60"/>
        <v>0</v>
      </c>
      <c r="AJ184" s="168">
        <f t="shared" si="60"/>
        <v>0</v>
      </c>
      <c r="AK184" s="168">
        <f t="shared" si="60"/>
        <v>0</v>
      </c>
      <c r="AL184" s="168">
        <f t="shared" si="60"/>
        <v>0</v>
      </c>
      <c r="AM184" s="168">
        <f t="shared" si="60"/>
        <v>0</v>
      </c>
      <c r="AN184" s="168">
        <f t="shared" si="60"/>
        <v>0</v>
      </c>
      <c r="AO184" s="168">
        <f t="shared" si="60"/>
        <v>0</v>
      </c>
    </row>
    <row r="185" outlineLevel="1">
      <c r="A185" s="142"/>
      <c r="B185" s="168"/>
      <c r="C185" s="168"/>
      <c r="D185" s="168"/>
      <c r="E185" s="168"/>
      <c r="F185" s="168"/>
      <c r="G185" s="168"/>
      <c r="H185" s="168"/>
      <c r="I185" s="168"/>
      <c r="J185" s="168"/>
      <c r="K185" s="168"/>
      <c r="L185" s="168"/>
      <c r="M185" s="168"/>
      <c r="N185" s="168"/>
      <c r="O185" s="168"/>
      <c r="P185" s="168"/>
      <c r="Q185" s="168"/>
      <c r="R185" s="168"/>
      <c r="S185" s="168"/>
      <c r="T185" s="168"/>
      <c r="U185" s="168"/>
      <c r="V185" s="168"/>
      <c r="W185" s="168"/>
      <c r="X185" s="168"/>
      <c r="Y185" s="168"/>
      <c r="Z185" s="168"/>
      <c r="AA185" s="168"/>
      <c r="AB185" s="168"/>
      <c r="AC185" s="168"/>
      <c r="AD185" s="168"/>
      <c r="AE185" s="168"/>
      <c r="AF185" s="168"/>
      <c r="AG185" s="168"/>
      <c r="AH185" s="168"/>
      <c r="AI185" s="168"/>
      <c r="AJ185" s="168"/>
      <c r="AK185" s="168"/>
      <c r="AL185" s="168"/>
      <c r="AM185" s="168"/>
      <c r="AN185" s="168"/>
      <c r="AO185" s="168"/>
    </row>
    <row r="186" outlineLevel="1">
      <c r="A186" s="142" t="s">
        <v>437</v>
      </c>
      <c r="B186" s="84"/>
      <c r="C186" s="84"/>
      <c r="D186" s="84"/>
      <c r="E186" s="84"/>
      <c r="F186" s="84"/>
      <c r="G186" s="84"/>
      <c r="H186" s="84"/>
      <c r="I186" s="84"/>
      <c r="J186" s="84"/>
      <c r="K186" s="84"/>
      <c r="L186" s="84"/>
      <c r="M186" s="84"/>
      <c r="N186" s="84"/>
      <c r="O186" s="84"/>
      <c r="P186" s="84"/>
      <c r="Q186" s="84"/>
      <c r="R186" s="84"/>
      <c r="S186" s="84"/>
      <c r="T186" s="84"/>
      <c r="U186" s="84"/>
      <c r="V186" s="84"/>
      <c r="W186" s="84"/>
      <c r="X186" s="84"/>
      <c r="Y186" s="84"/>
      <c r="Z186" s="84"/>
      <c r="AA186" s="84"/>
      <c r="AB186" s="84"/>
      <c r="AC186" s="84"/>
      <c r="AD186" s="84"/>
      <c r="AE186" s="84"/>
      <c r="AF186" s="84"/>
      <c r="AG186" s="84"/>
      <c r="AH186" s="84"/>
      <c r="AI186" s="84"/>
      <c r="AJ186" s="84"/>
      <c r="AK186" s="84"/>
      <c r="AL186" s="84"/>
      <c r="AM186" s="84"/>
      <c r="AN186" s="84"/>
      <c r="AO186" s="84"/>
    </row>
    <row r="187" outlineLevel="1">
      <c r="A187" s="142" t="s">
        <v>336</v>
      </c>
      <c r="B187" s="84">
        <f t="shared" ref="B187:AO187" si="61">-B136*B111</f>
        <v>0</v>
      </c>
      <c r="C187" s="84">
        <f t="shared" si="61"/>
        <v>0</v>
      </c>
      <c r="D187" s="84">
        <f t="shared" si="61"/>
        <v>0</v>
      </c>
      <c r="E187" s="84">
        <f t="shared" si="61"/>
        <v>0</v>
      </c>
      <c r="F187" s="84">
        <f t="shared" si="61"/>
        <v>0</v>
      </c>
      <c r="G187" s="84">
        <f t="shared" si="61"/>
        <v>0</v>
      </c>
      <c r="H187" s="84">
        <f t="shared" si="61"/>
        <v>0</v>
      </c>
      <c r="I187" s="84">
        <f t="shared" si="61"/>
        <v>0</v>
      </c>
      <c r="J187" s="84">
        <f t="shared" si="61"/>
        <v>0</v>
      </c>
      <c r="K187" s="84">
        <f t="shared" si="61"/>
        <v>0</v>
      </c>
      <c r="L187" s="84">
        <f t="shared" si="61"/>
        <v>0</v>
      </c>
      <c r="M187" s="84">
        <f t="shared" si="61"/>
        <v>0</v>
      </c>
      <c r="N187" s="84">
        <f t="shared" si="61"/>
        <v>0</v>
      </c>
      <c r="O187" s="84">
        <f t="shared" si="61"/>
        <v>0</v>
      </c>
      <c r="P187" s="84">
        <f t="shared" si="61"/>
        <v>0</v>
      </c>
      <c r="Q187" s="84">
        <f t="shared" si="61"/>
        <v>0</v>
      </c>
      <c r="R187" s="84">
        <f t="shared" si="61"/>
        <v>0</v>
      </c>
      <c r="S187" s="84">
        <f t="shared" si="61"/>
        <v>0</v>
      </c>
      <c r="T187" s="84">
        <f t="shared" si="61"/>
        <v>0</v>
      </c>
      <c r="U187" s="84">
        <f t="shared" si="61"/>
        <v>0</v>
      </c>
      <c r="V187" s="84">
        <f t="shared" si="61"/>
        <v>0</v>
      </c>
      <c r="W187" s="84">
        <f t="shared" si="61"/>
        <v>0</v>
      </c>
      <c r="X187" s="84">
        <f t="shared" si="61"/>
        <v>0</v>
      </c>
      <c r="Y187" s="84">
        <f t="shared" si="61"/>
        <v>0</v>
      </c>
      <c r="Z187" s="84">
        <f t="shared" si="61"/>
        <v>0</v>
      </c>
      <c r="AA187" s="84">
        <f t="shared" si="61"/>
        <v>0</v>
      </c>
      <c r="AB187" s="84">
        <f t="shared" si="61"/>
        <v>0</v>
      </c>
      <c r="AC187" s="84">
        <f t="shared" si="61"/>
        <v>0</v>
      </c>
      <c r="AD187" s="84">
        <f t="shared" si="61"/>
        <v>0</v>
      </c>
      <c r="AE187" s="84">
        <f t="shared" si="61"/>
        <v>0</v>
      </c>
      <c r="AF187" s="84">
        <f t="shared" si="61"/>
        <v>0</v>
      </c>
      <c r="AG187" s="84">
        <f t="shared" si="61"/>
        <v>0</v>
      </c>
      <c r="AH187" s="84">
        <f t="shared" si="61"/>
        <v>0</v>
      </c>
      <c r="AI187" s="84">
        <f t="shared" si="61"/>
        <v>0</v>
      </c>
      <c r="AJ187" s="84">
        <f t="shared" si="61"/>
        <v>0</v>
      </c>
      <c r="AK187" s="84">
        <f t="shared" si="61"/>
        <v>0</v>
      </c>
      <c r="AL187" s="84">
        <f t="shared" si="61"/>
        <v>0</v>
      </c>
      <c r="AM187" s="84">
        <f t="shared" si="61"/>
        <v>0</v>
      </c>
      <c r="AN187" s="84">
        <f t="shared" si="61"/>
        <v>0</v>
      </c>
      <c r="AO187" s="84">
        <f t="shared" si="61"/>
        <v>0</v>
      </c>
    </row>
    <row r="188" outlineLevel="1">
      <c r="A188" s="142" t="s">
        <v>337</v>
      </c>
      <c r="B188" s="84">
        <f t="shared" ref="B188:AO188" si="62">-B137*B112</f>
        <v>0</v>
      </c>
      <c r="C188" s="84">
        <f t="shared" si="62"/>
        <v>0</v>
      </c>
      <c r="D188" s="84">
        <f t="shared" si="62"/>
        <v>0</v>
      </c>
      <c r="E188" s="84">
        <f t="shared" si="62"/>
        <v>0</v>
      </c>
      <c r="F188" s="84">
        <f t="shared" si="62"/>
        <v>0</v>
      </c>
      <c r="G188" s="84">
        <f t="shared" si="62"/>
        <v>0</v>
      </c>
      <c r="H188" s="84">
        <f t="shared" si="62"/>
        <v>0</v>
      </c>
      <c r="I188" s="84">
        <f t="shared" si="62"/>
        <v>0</v>
      </c>
      <c r="J188" s="84">
        <f t="shared" si="62"/>
        <v>0</v>
      </c>
      <c r="K188" s="84">
        <f t="shared" si="62"/>
        <v>0</v>
      </c>
      <c r="L188" s="84">
        <f t="shared" si="62"/>
        <v>0</v>
      </c>
      <c r="M188" s="84">
        <f t="shared" si="62"/>
        <v>0</v>
      </c>
      <c r="N188" s="84">
        <f t="shared" si="62"/>
        <v>0</v>
      </c>
      <c r="O188" s="84">
        <f t="shared" si="62"/>
        <v>0</v>
      </c>
      <c r="P188" s="84">
        <f t="shared" si="62"/>
        <v>0</v>
      </c>
      <c r="Q188" s="84">
        <f t="shared" si="62"/>
        <v>0</v>
      </c>
      <c r="R188" s="84">
        <f t="shared" si="62"/>
        <v>0</v>
      </c>
      <c r="S188" s="84">
        <f t="shared" si="62"/>
        <v>0</v>
      </c>
      <c r="T188" s="84">
        <f t="shared" si="62"/>
        <v>0</v>
      </c>
      <c r="U188" s="84">
        <f t="shared" si="62"/>
        <v>0</v>
      </c>
      <c r="V188" s="84">
        <f t="shared" si="62"/>
        <v>0</v>
      </c>
      <c r="W188" s="84">
        <f t="shared" si="62"/>
        <v>0</v>
      </c>
      <c r="X188" s="84">
        <f t="shared" si="62"/>
        <v>0</v>
      </c>
      <c r="Y188" s="84">
        <f t="shared" si="62"/>
        <v>0</v>
      </c>
      <c r="Z188" s="84">
        <f t="shared" si="62"/>
        <v>0</v>
      </c>
      <c r="AA188" s="84">
        <f t="shared" si="62"/>
        <v>0</v>
      </c>
      <c r="AB188" s="84">
        <f t="shared" si="62"/>
        <v>0</v>
      </c>
      <c r="AC188" s="84">
        <f t="shared" si="62"/>
        <v>0</v>
      </c>
      <c r="AD188" s="84">
        <f t="shared" si="62"/>
        <v>0</v>
      </c>
      <c r="AE188" s="84">
        <f t="shared" si="62"/>
        <v>0</v>
      </c>
      <c r="AF188" s="84">
        <f t="shared" si="62"/>
        <v>0</v>
      </c>
      <c r="AG188" s="84">
        <f t="shared" si="62"/>
        <v>0</v>
      </c>
      <c r="AH188" s="84">
        <f t="shared" si="62"/>
        <v>0</v>
      </c>
      <c r="AI188" s="84">
        <f t="shared" si="62"/>
        <v>0</v>
      </c>
      <c r="AJ188" s="84">
        <f t="shared" si="62"/>
        <v>0</v>
      </c>
      <c r="AK188" s="84">
        <f t="shared" si="62"/>
        <v>0</v>
      </c>
      <c r="AL188" s="84">
        <f t="shared" si="62"/>
        <v>0</v>
      </c>
      <c r="AM188" s="84">
        <f t="shared" si="62"/>
        <v>0</v>
      </c>
      <c r="AN188" s="84">
        <f t="shared" si="62"/>
        <v>0</v>
      </c>
      <c r="AO188" s="84">
        <f t="shared" si="62"/>
        <v>0</v>
      </c>
    </row>
    <row r="189" outlineLevel="1">
      <c r="A189" s="142" t="s">
        <v>338</v>
      </c>
      <c r="B189" s="84">
        <f t="shared" ref="B189:AO189" si="63">-B138*B113</f>
        <v>0</v>
      </c>
      <c r="C189" s="84">
        <f t="shared" si="63"/>
        <v>0</v>
      </c>
      <c r="D189" s="84">
        <f t="shared" si="63"/>
        <v>0</v>
      </c>
      <c r="E189" s="84">
        <f t="shared" si="63"/>
        <v>0</v>
      </c>
      <c r="F189" s="84">
        <f t="shared" si="63"/>
        <v>0</v>
      </c>
      <c r="G189" s="84">
        <f t="shared" si="63"/>
        <v>0</v>
      </c>
      <c r="H189" s="84">
        <f t="shared" si="63"/>
        <v>0</v>
      </c>
      <c r="I189" s="84">
        <f t="shared" si="63"/>
        <v>0</v>
      </c>
      <c r="J189" s="84">
        <f t="shared" si="63"/>
        <v>0</v>
      </c>
      <c r="K189" s="84">
        <f t="shared" si="63"/>
        <v>0</v>
      </c>
      <c r="L189" s="84">
        <f t="shared" si="63"/>
        <v>0</v>
      </c>
      <c r="M189" s="84">
        <f t="shared" si="63"/>
        <v>0</v>
      </c>
      <c r="N189" s="84">
        <f t="shared" si="63"/>
        <v>0</v>
      </c>
      <c r="O189" s="84">
        <f t="shared" si="63"/>
        <v>0</v>
      </c>
      <c r="P189" s="84">
        <f t="shared" si="63"/>
        <v>0</v>
      </c>
      <c r="Q189" s="84">
        <f t="shared" si="63"/>
        <v>0</v>
      </c>
      <c r="R189" s="84">
        <f t="shared" si="63"/>
        <v>0</v>
      </c>
      <c r="S189" s="84">
        <f t="shared" si="63"/>
        <v>0</v>
      </c>
      <c r="T189" s="84">
        <f t="shared" si="63"/>
        <v>0</v>
      </c>
      <c r="U189" s="84">
        <f t="shared" si="63"/>
        <v>0</v>
      </c>
      <c r="V189" s="84">
        <f t="shared" si="63"/>
        <v>0</v>
      </c>
      <c r="W189" s="84">
        <f t="shared" si="63"/>
        <v>0</v>
      </c>
      <c r="X189" s="84">
        <f t="shared" si="63"/>
        <v>0</v>
      </c>
      <c r="Y189" s="84">
        <f t="shared" si="63"/>
        <v>0</v>
      </c>
      <c r="Z189" s="84">
        <f t="shared" si="63"/>
        <v>0</v>
      </c>
      <c r="AA189" s="84">
        <f t="shared" si="63"/>
        <v>0</v>
      </c>
      <c r="AB189" s="84">
        <f t="shared" si="63"/>
        <v>0</v>
      </c>
      <c r="AC189" s="84">
        <f t="shared" si="63"/>
        <v>0</v>
      </c>
      <c r="AD189" s="84">
        <f t="shared" si="63"/>
        <v>0</v>
      </c>
      <c r="AE189" s="84">
        <f t="shared" si="63"/>
        <v>0</v>
      </c>
      <c r="AF189" s="84">
        <f t="shared" si="63"/>
        <v>0</v>
      </c>
      <c r="AG189" s="84">
        <f t="shared" si="63"/>
        <v>0</v>
      </c>
      <c r="AH189" s="84">
        <f t="shared" si="63"/>
        <v>0</v>
      </c>
      <c r="AI189" s="84">
        <f t="shared" si="63"/>
        <v>0</v>
      </c>
      <c r="AJ189" s="84">
        <f t="shared" si="63"/>
        <v>0</v>
      </c>
      <c r="AK189" s="84">
        <f t="shared" si="63"/>
        <v>0</v>
      </c>
      <c r="AL189" s="84">
        <f t="shared" si="63"/>
        <v>0</v>
      </c>
      <c r="AM189" s="84">
        <f t="shared" si="63"/>
        <v>0</v>
      </c>
      <c r="AN189" s="84">
        <f t="shared" si="63"/>
        <v>0</v>
      </c>
      <c r="AO189" s="84">
        <f t="shared" si="63"/>
        <v>0</v>
      </c>
    </row>
    <row r="190" outlineLevel="1">
      <c r="A190" s="142" t="s">
        <v>440</v>
      </c>
      <c r="B190" s="84">
        <f t="shared" ref="B190:AO190" si="64">-B139*B114</f>
        <v>-744.3271589</v>
      </c>
      <c r="C190" s="84">
        <f t="shared" si="64"/>
        <v>-744.3271589</v>
      </c>
      <c r="D190" s="84">
        <f t="shared" si="64"/>
        <v>-744.3271589</v>
      </c>
      <c r="E190" s="84">
        <f t="shared" si="64"/>
        <v>-744.3271589</v>
      </c>
      <c r="F190" s="84">
        <f t="shared" si="64"/>
        <v>-744.3271589</v>
      </c>
      <c r="G190" s="84">
        <f t="shared" si="64"/>
        <v>-744.3271589</v>
      </c>
      <c r="H190" s="84">
        <f t="shared" si="64"/>
        <v>-744.3271589</v>
      </c>
      <c r="I190" s="84">
        <f t="shared" si="64"/>
        <v>-744.3271589</v>
      </c>
      <c r="J190" s="84">
        <f t="shared" si="64"/>
        <v>-744.3271589</v>
      </c>
      <c r="K190" s="84">
        <f t="shared" si="64"/>
        <v>-744.3271589</v>
      </c>
      <c r="L190" s="84">
        <f t="shared" si="64"/>
        <v>-744.3271589</v>
      </c>
      <c r="M190" s="84">
        <f t="shared" si="64"/>
        <v>-744.3271589</v>
      </c>
      <c r="N190" s="84">
        <f t="shared" si="64"/>
        <v>-744.3271589</v>
      </c>
      <c r="O190" s="84">
        <f t="shared" si="64"/>
        <v>-744.3271589</v>
      </c>
      <c r="P190" s="84">
        <f t="shared" si="64"/>
        <v>-744.3271589</v>
      </c>
      <c r="Q190" s="84">
        <f t="shared" si="64"/>
        <v>-744.3271589</v>
      </c>
      <c r="R190" s="84">
        <f t="shared" si="64"/>
        <v>-744.3271589</v>
      </c>
      <c r="S190" s="84">
        <f t="shared" si="64"/>
        <v>-744.3271589</v>
      </c>
      <c r="T190" s="84">
        <f t="shared" si="64"/>
        <v>-744.3271589</v>
      </c>
      <c r="U190" s="84">
        <f t="shared" si="64"/>
        <v>-744.3271589</v>
      </c>
      <c r="V190" s="84">
        <f t="shared" si="64"/>
        <v>-744.3271589</v>
      </c>
      <c r="W190" s="84">
        <f t="shared" si="64"/>
        <v>-744.3271589</v>
      </c>
      <c r="X190" s="84">
        <f t="shared" si="64"/>
        <v>-744.3271589</v>
      </c>
      <c r="Y190" s="84">
        <f t="shared" si="64"/>
        <v>-744.3271589</v>
      </c>
      <c r="Z190" s="84">
        <f t="shared" si="64"/>
        <v>-744.3271589</v>
      </c>
      <c r="AA190" s="84">
        <f t="shared" si="64"/>
        <v>-744.3271589</v>
      </c>
      <c r="AB190" s="84">
        <f t="shared" si="64"/>
        <v>-744.3271589</v>
      </c>
      <c r="AC190" s="84">
        <f t="shared" si="64"/>
        <v>-744.3271589</v>
      </c>
      <c r="AD190" s="84">
        <f t="shared" si="64"/>
        <v>-744.3271589</v>
      </c>
      <c r="AE190" s="84">
        <f t="shared" si="64"/>
        <v>-744.3271589</v>
      </c>
      <c r="AF190" s="84">
        <f t="shared" si="64"/>
        <v>-744.3271589</v>
      </c>
      <c r="AG190" s="84">
        <f t="shared" si="64"/>
        <v>-744.3271589</v>
      </c>
      <c r="AH190" s="84">
        <f t="shared" si="64"/>
        <v>-744.3271589</v>
      </c>
      <c r="AI190" s="84">
        <f t="shared" si="64"/>
        <v>-744.3271589</v>
      </c>
      <c r="AJ190" s="84">
        <f t="shared" si="64"/>
        <v>-744.3271589</v>
      </c>
      <c r="AK190" s="84">
        <f t="shared" si="64"/>
        <v>-744.3271589</v>
      </c>
      <c r="AL190" s="84">
        <f t="shared" si="64"/>
        <v>-744.3271589</v>
      </c>
      <c r="AM190" s="84">
        <f t="shared" si="64"/>
        <v>-744.3271589</v>
      </c>
      <c r="AN190" s="84">
        <f t="shared" si="64"/>
        <v>-744.3271589</v>
      </c>
      <c r="AO190" s="84">
        <f t="shared" si="64"/>
        <v>-744.3271589</v>
      </c>
    </row>
    <row r="191" outlineLevel="1">
      <c r="A191" s="356"/>
      <c r="B191" s="168"/>
      <c r="C191" s="168"/>
      <c r="D191" s="168"/>
      <c r="E191" s="168"/>
      <c r="F191" s="168"/>
      <c r="G191" s="168"/>
      <c r="H191" s="168"/>
      <c r="I191" s="168"/>
      <c r="J191" s="168"/>
      <c r="K191" s="168"/>
      <c r="L191" s="168"/>
      <c r="M191" s="168"/>
      <c r="N191" s="168"/>
      <c r="O191" s="168"/>
      <c r="P191" s="168"/>
      <c r="Q191" s="168"/>
      <c r="R191" s="168"/>
      <c r="S191" s="168"/>
      <c r="T191" s="168"/>
      <c r="U191" s="168"/>
      <c r="V191" s="168"/>
      <c r="W191" s="168"/>
      <c r="X191" s="168"/>
      <c r="Y191" s="168"/>
      <c r="Z191" s="168"/>
      <c r="AA191" s="168"/>
      <c r="AB191" s="168"/>
      <c r="AC191" s="168"/>
      <c r="AD191" s="168"/>
      <c r="AE191" s="168"/>
      <c r="AF191" s="168"/>
      <c r="AG191" s="168"/>
      <c r="AH191" s="168"/>
      <c r="AI191" s="168"/>
      <c r="AJ191" s="168"/>
      <c r="AK191" s="168"/>
      <c r="AL191" s="168"/>
      <c r="AM191" s="168"/>
      <c r="AN191" s="168"/>
      <c r="AO191" s="168"/>
    </row>
    <row r="192" outlineLevel="1">
      <c r="A192" s="356" t="s">
        <v>333</v>
      </c>
      <c r="B192" s="168"/>
      <c r="C192" s="168"/>
      <c r="D192" s="168"/>
      <c r="E192" s="168"/>
      <c r="F192" s="168"/>
      <c r="G192" s="168"/>
      <c r="H192" s="168"/>
      <c r="I192" s="168"/>
      <c r="J192" s="168"/>
      <c r="K192" s="168"/>
      <c r="L192" s="168"/>
      <c r="M192" s="168"/>
      <c r="N192" s="168"/>
      <c r="O192" s="168"/>
      <c r="P192" s="168"/>
      <c r="Q192" s="168"/>
      <c r="R192" s="168"/>
      <c r="S192" s="168"/>
      <c r="T192" s="168"/>
      <c r="U192" s="168"/>
      <c r="V192" s="168"/>
      <c r="W192" s="168"/>
      <c r="X192" s="168"/>
      <c r="Y192" s="168"/>
      <c r="Z192" s="168"/>
      <c r="AA192" s="168"/>
      <c r="AB192" s="168"/>
      <c r="AC192" s="168"/>
      <c r="AD192" s="168"/>
      <c r="AE192" s="168"/>
      <c r="AF192" s="168"/>
      <c r="AG192" s="168"/>
      <c r="AH192" s="168"/>
      <c r="AI192" s="168"/>
      <c r="AJ192" s="168"/>
      <c r="AK192" s="168"/>
      <c r="AL192" s="168"/>
      <c r="AM192" s="168"/>
      <c r="AN192" s="168"/>
      <c r="AO192" s="168"/>
    </row>
    <row r="193" outlineLevel="1">
      <c r="A193" s="142" t="s">
        <v>336</v>
      </c>
      <c r="B193" s="168">
        <f t="shared" ref="B193:AO193" si="65">-B142*B111</f>
        <v>0</v>
      </c>
      <c r="C193" s="168">
        <f t="shared" si="65"/>
        <v>0</v>
      </c>
      <c r="D193" s="168">
        <f t="shared" si="65"/>
        <v>0</v>
      </c>
      <c r="E193" s="168">
        <f t="shared" si="65"/>
        <v>0</v>
      </c>
      <c r="F193" s="168">
        <f t="shared" si="65"/>
        <v>0</v>
      </c>
      <c r="G193" s="168">
        <f t="shared" si="65"/>
        <v>0</v>
      </c>
      <c r="H193" s="168">
        <f t="shared" si="65"/>
        <v>0</v>
      </c>
      <c r="I193" s="168">
        <f t="shared" si="65"/>
        <v>0</v>
      </c>
      <c r="J193" s="168">
        <f t="shared" si="65"/>
        <v>0</v>
      </c>
      <c r="K193" s="168">
        <f t="shared" si="65"/>
        <v>0</v>
      </c>
      <c r="L193" s="168">
        <f t="shared" si="65"/>
        <v>0</v>
      </c>
      <c r="M193" s="168">
        <f t="shared" si="65"/>
        <v>0</v>
      </c>
      <c r="N193" s="168">
        <f t="shared" si="65"/>
        <v>0</v>
      </c>
      <c r="O193" s="168">
        <f t="shared" si="65"/>
        <v>0</v>
      </c>
      <c r="P193" s="168">
        <f t="shared" si="65"/>
        <v>0</v>
      </c>
      <c r="Q193" s="168">
        <f t="shared" si="65"/>
        <v>0</v>
      </c>
      <c r="R193" s="168">
        <f t="shared" si="65"/>
        <v>0</v>
      </c>
      <c r="S193" s="168">
        <f t="shared" si="65"/>
        <v>0</v>
      </c>
      <c r="T193" s="168">
        <f t="shared" si="65"/>
        <v>0</v>
      </c>
      <c r="U193" s="168">
        <f t="shared" si="65"/>
        <v>0</v>
      </c>
      <c r="V193" s="168">
        <f t="shared" si="65"/>
        <v>0</v>
      </c>
      <c r="W193" s="168">
        <f t="shared" si="65"/>
        <v>0</v>
      </c>
      <c r="X193" s="168">
        <f t="shared" si="65"/>
        <v>0</v>
      </c>
      <c r="Y193" s="168">
        <f t="shared" si="65"/>
        <v>0</v>
      </c>
      <c r="Z193" s="168">
        <f t="shared" si="65"/>
        <v>0</v>
      </c>
      <c r="AA193" s="168">
        <f t="shared" si="65"/>
        <v>0</v>
      </c>
      <c r="AB193" s="168">
        <f t="shared" si="65"/>
        <v>0</v>
      </c>
      <c r="AC193" s="168">
        <f t="shared" si="65"/>
        <v>0</v>
      </c>
      <c r="AD193" s="168">
        <f t="shared" si="65"/>
        <v>0</v>
      </c>
      <c r="AE193" s="168">
        <f t="shared" si="65"/>
        <v>0</v>
      </c>
      <c r="AF193" s="168">
        <f t="shared" si="65"/>
        <v>0</v>
      </c>
      <c r="AG193" s="168">
        <f t="shared" si="65"/>
        <v>0</v>
      </c>
      <c r="AH193" s="168">
        <f t="shared" si="65"/>
        <v>0</v>
      </c>
      <c r="AI193" s="168">
        <f t="shared" si="65"/>
        <v>0</v>
      </c>
      <c r="AJ193" s="168">
        <f t="shared" si="65"/>
        <v>0</v>
      </c>
      <c r="AK193" s="168">
        <f t="shared" si="65"/>
        <v>0</v>
      </c>
      <c r="AL193" s="168">
        <f t="shared" si="65"/>
        <v>0</v>
      </c>
      <c r="AM193" s="168">
        <f t="shared" si="65"/>
        <v>0</v>
      </c>
      <c r="AN193" s="168">
        <f t="shared" si="65"/>
        <v>0</v>
      </c>
      <c r="AO193" s="168">
        <f t="shared" si="65"/>
        <v>0</v>
      </c>
    </row>
    <row r="194" outlineLevel="1">
      <c r="A194" s="356" t="s">
        <v>337</v>
      </c>
      <c r="B194" s="168">
        <f t="shared" ref="B194:AO194" si="66">-B143*B112</f>
        <v>179.4235211</v>
      </c>
      <c r="C194" s="168">
        <f t="shared" si="66"/>
        <v>250.4176652</v>
      </c>
      <c r="D194" s="168">
        <f t="shared" si="66"/>
        <v>207.170296</v>
      </c>
      <c r="E194" s="168">
        <f t="shared" si="66"/>
        <v>237.9942353</v>
      </c>
      <c r="F194" s="168">
        <f t="shared" si="66"/>
        <v>237.9942353</v>
      </c>
      <c r="G194" s="168">
        <f t="shared" si="66"/>
        <v>237.9942353</v>
      </c>
      <c r="H194" s="168">
        <f t="shared" si="66"/>
        <v>237.9942353</v>
      </c>
      <c r="I194" s="168">
        <f t="shared" si="66"/>
        <v>237.9942353</v>
      </c>
      <c r="J194" s="168">
        <f t="shared" si="66"/>
        <v>237.9942353</v>
      </c>
      <c r="K194" s="168">
        <f t="shared" si="66"/>
        <v>237.9942353</v>
      </c>
      <c r="L194" s="168">
        <f t="shared" si="66"/>
        <v>237.9942353</v>
      </c>
      <c r="M194" s="168">
        <f t="shared" si="66"/>
        <v>237.9942353</v>
      </c>
      <c r="N194" s="168">
        <f t="shared" si="66"/>
        <v>237.9942353</v>
      </c>
      <c r="O194" s="168">
        <f t="shared" si="66"/>
        <v>237.9942353</v>
      </c>
      <c r="P194" s="168">
        <f t="shared" si="66"/>
        <v>237.9942353</v>
      </c>
      <c r="Q194" s="168">
        <f t="shared" si="66"/>
        <v>237.9942353</v>
      </c>
      <c r="R194" s="168">
        <f t="shared" si="66"/>
        <v>237.9942353</v>
      </c>
      <c r="S194" s="168">
        <f t="shared" si="66"/>
        <v>237.9942353</v>
      </c>
      <c r="T194" s="168">
        <f t="shared" si="66"/>
        <v>237.9942353</v>
      </c>
      <c r="U194" s="168">
        <f t="shared" si="66"/>
        <v>229.941156</v>
      </c>
      <c r="V194" s="168">
        <f t="shared" si="66"/>
        <v>229.941156</v>
      </c>
      <c r="W194" s="168">
        <f t="shared" si="66"/>
        <v>229.941156</v>
      </c>
      <c r="X194" s="168">
        <f t="shared" si="66"/>
        <v>229.941156</v>
      </c>
      <c r="Y194" s="168">
        <f t="shared" si="66"/>
        <v>229.941156</v>
      </c>
      <c r="Z194" s="168">
        <f t="shared" si="66"/>
        <v>229.941156</v>
      </c>
      <c r="AA194" s="168">
        <f t="shared" si="66"/>
        <v>229.941156</v>
      </c>
      <c r="AB194" s="168">
        <f t="shared" si="66"/>
        <v>270.4727324</v>
      </c>
      <c r="AC194" s="168">
        <f t="shared" si="66"/>
        <v>316.1238028</v>
      </c>
      <c r="AD194" s="168">
        <f t="shared" si="66"/>
        <v>316.1238028</v>
      </c>
      <c r="AE194" s="168">
        <f t="shared" si="66"/>
        <v>316.1238028</v>
      </c>
      <c r="AF194" s="168">
        <f t="shared" si="66"/>
        <v>316.1238028</v>
      </c>
      <c r="AG194" s="168">
        <f t="shared" si="66"/>
        <v>267.0381141</v>
      </c>
      <c r="AH194" s="168">
        <f t="shared" si="66"/>
        <v>234.5511705</v>
      </c>
      <c r="AI194" s="168">
        <f t="shared" si="66"/>
        <v>252.1619755</v>
      </c>
      <c r="AJ194" s="168">
        <f t="shared" si="66"/>
        <v>252.1619755</v>
      </c>
      <c r="AK194" s="168">
        <f t="shared" si="66"/>
        <v>252.1619755</v>
      </c>
      <c r="AL194" s="168">
        <f t="shared" si="66"/>
        <v>252.1619755</v>
      </c>
      <c r="AM194" s="168">
        <f t="shared" si="66"/>
        <v>252.1619755</v>
      </c>
      <c r="AN194" s="168">
        <f t="shared" si="66"/>
        <v>252.1619755</v>
      </c>
      <c r="AO194" s="168">
        <f t="shared" si="66"/>
        <v>161.438719</v>
      </c>
    </row>
    <row r="195" outlineLevel="1">
      <c r="A195" s="142" t="s">
        <v>338</v>
      </c>
      <c r="B195" s="168">
        <f t="shared" ref="B195:AO195" si="67">-B144*B113</f>
        <v>66.7813009</v>
      </c>
      <c r="C195" s="168">
        <f t="shared" si="67"/>
        <v>248.7795895</v>
      </c>
      <c r="D195" s="168">
        <f t="shared" si="67"/>
        <v>137.9120343</v>
      </c>
      <c r="E195" s="168">
        <f t="shared" si="67"/>
        <v>216.9312868</v>
      </c>
      <c r="F195" s="168">
        <f t="shared" si="67"/>
        <v>216.9312868</v>
      </c>
      <c r="G195" s="168">
        <f t="shared" si="67"/>
        <v>216.9312868</v>
      </c>
      <c r="H195" s="168">
        <f t="shared" si="67"/>
        <v>216.9312868</v>
      </c>
      <c r="I195" s="168">
        <f t="shared" si="67"/>
        <v>216.9312868</v>
      </c>
      <c r="J195" s="168">
        <f t="shared" si="67"/>
        <v>216.9312868</v>
      </c>
      <c r="K195" s="168">
        <f t="shared" si="67"/>
        <v>216.9312868</v>
      </c>
      <c r="L195" s="168">
        <f t="shared" si="67"/>
        <v>216.9312868</v>
      </c>
      <c r="M195" s="168">
        <f t="shared" si="67"/>
        <v>216.9312868</v>
      </c>
      <c r="N195" s="168">
        <f t="shared" si="67"/>
        <v>216.9312868</v>
      </c>
      <c r="O195" s="168">
        <f t="shared" si="67"/>
        <v>216.9312868</v>
      </c>
      <c r="P195" s="168">
        <f t="shared" si="67"/>
        <v>216.9312868</v>
      </c>
      <c r="Q195" s="168">
        <f t="shared" si="67"/>
        <v>216.9312868</v>
      </c>
      <c r="R195" s="168">
        <f t="shared" si="67"/>
        <v>216.9312868</v>
      </c>
      <c r="S195" s="168">
        <f t="shared" si="67"/>
        <v>216.9312868</v>
      </c>
      <c r="T195" s="168">
        <f t="shared" si="67"/>
        <v>216.9312868</v>
      </c>
      <c r="U195" s="168">
        <f t="shared" si="67"/>
        <v>196.2866737</v>
      </c>
      <c r="V195" s="168">
        <f t="shared" si="67"/>
        <v>196.2866737</v>
      </c>
      <c r="W195" s="168">
        <f t="shared" si="67"/>
        <v>196.2866737</v>
      </c>
      <c r="X195" s="168">
        <f t="shared" si="67"/>
        <v>196.2866737</v>
      </c>
      <c r="Y195" s="168">
        <f t="shared" si="67"/>
        <v>196.2866737</v>
      </c>
      <c r="Z195" s="168">
        <f t="shared" si="67"/>
        <v>196.2866737</v>
      </c>
      <c r="AA195" s="168">
        <f t="shared" si="67"/>
        <v>196.2866737</v>
      </c>
      <c r="AB195" s="168">
        <f t="shared" si="67"/>
        <v>300.1921104</v>
      </c>
      <c r="AC195" s="168">
        <f t="shared" si="67"/>
        <v>417.221716</v>
      </c>
      <c r="AD195" s="168">
        <f t="shared" si="67"/>
        <v>417.221716</v>
      </c>
      <c r="AE195" s="168">
        <f t="shared" si="67"/>
        <v>417.221716</v>
      </c>
      <c r="AF195" s="168">
        <f t="shared" si="67"/>
        <v>417.221716</v>
      </c>
      <c r="AG195" s="168">
        <f t="shared" si="67"/>
        <v>291.387234</v>
      </c>
      <c r="AH195" s="168">
        <f t="shared" si="67"/>
        <v>208.1047575</v>
      </c>
      <c r="AI195" s="168">
        <f t="shared" si="67"/>
        <v>253.251247</v>
      </c>
      <c r="AJ195" s="168">
        <f t="shared" si="67"/>
        <v>253.251247</v>
      </c>
      <c r="AK195" s="168">
        <f t="shared" si="67"/>
        <v>253.251247</v>
      </c>
      <c r="AL195" s="168">
        <f t="shared" si="67"/>
        <v>253.251247</v>
      </c>
      <c r="AM195" s="168">
        <f t="shared" si="67"/>
        <v>253.251247</v>
      </c>
      <c r="AN195" s="168">
        <f t="shared" si="67"/>
        <v>253.251247</v>
      </c>
      <c r="AO195" s="168">
        <f t="shared" si="67"/>
        <v>20.6760445</v>
      </c>
    </row>
    <row r="196" outlineLevel="1">
      <c r="A196" s="142" t="s">
        <v>440</v>
      </c>
      <c r="B196" s="168">
        <f t="shared" ref="B196:AO196" si="68">-B145*B114</f>
        <v>0</v>
      </c>
      <c r="C196" s="168">
        <f t="shared" si="68"/>
        <v>0</v>
      </c>
      <c r="D196" s="168">
        <f t="shared" si="68"/>
        <v>0</v>
      </c>
      <c r="E196" s="168">
        <f t="shared" si="68"/>
        <v>0</v>
      </c>
      <c r="F196" s="168">
        <f t="shared" si="68"/>
        <v>0</v>
      </c>
      <c r="G196" s="168">
        <f t="shared" si="68"/>
        <v>0</v>
      </c>
      <c r="H196" s="168">
        <f t="shared" si="68"/>
        <v>0</v>
      </c>
      <c r="I196" s="168">
        <f t="shared" si="68"/>
        <v>0</v>
      </c>
      <c r="J196" s="168">
        <f t="shared" si="68"/>
        <v>0</v>
      </c>
      <c r="K196" s="168">
        <f t="shared" si="68"/>
        <v>0</v>
      </c>
      <c r="L196" s="168">
        <f t="shared" si="68"/>
        <v>0</v>
      </c>
      <c r="M196" s="168">
        <f t="shared" si="68"/>
        <v>0</v>
      </c>
      <c r="N196" s="168">
        <f t="shared" si="68"/>
        <v>0</v>
      </c>
      <c r="O196" s="168">
        <f t="shared" si="68"/>
        <v>0</v>
      </c>
      <c r="P196" s="168">
        <f t="shared" si="68"/>
        <v>0</v>
      </c>
      <c r="Q196" s="168">
        <f t="shared" si="68"/>
        <v>0</v>
      </c>
      <c r="R196" s="168">
        <f t="shared" si="68"/>
        <v>0</v>
      </c>
      <c r="S196" s="168">
        <f t="shared" si="68"/>
        <v>0</v>
      </c>
      <c r="T196" s="168">
        <f t="shared" si="68"/>
        <v>0</v>
      </c>
      <c r="U196" s="168">
        <f t="shared" si="68"/>
        <v>0</v>
      </c>
      <c r="V196" s="168">
        <f t="shared" si="68"/>
        <v>0</v>
      </c>
      <c r="W196" s="168">
        <f t="shared" si="68"/>
        <v>0</v>
      </c>
      <c r="X196" s="168">
        <f t="shared" si="68"/>
        <v>0</v>
      </c>
      <c r="Y196" s="168">
        <f t="shared" si="68"/>
        <v>0</v>
      </c>
      <c r="Z196" s="168">
        <f t="shared" si="68"/>
        <v>0</v>
      </c>
      <c r="AA196" s="168">
        <f t="shared" si="68"/>
        <v>0</v>
      </c>
      <c r="AB196" s="168">
        <f t="shared" si="68"/>
        <v>0</v>
      </c>
      <c r="AC196" s="168">
        <f t="shared" si="68"/>
        <v>0</v>
      </c>
      <c r="AD196" s="168">
        <f t="shared" si="68"/>
        <v>0</v>
      </c>
      <c r="AE196" s="168">
        <f t="shared" si="68"/>
        <v>0</v>
      </c>
      <c r="AF196" s="168">
        <f t="shared" si="68"/>
        <v>0</v>
      </c>
      <c r="AG196" s="168">
        <f t="shared" si="68"/>
        <v>0</v>
      </c>
      <c r="AH196" s="168">
        <f t="shared" si="68"/>
        <v>0</v>
      </c>
      <c r="AI196" s="168">
        <f t="shared" si="68"/>
        <v>0</v>
      </c>
      <c r="AJ196" s="168">
        <f t="shared" si="68"/>
        <v>0</v>
      </c>
      <c r="AK196" s="168">
        <f t="shared" si="68"/>
        <v>0</v>
      </c>
      <c r="AL196" s="168">
        <f t="shared" si="68"/>
        <v>0</v>
      </c>
      <c r="AM196" s="168">
        <f t="shared" si="68"/>
        <v>0</v>
      </c>
      <c r="AN196" s="168">
        <f t="shared" si="68"/>
        <v>0</v>
      </c>
      <c r="AO196" s="168">
        <f t="shared" si="68"/>
        <v>0</v>
      </c>
    </row>
    <row r="197" outlineLevel="1">
      <c r="A197" s="356"/>
      <c r="B197" s="168"/>
      <c r="C197" s="168"/>
      <c r="D197" s="168"/>
      <c r="E197" s="168"/>
      <c r="F197" s="168"/>
      <c r="G197" s="168"/>
      <c r="H197" s="168"/>
      <c r="I197" s="168"/>
      <c r="J197" s="168"/>
      <c r="K197" s="168"/>
      <c r="L197" s="168"/>
      <c r="M197" s="168"/>
      <c r="N197" s="168"/>
      <c r="O197" s="168"/>
      <c r="P197" s="168"/>
      <c r="Q197" s="168"/>
      <c r="R197" s="168"/>
      <c r="S197" s="168"/>
      <c r="T197" s="168"/>
      <c r="U197" s="168"/>
      <c r="V197" s="168"/>
      <c r="W197" s="168"/>
      <c r="X197" s="168"/>
      <c r="Y197" s="168"/>
      <c r="Z197" s="168"/>
      <c r="AA197" s="168"/>
      <c r="AB197" s="168"/>
      <c r="AC197" s="168"/>
      <c r="AD197" s="168"/>
      <c r="AE197" s="168"/>
      <c r="AF197" s="168"/>
      <c r="AG197" s="168"/>
      <c r="AH197" s="168"/>
      <c r="AI197" s="168"/>
      <c r="AJ197" s="168"/>
      <c r="AK197" s="168"/>
      <c r="AL197" s="168"/>
      <c r="AM197" s="168"/>
      <c r="AN197" s="168"/>
      <c r="AO197" s="168"/>
    </row>
    <row r="198" outlineLevel="1">
      <c r="A198" s="367" t="s">
        <v>220</v>
      </c>
      <c r="B198" s="168"/>
      <c r="C198" s="168"/>
      <c r="D198" s="168"/>
      <c r="E198" s="168"/>
      <c r="F198" s="168"/>
      <c r="G198" s="168"/>
      <c r="H198" s="168"/>
      <c r="I198" s="168"/>
      <c r="J198" s="168"/>
      <c r="K198" s="168"/>
      <c r="L198" s="168"/>
      <c r="M198" s="168"/>
      <c r="N198" s="168"/>
      <c r="O198" s="168"/>
      <c r="P198" s="168"/>
      <c r="Q198" s="168"/>
      <c r="R198" s="168"/>
      <c r="S198" s="168"/>
      <c r="T198" s="168"/>
      <c r="U198" s="168"/>
      <c r="V198" s="168"/>
      <c r="W198" s="168"/>
      <c r="X198" s="168"/>
      <c r="Y198" s="168"/>
      <c r="Z198" s="168"/>
      <c r="AA198" s="168"/>
      <c r="AB198" s="168"/>
      <c r="AC198" s="168"/>
      <c r="AD198" s="168"/>
      <c r="AE198" s="168"/>
      <c r="AF198" s="168"/>
      <c r="AG198" s="168"/>
      <c r="AH198" s="168"/>
      <c r="AI198" s="168"/>
      <c r="AJ198" s="168"/>
      <c r="AK198" s="168"/>
      <c r="AL198" s="168"/>
      <c r="AM198" s="168"/>
      <c r="AN198" s="168"/>
      <c r="AO198" s="168"/>
    </row>
    <row r="199" outlineLevel="1">
      <c r="A199" s="142" t="s">
        <v>336</v>
      </c>
      <c r="B199" s="168">
        <f t="shared" ref="B199:AO199" si="69">-B148*B111</f>
        <v>0</v>
      </c>
      <c r="C199" s="168">
        <f t="shared" si="69"/>
        <v>0</v>
      </c>
      <c r="D199" s="168">
        <f t="shared" si="69"/>
        <v>0</v>
      </c>
      <c r="E199" s="168">
        <f t="shared" si="69"/>
        <v>0</v>
      </c>
      <c r="F199" s="168">
        <f t="shared" si="69"/>
        <v>0</v>
      </c>
      <c r="G199" s="168">
        <f t="shared" si="69"/>
        <v>0</v>
      </c>
      <c r="H199" s="168">
        <f t="shared" si="69"/>
        <v>0</v>
      </c>
      <c r="I199" s="168">
        <f t="shared" si="69"/>
        <v>0</v>
      </c>
      <c r="J199" s="168">
        <f t="shared" si="69"/>
        <v>0</v>
      </c>
      <c r="K199" s="168">
        <f t="shared" si="69"/>
        <v>0</v>
      </c>
      <c r="L199" s="168">
        <f t="shared" si="69"/>
        <v>0</v>
      </c>
      <c r="M199" s="168">
        <f t="shared" si="69"/>
        <v>0</v>
      </c>
      <c r="N199" s="168">
        <f t="shared" si="69"/>
        <v>0</v>
      </c>
      <c r="O199" s="168">
        <f t="shared" si="69"/>
        <v>0</v>
      </c>
      <c r="P199" s="168">
        <f t="shared" si="69"/>
        <v>0</v>
      </c>
      <c r="Q199" s="168">
        <f t="shared" si="69"/>
        <v>0</v>
      </c>
      <c r="R199" s="168">
        <f t="shared" si="69"/>
        <v>0</v>
      </c>
      <c r="S199" s="168">
        <f t="shared" si="69"/>
        <v>0</v>
      </c>
      <c r="T199" s="168">
        <f t="shared" si="69"/>
        <v>0</v>
      </c>
      <c r="U199" s="168">
        <f t="shared" si="69"/>
        <v>0</v>
      </c>
      <c r="V199" s="168">
        <f t="shared" si="69"/>
        <v>0</v>
      </c>
      <c r="W199" s="168">
        <f t="shared" si="69"/>
        <v>0</v>
      </c>
      <c r="X199" s="168">
        <f t="shared" si="69"/>
        <v>0</v>
      </c>
      <c r="Y199" s="168">
        <f t="shared" si="69"/>
        <v>0</v>
      </c>
      <c r="Z199" s="168">
        <f t="shared" si="69"/>
        <v>0</v>
      </c>
      <c r="AA199" s="168">
        <f t="shared" si="69"/>
        <v>0</v>
      </c>
      <c r="AB199" s="168">
        <f t="shared" si="69"/>
        <v>0</v>
      </c>
      <c r="AC199" s="168">
        <f t="shared" si="69"/>
        <v>0</v>
      </c>
      <c r="AD199" s="168">
        <f t="shared" si="69"/>
        <v>0</v>
      </c>
      <c r="AE199" s="168">
        <f t="shared" si="69"/>
        <v>0</v>
      </c>
      <c r="AF199" s="168">
        <f t="shared" si="69"/>
        <v>0</v>
      </c>
      <c r="AG199" s="168">
        <f t="shared" si="69"/>
        <v>0</v>
      </c>
      <c r="AH199" s="168">
        <f t="shared" si="69"/>
        <v>0</v>
      </c>
      <c r="AI199" s="168">
        <f t="shared" si="69"/>
        <v>0</v>
      </c>
      <c r="AJ199" s="168">
        <f t="shared" si="69"/>
        <v>0</v>
      </c>
      <c r="AK199" s="168">
        <f t="shared" si="69"/>
        <v>0</v>
      </c>
      <c r="AL199" s="168">
        <f t="shared" si="69"/>
        <v>0</v>
      </c>
      <c r="AM199" s="168">
        <f t="shared" si="69"/>
        <v>0</v>
      </c>
      <c r="AN199" s="168">
        <f t="shared" si="69"/>
        <v>0</v>
      </c>
      <c r="AO199" s="168">
        <f t="shared" si="69"/>
        <v>0</v>
      </c>
    </row>
    <row r="200" outlineLevel="1">
      <c r="A200" s="356" t="s">
        <v>337</v>
      </c>
      <c r="B200" s="168">
        <f t="shared" ref="B200:AO200" si="70">-B149*B112</f>
        <v>179.4235211</v>
      </c>
      <c r="C200" s="168">
        <f t="shared" si="70"/>
        <v>250.4176652</v>
      </c>
      <c r="D200" s="168">
        <f t="shared" si="70"/>
        <v>207.170296</v>
      </c>
      <c r="E200" s="168">
        <f t="shared" si="70"/>
        <v>237.9942353</v>
      </c>
      <c r="F200" s="168">
        <f t="shared" si="70"/>
        <v>237.9942353</v>
      </c>
      <c r="G200" s="168">
        <f t="shared" si="70"/>
        <v>237.9942353</v>
      </c>
      <c r="H200" s="168">
        <f t="shared" si="70"/>
        <v>237.9942353</v>
      </c>
      <c r="I200" s="168">
        <f t="shared" si="70"/>
        <v>237.9942353</v>
      </c>
      <c r="J200" s="168">
        <f t="shared" si="70"/>
        <v>237.9942353</v>
      </c>
      <c r="K200" s="168">
        <f t="shared" si="70"/>
        <v>237.9942353</v>
      </c>
      <c r="L200" s="168">
        <f t="shared" si="70"/>
        <v>237.9942353</v>
      </c>
      <c r="M200" s="168">
        <f t="shared" si="70"/>
        <v>237.9942353</v>
      </c>
      <c r="N200" s="168">
        <f t="shared" si="70"/>
        <v>237.9942353</v>
      </c>
      <c r="O200" s="168">
        <f t="shared" si="70"/>
        <v>237.9942353</v>
      </c>
      <c r="P200" s="168">
        <f t="shared" si="70"/>
        <v>237.9942353</v>
      </c>
      <c r="Q200" s="168">
        <f t="shared" si="70"/>
        <v>237.9942353</v>
      </c>
      <c r="R200" s="168">
        <f t="shared" si="70"/>
        <v>237.9942353</v>
      </c>
      <c r="S200" s="168">
        <f t="shared" si="70"/>
        <v>237.9942353</v>
      </c>
      <c r="T200" s="168">
        <f t="shared" si="70"/>
        <v>237.9942353</v>
      </c>
      <c r="U200" s="168">
        <f t="shared" si="70"/>
        <v>229.941156</v>
      </c>
      <c r="V200" s="168">
        <f t="shared" si="70"/>
        <v>229.941156</v>
      </c>
      <c r="W200" s="168">
        <f t="shared" si="70"/>
        <v>229.941156</v>
      </c>
      <c r="X200" s="168">
        <f t="shared" si="70"/>
        <v>229.941156</v>
      </c>
      <c r="Y200" s="168">
        <f t="shared" si="70"/>
        <v>229.941156</v>
      </c>
      <c r="Z200" s="168">
        <f t="shared" si="70"/>
        <v>229.941156</v>
      </c>
      <c r="AA200" s="168">
        <f t="shared" si="70"/>
        <v>229.941156</v>
      </c>
      <c r="AB200" s="168">
        <f t="shared" si="70"/>
        <v>270.4727324</v>
      </c>
      <c r="AC200" s="168">
        <f t="shared" si="70"/>
        <v>316.1238028</v>
      </c>
      <c r="AD200" s="168">
        <f t="shared" si="70"/>
        <v>316.1238028</v>
      </c>
      <c r="AE200" s="168">
        <f t="shared" si="70"/>
        <v>316.1238028</v>
      </c>
      <c r="AF200" s="168">
        <f t="shared" si="70"/>
        <v>316.1238028</v>
      </c>
      <c r="AG200" s="168">
        <f t="shared" si="70"/>
        <v>267.0381141</v>
      </c>
      <c r="AH200" s="168">
        <f t="shared" si="70"/>
        <v>234.5511705</v>
      </c>
      <c r="AI200" s="168">
        <f t="shared" si="70"/>
        <v>252.1619755</v>
      </c>
      <c r="AJ200" s="168">
        <f t="shared" si="70"/>
        <v>252.1619755</v>
      </c>
      <c r="AK200" s="168">
        <f t="shared" si="70"/>
        <v>252.1619755</v>
      </c>
      <c r="AL200" s="168">
        <f t="shared" si="70"/>
        <v>252.1619755</v>
      </c>
      <c r="AM200" s="168">
        <f t="shared" si="70"/>
        <v>252.1619755</v>
      </c>
      <c r="AN200" s="168">
        <f t="shared" si="70"/>
        <v>252.1619755</v>
      </c>
      <c r="AO200" s="168">
        <f t="shared" si="70"/>
        <v>161.438719</v>
      </c>
    </row>
    <row r="201" outlineLevel="1">
      <c r="A201" s="142" t="s">
        <v>338</v>
      </c>
      <c r="B201" s="168">
        <f t="shared" ref="B201:AO201" si="71">-B150*B113</f>
        <v>66.7813009</v>
      </c>
      <c r="C201" s="168">
        <f t="shared" si="71"/>
        <v>248.7795895</v>
      </c>
      <c r="D201" s="168">
        <f t="shared" si="71"/>
        <v>137.9120343</v>
      </c>
      <c r="E201" s="168">
        <f t="shared" si="71"/>
        <v>216.9312868</v>
      </c>
      <c r="F201" s="168">
        <f t="shared" si="71"/>
        <v>216.9312868</v>
      </c>
      <c r="G201" s="168">
        <f t="shared" si="71"/>
        <v>216.9312868</v>
      </c>
      <c r="H201" s="168">
        <f t="shared" si="71"/>
        <v>216.9312868</v>
      </c>
      <c r="I201" s="168">
        <f t="shared" si="71"/>
        <v>216.9312868</v>
      </c>
      <c r="J201" s="168">
        <f t="shared" si="71"/>
        <v>216.9312868</v>
      </c>
      <c r="K201" s="168">
        <f t="shared" si="71"/>
        <v>216.9312868</v>
      </c>
      <c r="L201" s="168">
        <f t="shared" si="71"/>
        <v>216.9312868</v>
      </c>
      <c r="M201" s="168">
        <f t="shared" si="71"/>
        <v>216.9312868</v>
      </c>
      <c r="N201" s="168">
        <f t="shared" si="71"/>
        <v>216.9312868</v>
      </c>
      <c r="O201" s="168">
        <f t="shared" si="71"/>
        <v>216.9312868</v>
      </c>
      <c r="P201" s="168">
        <f t="shared" si="71"/>
        <v>216.9312868</v>
      </c>
      <c r="Q201" s="168">
        <f t="shared" si="71"/>
        <v>216.9312868</v>
      </c>
      <c r="R201" s="168">
        <f t="shared" si="71"/>
        <v>216.9312868</v>
      </c>
      <c r="S201" s="168">
        <f t="shared" si="71"/>
        <v>216.9312868</v>
      </c>
      <c r="T201" s="168">
        <f t="shared" si="71"/>
        <v>216.9312868</v>
      </c>
      <c r="U201" s="168">
        <f t="shared" si="71"/>
        <v>196.2866737</v>
      </c>
      <c r="V201" s="168">
        <f t="shared" si="71"/>
        <v>196.2866737</v>
      </c>
      <c r="W201" s="168">
        <f t="shared" si="71"/>
        <v>196.2866737</v>
      </c>
      <c r="X201" s="168">
        <f t="shared" si="71"/>
        <v>196.2866737</v>
      </c>
      <c r="Y201" s="168">
        <f t="shared" si="71"/>
        <v>196.2866737</v>
      </c>
      <c r="Z201" s="168">
        <f t="shared" si="71"/>
        <v>196.2866737</v>
      </c>
      <c r="AA201" s="168">
        <f t="shared" si="71"/>
        <v>196.2866737</v>
      </c>
      <c r="AB201" s="168">
        <f t="shared" si="71"/>
        <v>300.1921104</v>
      </c>
      <c r="AC201" s="168">
        <f t="shared" si="71"/>
        <v>417.221716</v>
      </c>
      <c r="AD201" s="168">
        <f t="shared" si="71"/>
        <v>417.221716</v>
      </c>
      <c r="AE201" s="168">
        <f t="shared" si="71"/>
        <v>417.221716</v>
      </c>
      <c r="AF201" s="168">
        <f t="shared" si="71"/>
        <v>417.221716</v>
      </c>
      <c r="AG201" s="168">
        <f t="shared" si="71"/>
        <v>291.387234</v>
      </c>
      <c r="AH201" s="168">
        <f t="shared" si="71"/>
        <v>208.1047575</v>
      </c>
      <c r="AI201" s="168">
        <f t="shared" si="71"/>
        <v>253.251247</v>
      </c>
      <c r="AJ201" s="168">
        <f t="shared" si="71"/>
        <v>253.251247</v>
      </c>
      <c r="AK201" s="168">
        <f t="shared" si="71"/>
        <v>253.251247</v>
      </c>
      <c r="AL201" s="168">
        <f t="shared" si="71"/>
        <v>253.251247</v>
      </c>
      <c r="AM201" s="168">
        <f t="shared" si="71"/>
        <v>253.251247</v>
      </c>
      <c r="AN201" s="168">
        <f t="shared" si="71"/>
        <v>253.251247</v>
      </c>
      <c r="AO201" s="168">
        <f t="shared" si="71"/>
        <v>20.6760445</v>
      </c>
    </row>
    <row r="202" outlineLevel="1">
      <c r="A202" s="142" t="s">
        <v>440</v>
      </c>
      <c r="B202" s="168">
        <f t="shared" ref="B202:AO202" si="72">-B151*B114</f>
        <v>0</v>
      </c>
      <c r="C202" s="168">
        <f t="shared" si="72"/>
        <v>0</v>
      </c>
      <c r="D202" s="168">
        <f t="shared" si="72"/>
        <v>0</v>
      </c>
      <c r="E202" s="168">
        <f t="shared" si="72"/>
        <v>0</v>
      </c>
      <c r="F202" s="168">
        <f t="shared" si="72"/>
        <v>0</v>
      </c>
      <c r="G202" s="168">
        <f t="shared" si="72"/>
        <v>0</v>
      </c>
      <c r="H202" s="168">
        <f t="shared" si="72"/>
        <v>0</v>
      </c>
      <c r="I202" s="168">
        <f t="shared" si="72"/>
        <v>0</v>
      </c>
      <c r="J202" s="168">
        <f t="shared" si="72"/>
        <v>0</v>
      </c>
      <c r="K202" s="168">
        <f t="shared" si="72"/>
        <v>0</v>
      </c>
      <c r="L202" s="168">
        <f t="shared" si="72"/>
        <v>0</v>
      </c>
      <c r="M202" s="168">
        <f t="shared" si="72"/>
        <v>0</v>
      </c>
      <c r="N202" s="168">
        <f t="shared" si="72"/>
        <v>0</v>
      </c>
      <c r="O202" s="168">
        <f t="shared" si="72"/>
        <v>0</v>
      </c>
      <c r="P202" s="168">
        <f t="shared" si="72"/>
        <v>0</v>
      </c>
      <c r="Q202" s="168">
        <f t="shared" si="72"/>
        <v>0</v>
      </c>
      <c r="R202" s="168">
        <f t="shared" si="72"/>
        <v>0</v>
      </c>
      <c r="S202" s="168">
        <f t="shared" si="72"/>
        <v>0</v>
      </c>
      <c r="T202" s="168">
        <f t="shared" si="72"/>
        <v>0</v>
      </c>
      <c r="U202" s="168">
        <f t="shared" si="72"/>
        <v>0</v>
      </c>
      <c r="V202" s="168">
        <f t="shared" si="72"/>
        <v>0</v>
      </c>
      <c r="W202" s="168">
        <f t="shared" si="72"/>
        <v>0</v>
      </c>
      <c r="X202" s="168">
        <f t="shared" si="72"/>
        <v>0</v>
      </c>
      <c r="Y202" s="168">
        <f t="shared" si="72"/>
        <v>0</v>
      </c>
      <c r="Z202" s="168">
        <f t="shared" si="72"/>
        <v>0</v>
      </c>
      <c r="AA202" s="168">
        <f t="shared" si="72"/>
        <v>0</v>
      </c>
      <c r="AB202" s="168">
        <f t="shared" si="72"/>
        <v>0</v>
      </c>
      <c r="AC202" s="168">
        <f t="shared" si="72"/>
        <v>0</v>
      </c>
      <c r="AD202" s="168">
        <f t="shared" si="72"/>
        <v>0</v>
      </c>
      <c r="AE202" s="168">
        <f t="shared" si="72"/>
        <v>0</v>
      </c>
      <c r="AF202" s="168">
        <f t="shared" si="72"/>
        <v>0</v>
      </c>
      <c r="AG202" s="168">
        <f t="shared" si="72"/>
        <v>0</v>
      </c>
      <c r="AH202" s="168">
        <f t="shared" si="72"/>
        <v>0</v>
      </c>
      <c r="AI202" s="168">
        <f t="shared" si="72"/>
        <v>0</v>
      </c>
      <c r="AJ202" s="168">
        <f t="shared" si="72"/>
        <v>0</v>
      </c>
      <c r="AK202" s="168">
        <f t="shared" si="72"/>
        <v>0</v>
      </c>
      <c r="AL202" s="168">
        <f t="shared" si="72"/>
        <v>0</v>
      </c>
      <c r="AM202" s="168">
        <f t="shared" si="72"/>
        <v>0</v>
      </c>
      <c r="AN202" s="168">
        <f t="shared" si="72"/>
        <v>0</v>
      </c>
      <c r="AO202" s="168">
        <f t="shared" si="72"/>
        <v>0</v>
      </c>
    </row>
    <row r="203" outlineLevel="1">
      <c r="A203" s="356"/>
      <c r="B203" s="168"/>
      <c r="C203" s="168"/>
      <c r="D203" s="168"/>
      <c r="E203" s="168"/>
      <c r="F203" s="168"/>
      <c r="G203" s="168"/>
      <c r="H203" s="168"/>
      <c r="I203" s="168"/>
      <c r="J203" s="168"/>
      <c r="K203" s="168"/>
      <c r="L203" s="168"/>
      <c r="M203" s="168"/>
      <c r="N203" s="168"/>
      <c r="O203" s="168"/>
      <c r="P203" s="168"/>
      <c r="Q203" s="168"/>
      <c r="R203" s="168"/>
      <c r="S203" s="168"/>
      <c r="T203" s="168"/>
      <c r="U203" s="168"/>
      <c r="V203" s="168"/>
      <c r="W203" s="168"/>
      <c r="X203" s="168"/>
      <c r="Y203" s="168"/>
      <c r="Z203" s="168"/>
      <c r="AA203" s="168"/>
      <c r="AB203" s="168"/>
      <c r="AC203" s="168"/>
      <c r="AD203" s="168"/>
      <c r="AE203" s="168"/>
      <c r="AF203" s="168"/>
      <c r="AG203" s="168"/>
      <c r="AH203" s="168"/>
      <c r="AI203" s="168"/>
      <c r="AJ203" s="168"/>
      <c r="AK203" s="168"/>
      <c r="AL203" s="168"/>
      <c r="AM203" s="168"/>
      <c r="AN203" s="168"/>
      <c r="AO203" s="168"/>
    </row>
    <row r="204" outlineLevel="1">
      <c r="A204" s="142"/>
      <c r="B204" s="91"/>
      <c r="C204" s="91"/>
      <c r="D204" s="91"/>
      <c r="E204" s="91"/>
      <c r="F204" s="91"/>
      <c r="G204" s="91"/>
      <c r="H204" s="91"/>
      <c r="I204" s="91"/>
      <c r="J204" s="91"/>
      <c r="K204" s="91"/>
      <c r="L204" s="91"/>
      <c r="M204" s="91"/>
      <c r="N204" s="91"/>
      <c r="O204" s="91"/>
      <c r="P204" s="91"/>
      <c r="Q204" s="91"/>
      <c r="R204" s="91"/>
      <c r="S204" s="91"/>
      <c r="T204" s="91"/>
      <c r="U204" s="91"/>
      <c r="V204" s="91"/>
      <c r="W204" s="91"/>
      <c r="X204" s="91"/>
      <c r="Y204" s="91"/>
      <c r="Z204" s="91"/>
      <c r="AA204" s="91"/>
      <c r="AB204" s="91"/>
      <c r="AC204" s="91"/>
      <c r="AD204" s="91"/>
      <c r="AE204" s="91"/>
      <c r="AF204" s="91"/>
      <c r="AG204" s="91"/>
      <c r="AH204" s="91"/>
      <c r="AI204" s="91"/>
      <c r="AJ204" s="91"/>
      <c r="AK204" s="91"/>
      <c r="AL204" s="91"/>
      <c r="AM204" s="91"/>
      <c r="AN204" s="91"/>
      <c r="AO204" s="91"/>
    </row>
    <row r="205" outlineLevel="1">
      <c r="A205" s="372" t="s">
        <v>443</v>
      </c>
      <c r="B205" s="242"/>
      <c r="C205" s="242"/>
      <c r="D205" s="242"/>
      <c r="E205" s="242"/>
      <c r="F205" s="242"/>
      <c r="G205" s="242"/>
      <c r="H205" s="242"/>
      <c r="I205" s="242"/>
      <c r="J205" s="242"/>
      <c r="K205" s="242"/>
      <c r="L205" s="242"/>
      <c r="M205" s="242"/>
      <c r="N205" s="242"/>
      <c r="O205" s="242"/>
      <c r="P205" s="242"/>
      <c r="Q205" s="242"/>
      <c r="R205" s="242"/>
      <c r="S205" s="242"/>
      <c r="T205" s="242"/>
      <c r="U205" s="242"/>
      <c r="V205" s="242"/>
      <c r="W205" s="242"/>
      <c r="X205" s="242"/>
      <c r="Y205" s="242"/>
      <c r="Z205" s="242"/>
      <c r="AA205" s="242"/>
      <c r="AB205" s="242"/>
      <c r="AC205" s="242"/>
      <c r="AD205" s="242"/>
      <c r="AE205" s="242"/>
      <c r="AF205" s="242"/>
      <c r="AG205" s="242"/>
      <c r="AH205" s="242"/>
      <c r="AI205" s="242"/>
      <c r="AJ205" s="242"/>
      <c r="AK205" s="242"/>
      <c r="AL205" s="242"/>
      <c r="AM205" s="242"/>
      <c r="AN205" s="242"/>
      <c r="AO205" s="242"/>
    </row>
    <row r="206" outlineLevel="1">
      <c r="A206" s="367" t="s">
        <v>217</v>
      </c>
      <c r="B206" s="168">
        <f t="shared" ref="B206:AO206" si="73">sum(B155:B158,B181:B184)</f>
        <v>659.9758315</v>
      </c>
      <c r="C206" s="168">
        <f t="shared" si="73"/>
        <v>3980.342746</v>
      </c>
      <c r="D206" s="168">
        <f t="shared" si="73"/>
        <v>2831.599937</v>
      </c>
      <c r="E206" s="168">
        <f t="shared" si="73"/>
        <v>3270.730919</v>
      </c>
      <c r="F206" s="168">
        <f t="shared" si="73"/>
        <v>2227.125127</v>
      </c>
      <c r="G206" s="168">
        <f t="shared" si="73"/>
        <v>1636.306781</v>
      </c>
      <c r="H206" s="168">
        <f t="shared" si="73"/>
        <v>1075.121873</v>
      </c>
      <c r="I206" s="168">
        <f t="shared" si="73"/>
        <v>2619.268744</v>
      </c>
      <c r="J206" s="168">
        <f t="shared" si="73"/>
        <v>524.1674714</v>
      </c>
      <c r="K206" s="168">
        <f t="shared" si="73"/>
        <v>321.3618885</v>
      </c>
      <c r="L206" s="168">
        <f t="shared" si="73"/>
        <v>4417.910012</v>
      </c>
      <c r="M206" s="168">
        <f t="shared" si="73"/>
        <v>-139.7887237</v>
      </c>
      <c r="N206" s="168">
        <f t="shared" si="73"/>
        <v>4417.910012</v>
      </c>
      <c r="O206" s="168">
        <f t="shared" si="73"/>
        <v>3896.818541</v>
      </c>
      <c r="P206" s="168">
        <f t="shared" si="73"/>
        <v>101.2091365</v>
      </c>
      <c r="Q206" s="168">
        <f t="shared" si="73"/>
        <v>2246.21885</v>
      </c>
      <c r="R206" s="168">
        <f t="shared" si="73"/>
        <v>1160.775484</v>
      </c>
      <c r="S206" s="168">
        <f t="shared" si="73"/>
        <v>805.6960104</v>
      </c>
      <c r="T206" s="168">
        <f t="shared" si="73"/>
        <v>2058.62737</v>
      </c>
      <c r="U206" s="168">
        <f t="shared" si="73"/>
        <v>1015.896006</v>
      </c>
      <c r="V206" s="168">
        <f t="shared" si="73"/>
        <v>3914.124866</v>
      </c>
      <c r="W206" s="168">
        <f t="shared" si="73"/>
        <v>2992.038674</v>
      </c>
      <c r="X206" s="168">
        <f t="shared" si="73"/>
        <v>1456.976034</v>
      </c>
      <c r="Y206" s="168">
        <f t="shared" si="73"/>
        <v>1768.793488</v>
      </c>
      <c r="Z206" s="168">
        <f t="shared" si="73"/>
        <v>81.70053747</v>
      </c>
      <c r="AA206" s="168">
        <f t="shared" si="73"/>
        <v>2079.318137</v>
      </c>
      <c r="AB206" s="168">
        <f t="shared" si="73"/>
        <v>2342.759982</v>
      </c>
      <c r="AC206" s="168">
        <f t="shared" si="73"/>
        <v>2866.50186</v>
      </c>
      <c r="AD206" s="168">
        <f t="shared" si="73"/>
        <v>2385.224998</v>
      </c>
      <c r="AE206" s="168">
        <f t="shared" si="73"/>
        <v>3622.154591</v>
      </c>
      <c r="AF206" s="168">
        <f t="shared" si="73"/>
        <v>3644.577598</v>
      </c>
      <c r="AG206" s="168">
        <f t="shared" si="73"/>
        <v>741.0001805</v>
      </c>
      <c r="AH206" s="168">
        <f t="shared" si="73"/>
        <v>728.1376524</v>
      </c>
      <c r="AI206" s="168">
        <f t="shared" si="73"/>
        <v>5367.005886</v>
      </c>
      <c r="AJ206" s="168">
        <f t="shared" si="73"/>
        <v>2602.807487</v>
      </c>
      <c r="AK206" s="168">
        <f t="shared" si="73"/>
        <v>1350.674681</v>
      </c>
      <c r="AL206" s="168">
        <f t="shared" si="73"/>
        <v>5853.899271</v>
      </c>
      <c r="AM206" s="168">
        <f t="shared" si="73"/>
        <v>3567.315843</v>
      </c>
      <c r="AN206" s="168">
        <f t="shared" si="73"/>
        <v>5853.899271</v>
      </c>
      <c r="AO206" s="168">
        <f t="shared" si="73"/>
        <v>-278.8213285</v>
      </c>
    </row>
    <row r="207" outlineLevel="1">
      <c r="A207" s="142" t="s">
        <v>437</v>
      </c>
      <c r="B207" s="168">
        <f t="shared" ref="B207:AO207" si="74">SUM(B161:B164,B187:B190)</f>
        <v>273.5198902</v>
      </c>
      <c r="C207" s="168">
        <f t="shared" si="74"/>
        <v>3593.886805</v>
      </c>
      <c r="D207" s="168">
        <f t="shared" si="74"/>
        <v>2445.143995</v>
      </c>
      <c r="E207" s="168">
        <f t="shared" si="74"/>
        <v>2884.274978</v>
      </c>
      <c r="F207" s="168">
        <f t="shared" si="74"/>
        <v>1840.669186</v>
      </c>
      <c r="G207" s="168">
        <f t="shared" si="74"/>
        <v>1249.850839</v>
      </c>
      <c r="H207" s="168">
        <f t="shared" si="74"/>
        <v>688.6659319</v>
      </c>
      <c r="I207" s="168">
        <f t="shared" si="74"/>
        <v>2232.812803</v>
      </c>
      <c r="J207" s="168">
        <f t="shared" si="74"/>
        <v>137.7115301</v>
      </c>
      <c r="K207" s="168">
        <f t="shared" si="74"/>
        <v>-65.09405279</v>
      </c>
      <c r="L207" s="168">
        <f t="shared" si="74"/>
        <v>4031.454071</v>
      </c>
      <c r="M207" s="168">
        <f t="shared" si="74"/>
        <v>-526.2446651</v>
      </c>
      <c r="N207" s="168">
        <f t="shared" si="74"/>
        <v>4031.454071</v>
      </c>
      <c r="O207" s="168">
        <f t="shared" si="74"/>
        <v>3510.3626</v>
      </c>
      <c r="P207" s="168">
        <f t="shared" si="74"/>
        <v>-285.2468048</v>
      </c>
      <c r="Q207" s="168">
        <f t="shared" si="74"/>
        <v>1859.762909</v>
      </c>
      <c r="R207" s="168">
        <f t="shared" si="74"/>
        <v>774.3195423</v>
      </c>
      <c r="S207" s="168">
        <f t="shared" si="74"/>
        <v>419.2400691</v>
      </c>
      <c r="T207" s="168">
        <f t="shared" si="74"/>
        <v>1672.171428</v>
      </c>
      <c r="U207" s="168">
        <f t="shared" si="74"/>
        <v>629.4400649</v>
      </c>
      <c r="V207" s="168">
        <f t="shared" si="74"/>
        <v>3527.668925</v>
      </c>
      <c r="W207" s="168">
        <f t="shared" si="74"/>
        <v>2605.582732</v>
      </c>
      <c r="X207" s="168">
        <f t="shared" si="74"/>
        <v>1070.520093</v>
      </c>
      <c r="Y207" s="168">
        <f t="shared" si="74"/>
        <v>1382.337547</v>
      </c>
      <c r="Z207" s="168">
        <f t="shared" si="74"/>
        <v>-304.7554039</v>
      </c>
      <c r="AA207" s="168">
        <f t="shared" si="74"/>
        <v>1692.862196</v>
      </c>
      <c r="AB207" s="168">
        <f t="shared" si="74"/>
        <v>1956.304041</v>
      </c>
      <c r="AC207" s="168">
        <f t="shared" si="74"/>
        <v>2480.045918</v>
      </c>
      <c r="AD207" s="168">
        <f t="shared" si="74"/>
        <v>1998.769056</v>
      </c>
      <c r="AE207" s="168">
        <f t="shared" si="74"/>
        <v>3235.698649</v>
      </c>
      <c r="AF207" s="168">
        <f t="shared" si="74"/>
        <v>3258.121657</v>
      </c>
      <c r="AG207" s="168">
        <f t="shared" si="74"/>
        <v>354.5442392</v>
      </c>
      <c r="AH207" s="168">
        <f t="shared" si="74"/>
        <v>341.6817111</v>
      </c>
      <c r="AI207" s="168">
        <f t="shared" si="74"/>
        <v>4980.549945</v>
      </c>
      <c r="AJ207" s="168">
        <f t="shared" si="74"/>
        <v>2216.351546</v>
      </c>
      <c r="AK207" s="168">
        <f t="shared" si="74"/>
        <v>964.2187401</v>
      </c>
      <c r="AL207" s="168">
        <f t="shared" si="74"/>
        <v>5467.44333</v>
      </c>
      <c r="AM207" s="168">
        <f t="shared" si="74"/>
        <v>3180.859902</v>
      </c>
      <c r="AN207" s="168">
        <f t="shared" si="74"/>
        <v>5467.44333</v>
      </c>
      <c r="AO207" s="168">
        <f t="shared" si="74"/>
        <v>-665.2772699</v>
      </c>
    </row>
    <row r="208" outlineLevel="1">
      <c r="A208" s="367" t="s">
        <v>333</v>
      </c>
      <c r="B208" s="168">
        <f t="shared" ref="B208:AO208" si="75">sum(B167:B170,B193:B196)</f>
        <v>-436.9855651</v>
      </c>
      <c r="C208" s="168">
        <f t="shared" si="75"/>
        <v>-5281.362972</v>
      </c>
      <c r="D208" s="168">
        <f t="shared" si="75"/>
        <v>-2620.022525</v>
      </c>
      <c r="E208" s="168">
        <f t="shared" si="75"/>
        <v>-3960.207519</v>
      </c>
      <c r="F208" s="168">
        <f t="shared" si="75"/>
        <v>-2690.391143</v>
      </c>
      <c r="G208" s="168">
        <f t="shared" si="75"/>
        <v>-1971.507809</v>
      </c>
      <c r="H208" s="168">
        <f t="shared" si="75"/>
        <v>-1288.681218</v>
      </c>
      <c r="I208" s="168">
        <f t="shared" si="75"/>
        <v>-3167.535282</v>
      </c>
      <c r="J208" s="168">
        <f t="shared" si="75"/>
        <v>-618.3026833</v>
      </c>
      <c r="K208" s="168">
        <f t="shared" si="75"/>
        <v>-371.5372359</v>
      </c>
      <c r="L208" s="168">
        <f t="shared" si="75"/>
        <v>-5356.047605</v>
      </c>
      <c r="M208" s="168">
        <f t="shared" si="75"/>
        <v>189.5717611</v>
      </c>
      <c r="N208" s="168">
        <f t="shared" si="75"/>
        <v>-5356.047605</v>
      </c>
      <c r="O208" s="168">
        <f t="shared" si="75"/>
        <v>-4722.005049</v>
      </c>
      <c r="P208" s="168">
        <f t="shared" si="75"/>
        <v>-103.6644703</v>
      </c>
      <c r="Q208" s="168">
        <f t="shared" si="75"/>
        <v>-2713.623596</v>
      </c>
      <c r="R208" s="168">
        <f t="shared" si="75"/>
        <v>-1392.90099</v>
      </c>
      <c r="S208" s="168">
        <f t="shared" si="75"/>
        <v>-960.8549687</v>
      </c>
      <c r="T208" s="168">
        <f t="shared" si="75"/>
        <v>-2485.370039</v>
      </c>
      <c r="U208" s="168">
        <f t="shared" si="75"/>
        <v>-1142.270283</v>
      </c>
      <c r="V208" s="168">
        <f t="shared" si="75"/>
        <v>-4451.321787</v>
      </c>
      <c r="W208" s="168">
        <f t="shared" si="75"/>
        <v>-3398.530289</v>
      </c>
      <c r="X208" s="168">
        <f t="shared" si="75"/>
        <v>-1645.873208</v>
      </c>
      <c r="Y208" s="168">
        <f t="shared" si="75"/>
        <v>-2001.890646</v>
      </c>
      <c r="Z208" s="168">
        <f t="shared" si="75"/>
        <v>-75.65302488</v>
      </c>
      <c r="AA208" s="168">
        <f t="shared" si="75"/>
        <v>-2356.432025</v>
      </c>
      <c r="AB208" s="168">
        <f t="shared" si="75"/>
        <v>-3532.334836</v>
      </c>
      <c r="AC208" s="168">
        <f t="shared" si="75"/>
        <v>-5536.395756</v>
      </c>
      <c r="AD208" s="168">
        <f t="shared" si="75"/>
        <v>-4600.560685</v>
      </c>
      <c r="AE208" s="168">
        <f t="shared" si="75"/>
        <v>-7005.750263</v>
      </c>
      <c r="AF208" s="168">
        <f t="shared" si="75"/>
        <v>-7049.351439</v>
      </c>
      <c r="AG208" s="168">
        <f t="shared" si="75"/>
        <v>-1075.907559</v>
      </c>
      <c r="AH208" s="168">
        <f t="shared" si="75"/>
        <v>-843.926599</v>
      </c>
      <c r="AI208" s="168">
        <f t="shared" si="75"/>
        <v>-7215.85314</v>
      </c>
      <c r="AJ208" s="168">
        <f t="shared" si="75"/>
        <v>-3487.718591</v>
      </c>
      <c r="AK208" s="168">
        <f t="shared" si="75"/>
        <v>-1798.939821</v>
      </c>
      <c r="AL208" s="168">
        <f t="shared" si="75"/>
        <v>-7872.536847</v>
      </c>
      <c r="AM208" s="168">
        <f t="shared" si="75"/>
        <v>-4788.572005</v>
      </c>
      <c r="AN208" s="168">
        <f t="shared" si="75"/>
        <v>-7872.536847</v>
      </c>
      <c r="AO208" s="168">
        <f t="shared" si="75"/>
        <v>142.2977511</v>
      </c>
    </row>
    <row r="209" outlineLevel="1">
      <c r="A209" s="367" t="s">
        <v>220</v>
      </c>
      <c r="B209" s="168">
        <f t="shared" ref="B209:AO209" si="76">sum(B173:B176,B199:B202)</f>
        <v>-436.9855651</v>
      </c>
      <c r="C209" s="168">
        <f t="shared" si="76"/>
        <v>-5281.362972</v>
      </c>
      <c r="D209" s="168">
        <f t="shared" si="76"/>
        <v>-2620.022525</v>
      </c>
      <c r="E209" s="168">
        <f t="shared" si="76"/>
        <v>-3960.207519</v>
      </c>
      <c r="F209" s="168">
        <f t="shared" si="76"/>
        <v>-2690.391143</v>
      </c>
      <c r="G209" s="168">
        <f t="shared" si="76"/>
        <v>-1971.507809</v>
      </c>
      <c r="H209" s="168">
        <f t="shared" si="76"/>
        <v>-1288.681218</v>
      </c>
      <c r="I209" s="168">
        <f t="shared" si="76"/>
        <v>-3167.535282</v>
      </c>
      <c r="J209" s="168">
        <f t="shared" si="76"/>
        <v>-618.3026833</v>
      </c>
      <c r="K209" s="168">
        <f t="shared" si="76"/>
        <v>-371.5372359</v>
      </c>
      <c r="L209" s="168">
        <f t="shared" si="76"/>
        <v>-5356.047605</v>
      </c>
      <c r="M209" s="168">
        <f t="shared" si="76"/>
        <v>189.5717611</v>
      </c>
      <c r="N209" s="168">
        <f t="shared" si="76"/>
        <v>-5356.047605</v>
      </c>
      <c r="O209" s="168">
        <f t="shared" si="76"/>
        <v>-4722.005049</v>
      </c>
      <c r="P209" s="168">
        <f t="shared" si="76"/>
        <v>-103.6644703</v>
      </c>
      <c r="Q209" s="168">
        <f t="shared" si="76"/>
        <v>-2713.623596</v>
      </c>
      <c r="R209" s="168">
        <f t="shared" si="76"/>
        <v>-1392.90099</v>
      </c>
      <c r="S209" s="168">
        <f t="shared" si="76"/>
        <v>-960.8549687</v>
      </c>
      <c r="T209" s="168">
        <f t="shared" si="76"/>
        <v>-2485.370039</v>
      </c>
      <c r="U209" s="168">
        <f t="shared" si="76"/>
        <v>-1142.270283</v>
      </c>
      <c r="V209" s="168">
        <f t="shared" si="76"/>
        <v>-4451.321787</v>
      </c>
      <c r="W209" s="168">
        <f t="shared" si="76"/>
        <v>-3398.530289</v>
      </c>
      <c r="X209" s="168">
        <f t="shared" si="76"/>
        <v>-1645.873208</v>
      </c>
      <c r="Y209" s="168">
        <f t="shared" si="76"/>
        <v>-2001.890646</v>
      </c>
      <c r="Z209" s="168">
        <f t="shared" si="76"/>
        <v>-75.65302488</v>
      </c>
      <c r="AA209" s="168">
        <f t="shared" si="76"/>
        <v>-2356.432025</v>
      </c>
      <c r="AB209" s="168">
        <f t="shared" si="76"/>
        <v>-3532.334836</v>
      </c>
      <c r="AC209" s="168">
        <f t="shared" si="76"/>
        <v>-5536.395756</v>
      </c>
      <c r="AD209" s="168">
        <f t="shared" si="76"/>
        <v>-4600.560685</v>
      </c>
      <c r="AE209" s="168">
        <f t="shared" si="76"/>
        <v>-7005.750263</v>
      </c>
      <c r="AF209" s="168">
        <f t="shared" si="76"/>
        <v>-7049.351439</v>
      </c>
      <c r="AG209" s="168">
        <f t="shared" si="76"/>
        <v>-1075.907559</v>
      </c>
      <c r="AH209" s="168">
        <f t="shared" si="76"/>
        <v>-843.926599</v>
      </c>
      <c r="AI209" s="168">
        <f t="shared" si="76"/>
        <v>-7215.85314</v>
      </c>
      <c r="AJ209" s="168">
        <f t="shared" si="76"/>
        <v>-3487.718591</v>
      </c>
      <c r="AK209" s="168">
        <f t="shared" si="76"/>
        <v>-1798.939821</v>
      </c>
      <c r="AL209" s="168">
        <f t="shared" si="76"/>
        <v>-7872.536847</v>
      </c>
      <c r="AM209" s="168">
        <f t="shared" si="76"/>
        <v>-4788.572005</v>
      </c>
      <c r="AN209" s="168">
        <f t="shared" si="76"/>
        <v>-7872.536847</v>
      </c>
      <c r="AO209" s="168">
        <f t="shared" si="76"/>
        <v>142.2977511</v>
      </c>
    </row>
    <row r="210" outlineLevel="1">
      <c r="A210" s="142"/>
      <c r="B210" s="84"/>
      <c r="C210" s="84"/>
      <c r="D210" s="84"/>
      <c r="E210" s="84"/>
      <c r="F210" s="84"/>
      <c r="G210" s="84"/>
      <c r="H210" s="84"/>
      <c r="I210" s="84"/>
      <c r="J210" s="84"/>
      <c r="K210" s="84"/>
      <c r="L210" s="84"/>
      <c r="M210" s="84"/>
      <c r="N210" s="84"/>
      <c r="O210" s="84"/>
      <c r="P210" s="84"/>
      <c r="Q210" s="84"/>
      <c r="R210" s="84"/>
      <c r="S210" s="84"/>
      <c r="T210" s="84"/>
      <c r="U210" s="84"/>
      <c r="V210" s="84"/>
      <c r="W210" s="84"/>
      <c r="X210" s="84"/>
      <c r="Y210" s="84"/>
      <c r="Z210" s="84"/>
      <c r="AA210" s="84"/>
      <c r="AB210" s="84"/>
      <c r="AC210" s="84"/>
      <c r="AD210" s="84"/>
      <c r="AE210" s="84"/>
      <c r="AF210" s="84"/>
      <c r="AG210" s="84"/>
      <c r="AH210" s="84"/>
      <c r="AI210" s="84"/>
      <c r="AJ210" s="84"/>
      <c r="AK210" s="84"/>
      <c r="AL210" s="84"/>
      <c r="AM210" s="84"/>
      <c r="AN210" s="84"/>
      <c r="AO210" s="84"/>
    </row>
    <row r="211" outlineLevel="1">
      <c r="A211" s="372" t="s">
        <v>444</v>
      </c>
      <c r="B211" s="242"/>
      <c r="C211" s="242"/>
      <c r="D211" s="242"/>
      <c r="E211" s="242"/>
      <c r="F211" s="242"/>
      <c r="G211" s="242"/>
      <c r="H211" s="242"/>
      <c r="I211" s="242"/>
      <c r="J211" s="242"/>
      <c r="K211" s="242"/>
      <c r="L211" s="242"/>
      <c r="M211" s="242"/>
      <c r="N211" s="242"/>
      <c r="O211" s="242"/>
      <c r="P211" s="242"/>
      <c r="Q211" s="242"/>
      <c r="R211" s="242"/>
      <c r="S211" s="242"/>
      <c r="T211" s="242"/>
      <c r="U211" s="242"/>
      <c r="V211" s="242"/>
      <c r="W211" s="242"/>
      <c r="X211" s="242"/>
      <c r="Y211" s="242"/>
      <c r="Z211" s="242"/>
      <c r="AA211" s="242"/>
      <c r="AB211" s="242"/>
      <c r="AC211" s="242"/>
      <c r="AD211" s="242"/>
      <c r="AE211" s="242"/>
      <c r="AF211" s="242"/>
      <c r="AG211" s="242"/>
      <c r="AH211" s="242"/>
      <c r="AI211" s="242"/>
      <c r="AJ211" s="242"/>
      <c r="AK211" s="242"/>
      <c r="AL211" s="242"/>
      <c r="AM211" s="242"/>
      <c r="AN211" s="242"/>
      <c r="AO211" s="242"/>
    </row>
    <row r="212" outlineLevel="1">
      <c r="A212" s="356" t="s">
        <v>438</v>
      </c>
      <c r="B212" s="168">
        <f t="shared" ref="B212:AO212" si="77">B$7*B$85-B206</f>
        <v>357.8712176</v>
      </c>
      <c r="C212" s="168">
        <f t="shared" si="77"/>
        <v>357.8712176</v>
      </c>
      <c r="D212" s="168">
        <f t="shared" si="77"/>
        <v>357.8712176</v>
      </c>
      <c r="E212" s="168">
        <f t="shared" si="77"/>
        <v>357.8712176</v>
      </c>
      <c r="F212" s="168">
        <f t="shared" si="77"/>
        <v>357.8712176</v>
      </c>
      <c r="G212" s="168">
        <f t="shared" si="77"/>
        <v>357.8712176</v>
      </c>
      <c r="H212" s="168">
        <f t="shared" si="77"/>
        <v>357.8712176</v>
      </c>
      <c r="I212" s="168">
        <f t="shared" si="77"/>
        <v>357.8712176</v>
      </c>
      <c r="J212" s="168">
        <f t="shared" si="77"/>
        <v>357.8712176</v>
      </c>
      <c r="K212" s="168">
        <f t="shared" si="77"/>
        <v>357.8712176</v>
      </c>
      <c r="L212" s="168">
        <f t="shared" si="77"/>
        <v>357.8712176</v>
      </c>
      <c r="M212" s="168">
        <f t="shared" si="77"/>
        <v>357.8712176</v>
      </c>
      <c r="N212" s="168">
        <f t="shared" si="77"/>
        <v>357.8712176</v>
      </c>
      <c r="O212" s="168">
        <f t="shared" si="77"/>
        <v>357.8712176</v>
      </c>
      <c r="P212" s="168">
        <f t="shared" si="77"/>
        <v>357.8712176</v>
      </c>
      <c r="Q212" s="168">
        <f t="shared" si="77"/>
        <v>357.8712176</v>
      </c>
      <c r="R212" s="168">
        <f t="shared" si="77"/>
        <v>357.8712176</v>
      </c>
      <c r="S212" s="168">
        <f t="shared" si="77"/>
        <v>357.8712176</v>
      </c>
      <c r="T212" s="168">
        <f t="shared" si="77"/>
        <v>357.8712176</v>
      </c>
      <c r="U212" s="168">
        <f t="shared" si="77"/>
        <v>357.8712176</v>
      </c>
      <c r="V212" s="168">
        <f t="shared" si="77"/>
        <v>357.8712176</v>
      </c>
      <c r="W212" s="168">
        <f t="shared" si="77"/>
        <v>357.8712176</v>
      </c>
      <c r="X212" s="168">
        <f t="shared" si="77"/>
        <v>357.8712176</v>
      </c>
      <c r="Y212" s="168">
        <f t="shared" si="77"/>
        <v>357.8712176</v>
      </c>
      <c r="Z212" s="168">
        <f t="shared" si="77"/>
        <v>357.8712176</v>
      </c>
      <c r="AA212" s="168">
        <f t="shared" si="77"/>
        <v>357.8712176</v>
      </c>
      <c r="AB212" s="168">
        <f t="shared" si="77"/>
        <v>357.8712176</v>
      </c>
      <c r="AC212" s="168">
        <f t="shared" si="77"/>
        <v>357.8712176</v>
      </c>
      <c r="AD212" s="168">
        <f t="shared" si="77"/>
        <v>357.8712176</v>
      </c>
      <c r="AE212" s="168">
        <f t="shared" si="77"/>
        <v>357.8712176</v>
      </c>
      <c r="AF212" s="168">
        <f t="shared" si="77"/>
        <v>357.8712176</v>
      </c>
      <c r="AG212" s="168">
        <f t="shared" si="77"/>
        <v>357.8712176</v>
      </c>
      <c r="AH212" s="168">
        <f t="shared" si="77"/>
        <v>357.8712176</v>
      </c>
      <c r="AI212" s="168">
        <f t="shared" si="77"/>
        <v>357.8712176</v>
      </c>
      <c r="AJ212" s="168">
        <f t="shared" si="77"/>
        <v>357.8712176</v>
      </c>
      <c r="AK212" s="168">
        <f t="shared" si="77"/>
        <v>357.8712176</v>
      </c>
      <c r="AL212" s="168">
        <f t="shared" si="77"/>
        <v>357.8712176</v>
      </c>
      <c r="AM212" s="168">
        <f t="shared" si="77"/>
        <v>357.8712176</v>
      </c>
      <c r="AN212" s="168">
        <f t="shared" si="77"/>
        <v>357.8712176</v>
      </c>
      <c r="AO212" s="168">
        <f t="shared" si="77"/>
        <v>357.8712176</v>
      </c>
    </row>
    <row r="213" outlineLevel="1">
      <c r="A213" s="142" t="s">
        <v>437</v>
      </c>
      <c r="B213" s="168">
        <f t="shared" ref="B213:AO213" si="78">B$7*B$85-B207</f>
        <v>744.3271589</v>
      </c>
      <c r="C213" s="168">
        <f t="shared" si="78"/>
        <v>744.3271589</v>
      </c>
      <c r="D213" s="168">
        <f t="shared" si="78"/>
        <v>744.3271589</v>
      </c>
      <c r="E213" s="168">
        <f t="shared" si="78"/>
        <v>744.3271589</v>
      </c>
      <c r="F213" s="168">
        <f t="shared" si="78"/>
        <v>744.3271589</v>
      </c>
      <c r="G213" s="168">
        <f t="shared" si="78"/>
        <v>744.3271589</v>
      </c>
      <c r="H213" s="168">
        <f t="shared" si="78"/>
        <v>744.3271589</v>
      </c>
      <c r="I213" s="168">
        <f t="shared" si="78"/>
        <v>744.3271589</v>
      </c>
      <c r="J213" s="168">
        <f t="shared" si="78"/>
        <v>744.3271589</v>
      </c>
      <c r="K213" s="168">
        <f t="shared" si="78"/>
        <v>744.3271589</v>
      </c>
      <c r="L213" s="168">
        <f t="shared" si="78"/>
        <v>744.3271589</v>
      </c>
      <c r="M213" s="168">
        <f t="shared" si="78"/>
        <v>744.3271589</v>
      </c>
      <c r="N213" s="168">
        <f t="shared" si="78"/>
        <v>744.3271589</v>
      </c>
      <c r="O213" s="168">
        <f t="shared" si="78"/>
        <v>744.3271589</v>
      </c>
      <c r="P213" s="168">
        <f t="shared" si="78"/>
        <v>744.3271589</v>
      </c>
      <c r="Q213" s="168">
        <f t="shared" si="78"/>
        <v>744.3271589</v>
      </c>
      <c r="R213" s="168">
        <f t="shared" si="78"/>
        <v>744.3271589</v>
      </c>
      <c r="S213" s="168">
        <f t="shared" si="78"/>
        <v>744.3271589</v>
      </c>
      <c r="T213" s="168">
        <f t="shared" si="78"/>
        <v>744.3271589</v>
      </c>
      <c r="U213" s="168">
        <f t="shared" si="78"/>
        <v>744.3271589</v>
      </c>
      <c r="V213" s="168">
        <f t="shared" si="78"/>
        <v>744.3271589</v>
      </c>
      <c r="W213" s="168">
        <f t="shared" si="78"/>
        <v>744.3271589</v>
      </c>
      <c r="X213" s="168">
        <f t="shared" si="78"/>
        <v>744.3271589</v>
      </c>
      <c r="Y213" s="168">
        <f t="shared" si="78"/>
        <v>744.3271589</v>
      </c>
      <c r="Z213" s="168">
        <f t="shared" si="78"/>
        <v>744.3271589</v>
      </c>
      <c r="AA213" s="168">
        <f t="shared" si="78"/>
        <v>744.3271589</v>
      </c>
      <c r="AB213" s="168">
        <f t="shared" si="78"/>
        <v>744.3271589</v>
      </c>
      <c r="AC213" s="168">
        <f t="shared" si="78"/>
        <v>744.3271589</v>
      </c>
      <c r="AD213" s="168">
        <f t="shared" si="78"/>
        <v>744.3271589</v>
      </c>
      <c r="AE213" s="168">
        <f t="shared" si="78"/>
        <v>744.3271589</v>
      </c>
      <c r="AF213" s="168">
        <f t="shared" si="78"/>
        <v>744.3271589</v>
      </c>
      <c r="AG213" s="168">
        <f t="shared" si="78"/>
        <v>744.3271589</v>
      </c>
      <c r="AH213" s="168">
        <f t="shared" si="78"/>
        <v>744.3271589</v>
      </c>
      <c r="AI213" s="168">
        <f t="shared" si="78"/>
        <v>744.3271589</v>
      </c>
      <c r="AJ213" s="168">
        <f t="shared" si="78"/>
        <v>744.3271589</v>
      </c>
      <c r="AK213" s="168">
        <f t="shared" si="78"/>
        <v>744.3271589</v>
      </c>
      <c r="AL213" s="168">
        <f t="shared" si="78"/>
        <v>744.3271589</v>
      </c>
      <c r="AM213" s="168">
        <f t="shared" si="78"/>
        <v>744.3271589</v>
      </c>
      <c r="AN213" s="168">
        <f t="shared" si="78"/>
        <v>744.3271589</v>
      </c>
      <c r="AO213" s="168">
        <f t="shared" si="78"/>
        <v>744.3271589</v>
      </c>
    </row>
    <row r="214" outlineLevel="1">
      <c r="A214" s="367" t="s">
        <v>333</v>
      </c>
      <c r="B214" s="168">
        <f t="shared" ref="B214:AO214" si="79">B$7*B$85-B208</f>
        <v>1454.832614</v>
      </c>
      <c r="C214" s="168">
        <f t="shared" si="79"/>
        <v>9619.576936</v>
      </c>
      <c r="D214" s="168">
        <f t="shared" si="79"/>
        <v>5809.493679</v>
      </c>
      <c r="E214" s="168">
        <f t="shared" si="79"/>
        <v>7588.809655</v>
      </c>
      <c r="F214" s="168">
        <f t="shared" si="79"/>
        <v>5275.387488</v>
      </c>
      <c r="G214" s="168">
        <f t="shared" si="79"/>
        <v>3965.685807</v>
      </c>
      <c r="H214" s="168">
        <f t="shared" si="79"/>
        <v>2721.674309</v>
      </c>
      <c r="I214" s="168">
        <f t="shared" si="79"/>
        <v>6144.675243</v>
      </c>
      <c r="J214" s="168">
        <f t="shared" si="79"/>
        <v>1500.341372</v>
      </c>
      <c r="K214" s="168">
        <f t="shared" si="79"/>
        <v>1050.770342</v>
      </c>
      <c r="L214" s="168">
        <f t="shared" si="79"/>
        <v>10131.82883</v>
      </c>
      <c r="M214" s="168">
        <f t="shared" si="79"/>
        <v>28.51073278</v>
      </c>
      <c r="N214" s="168">
        <f t="shared" si="79"/>
        <v>10131.82883</v>
      </c>
      <c r="O214" s="168">
        <f t="shared" si="79"/>
        <v>8976.694808</v>
      </c>
      <c r="P214" s="168">
        <f t="shared" si="79"/>
        <v>562.7448244</v>
      </c>
      <c r="Q214" s="168">
        <f t="shared" si="79"/>
        <v>5317.713663</v>
      </c>
      <c r="R214" s="168">
        <f t="shared" si="79"/>
        <v>2911.547691</v>
      </c>
      <c r="S214" s="168">
        <f t="shared" si="79"/>
        <v>2124.422197</v>
      </c>
      <c r="T214" s="168">
        <f t="shared" si="79"/>
        <v>4901.868627</v>
      </c>
      <c r="U214" s="168">
        <f t="shared" si="79"/>
        <v>2516.037507</v>
      </c>
      <c r="V214" s="168">
        <f t="shared" si="79"/>
        <v>8723.317871</v>
      </c>
      <c r="W214" s="168">
        <f t="shared" si="79"/>
        <v>6748.440181</v>
      </c>
      <c r="X214" s="168">
        <f t="shared" si="79"/>
        <v>3460.720459</v>
      </c>
      <c r="Y214" s="168">
        <f t="shared" si="79"/>
        <v>4128.555352</v>
      </c>
      <c r="Z214" s="168">
        <f t="shared" si="79"/>
        <v>515.2247799</v>
      </c>
      <c r="AA214" s="168">
        <f t="shared" si="79"/>
        <v>4793.62138</v>
      </c>
      <c r="AB214" s="168">
        <f t="shared" si="79"/>
        <v>6232.966036</v>
      </c>
      <c r="AC214" s="168">
        <f t="shared" si="79"/>
        <v>8760.768833</v>
      </c>
      <c r="AD214" s="168">
        <f t="shared" si="79"/>
        <v>7343.6569</v>
      </c>
      <c r="AE214" s="168">
        <f t="shared" si="79"/>
        <v>10985.77607</v>
      </c>
      <c r="AF214" s="168">
        <f t="shared" si="79"/>
        <v>11051.80025</v>
      </c>
      <c r="AG214" s="168">
        <f t="shared" si="79"/>
        <v>2174.778957</v>
      </c>
      <c r="AH214" s="168">
        <f t="shared" si="79"/>
        <v>1929.935469</v>
      </c>
      <c r="AI214" s="168">
        <f t="shared" si="79"/>
        <v>12940.73024</v>
      </c>
      <c r="AJ214" s="168">
        <f t="shared" si="79"/>
        <v>6448.397296</v>
      </c>
      <c r="AK214" s="168">
        <f t="shared" si="79"/>
        <v>3507.48572</v>
      </c>
      <c r="AL214" s="168">
        <f t="shared" si="79"/>
        <v>14084.30734</v>
      </c>
      <c r="AM214" s="168">
        <f t="shared" si="79"/>
        <v>8713.759066</v>
      </c>
      <c r="AN214" s="168">
        <f t="shared" si="79"/>
        <v>14084.30734</v>
      </c>
      <c r="AO214" s="168">
        <f t="shared" si="79"/>
        <v>-63.24786206</v>
      </c>
    </row>
    <row r="215" outlineLevel="1">
      <c r="A215" s="367" t="s">
        <v>220</v>
      </c>
      <c r="B215" s="168">
        <f t="shared" ref="B215:AO215" si="80">B$7*B$85-B209</f>
        <v>1454.832614</v>
      </c>
      <c r="C215" s="168">
        <f t="shared" si="80"/>
        <v>9619.576936</v>
      </c>
      <c r="D215" s="168">
        <f t="shared" si="80"/>
        <v>5809.493679</v>
      </c>
      <c r="E215" s="168">
        <f t="shared" si="80"/>
        <v>7588.809655</v>
      </c>
      <c r="F215" s="168">
        <f t="shared" si="80"/>
        <v>5275.387488</v>
      </c>
      <c r="G215" s="168">
        <f t="shared" si="80"/>
        <v>3965.685807</v>
      </c>
      <c r="H215" s="168">
        <f t="shared" si="80"/>
        <v>2721.674309</v>
      </c>
      <c r="I215" s="168">
        <f t="shared" si="80"/>
        <v>6144.675243</v>
      </c>
      <c r="J215" s="168">
        <f t="shared" si="80"/>
        <v>1500.341372</v>
      </c>
      <c r="K215" s="168">
        <f t="shared" si="80"/>
        <v>1050.770342</v>
      </c>
      <c r="L215" s="168">
        <f t="shared" si="80"/>
        <v>10131.82883</v>
      </c>
      <c r="M215" s="168">
        <f t="shared" si="80"/>
        <v>28.51073278</v>
      </c>
      <c r="N215" s="168">
        <f t="shared" si="80"/>
        <v>10131.82883</v>
      </c>
      <c r="O215" s="168">
        <f t="shared" si="80"/>
        <v>8976.694808</v>
      </c>
      <c r="P215" s="168">
        <f t="shared" si="80"/>
        <v>562.7448244</v>
      </c>
      <c r="Q215" s="168">
        <f t="shared" si="80"/>
        <v>5317.713663</v>
      </c>
      <c r="R215" s="168">
        <f t="shared" si="80"/>
        <v>2911.547691</v>
      </c>
      <c r="S215" s="168">
        <f t="shared" si="80"/>
        <v>2124.422197</v>
      </c>
      <c r="T215" s="168">
        <f t="shared" si="80"/>
        <v>4901.868627</v>
      </c>
      <c r="U215" s="168">
        <f t="shared" si="80"/>
        <v>2516.037507</v>
      </c>
      <c r="V215" s="168">
        <f t="shared" si="80"/>
        <v>8723.317871</v>
      </c>
      <c r="W215" s="168">
        <f t="shared" si="80"/>
        <v>6748.440181</v>
      </c>
      <c r="X215" s="168">
        <f t="shared" si="80"/>
        <v>3460.720459</v>
      </c>
      <c r="Y215" s="168">
        <f t="shared" si="80"/>
        <v>4128.555352</v>
      </c>
      <c r="Z215" s="168">
        <f t="shared" si="80"/>
        <v>515.2247799</v>
      </c>
      <c r="AA215" s="168">
        <f t="shared" si="80"/>
        <v>4793.62138</v>
      </c>
      <c r="AB215" s="168">
        <f t="shared" si="80"/>
        <v>6232.966036</v>
      </c>
      <c r="AC215" s="168">
        <f t="shared" si="80"/>
        <v>8760.768833</v>
      </c>
      <c r="AD215" s="168">
        <f t="shared" si="80"/>
        <v>7343.6569</v>
      </c>
      <c r="AE215" s="168">
        <f t="shared" si="80"/>
        <v>10985.77607</v>
      </c>
      <c r="AF215" s="168">
        <f t="shared" si="80"/>
        <v>11051.80025</v>
      </c>
      <c r="AG215" s="168">
        <f t="shared" si="80"/>
        <v>2174.778957</v>
      </c>
      <c r="AH215" s="168">
        <f t="shared" si="80"/>
        <v>1929.935469</v>
      </c>
      <c r="AI215" s="168">
        <f t="shared" si="80"/>
        <v>12940.73024</v>
      </c>
      <c r="AJ215" s="168">
        <f t="shared" si="80"/>
        <v>6448.397296</v>
      </c>
      <c r="AK215" s="168">
        <f t="shared" si="80"/>
        <v>3507.48572</v>
      </c>
      <c r="AL215" s="168">
        <f t="shared" si="80"/>
        <v>14084.30734</v>
      </c>
      <c r="AM215" s="168">
        <f t="shared" si="80"/>
        <v>8713.759066</v>
      </c>
      <c r="AN215" s="168">
        <f t="shared" si="80"/>
        <v>14084.30734</v>
      </c>
      <c r="AO215" s="168">
        <f t="shared" si="80"/>
        <v>-63.24786206</v>
      </c>
    </row>
    <row r="216" outlineLevel="1">
      <c r="A216" s="358" t="s">
        <v>232</v>
      </c>
      <c r="B216" s="373">
        <f t="shared" ref="B216:AO216" si="81">SUMPRODUCT(B212:B215,B117:B120)</f>
        <v>1235.440335</v>
      </c>
      <c r="C216" s="373">
        <f t="shared" si="81"/>
        <v>7767.235793</v>
      </c>
      <c r="D216" s="373">
        <f t="shared" si="81"/>
        <v>4719.169187</v>
      </c>
      <c r="E216" s="373">
        <f t="shared" si="81"/>
        <v>5458.173718</v>
      </c>
      <c r="F216" s="373">
        <f t="shared" si="81"/>
        <v>3838.778201</v>
      </c>
      <c r="G216" s="373">
        <f t="shared" si="81"/>
        <v>2921.987025</v>
      </c>
      <c r="H216" s="373">
        <f t="shared" si="81"/>
        <v>2051.178976</v>
      </c>
      <c r="I216" s="373">
        <f t="shared" si="81"/>
        <v>4447.27963</v>
      </c>
      <c r="J216" s="373">
        <f t="shared" si="81"/>
        <v>1196.24592</v>
      </c>
      <c r="K216" s="373">
        <f t="shared" si="81"/>
        <v>881.5461988</v>
      </c>
      <c r="L216" s="373">
        <f t="shared" si="81"/>
        <v>7238.287144</v>
      </c>
      <c r="M216" s="373">
        <f t="shared" si="81"/>
        <v>165.9644724</v>
      </c>
      <c r="N216" s="373">
        <f t="shared" si="81"/>
        <v>7238.287144</v>
      </c>
      <c r="O216" s="373">
        <f t="shared" si="81"/>
        <v>6429.693325</v>
      </c>
      <c r="P216" s="373">
        <f t="shared" si="81"/>
        <v>539.9283365</v>
      </c>
      <c r="Q216" s="373">
        <f t="shared" si="81"/>
        <v>3868.406524</v>
      </c>
      <c r="R216" s="373">
        <f t="shared" si="81"/>
        <v>2184.090343</v>
      </c>
      <c r="S216" s="373">
        <f t="shared" si="81"/>
        <v>1633.102497</v>
      </c>
      <c r="T216" s="373">
        <f t="shared" si="81"/>
        <v>3577.314998</v>
      </c>
      <c r="U216" s="373">
        <f t="shared" si="81"/>
        <v>2084.404249</v>
      </c>
      <c r="V216" s="373">
        <f t="shared" si="81"/>
        <v>7050.22854</v>
      </c>
      <c r="W216" s="373">
        <f t="shared" si="81"/>
        <v>5470.326388</v>
      </c>
      <c r="X216" s="373">
        <f t="shared" si="81"/>
        <v>2840.150611</v>
      </c>
      <c r="Y216" s="373">
        <f t="shared" si="81"/>
        <v>3374.418525</v>
      </c>
      <c r="Z216" s="373">
        <f t="shared" si="81"/>
        <v>483.7540675</v>
      </c>
      <c r="AA216" s="373">
        <f t="shared" si="81"/>
        <v>3906.471348</v>
      </c>
      <c r="AB216" s="373">
        <f t="shared" si="81"/>
        <v>5057.947072</v>
      </c>
      <c r="AC216" s="373">
        <f t="shared" si="81"/>
        <v>7080.18931</v>
      </c>
      <c r="AD216" s="373">
        <f t="shared" si="81"/>
        <v>5946.499763</v>
      </c>
      <c r="AE216" s="373">
        <f t="shared" si="81"/>
        <v>8860.195101</v>
      </c>
      <c r="AF216" s="373">
        <f t="shared" si="81"/>
        <v>8913.014447</v>
      </c>
      <c r="AG216" s="373">
        <f t="shared" si="81"/>
        <v>1811.397409</v>
      </c>
      <c r="AH216" s="373">
        <f t="shared" si="81"/>
        <v>1615.522619</v>
      </c>
      <c r="AI216" s="373">
        <f t="shared" si="81"/>
        <v>10424.15844</v>
      </c>
      <c r="AJ216" s="373">
        <f t="shared" si="81"/>
        <v>5230.292081</v>
      </c>
      <c r="AK216" s="373">
        <f t="shared" si="81"/>
        <v>2877.56282</v>
      </c>
      <c r="AL216" s="373">
        <f t="shared" si="81"/>
        <v>11339.02011</v>
      </c>
      <c r="AM216" s="373">
        <f t="shared" si="81"/>
        <v>7042.581496</v>
      </c>
      <c r="AN216" s="373">
        <f t="shared" si="81"/>
        <v>11339.02011</v>
      </c>
      <c r="AO216" s="373">
        <f t="shared" si="81"/>
        <v>20.97595387</v>
      </c>
    </row>
    <row r="217" outlineLevel="1">
      <c r="A217" s="142"/>
      <c r="B217" s="89"/>
      <c r="C217" s="89"/>
      <c r="D217" s="89"/>
      <c r="E217" s="89"/>
      <c r="F217" s="89"/>
      <c r="G217" s="89"/>
      <c r="H217" s="89"/>
      <c r="I217" s="89"/>
      <c r="J217" s="89"/>
      <c r="K217" s="89"/>
      <c r="L217" s="89"/>
      <c r="M217" s="89"/>
      <c r="N217" s="89"/>
      <c r="O217" s="89"/>
      <c r="P217" s="89"/>
      <c r="Q217" s="89"/>
      <c r="R217" s="89"/>
      <c r="S217" s="89"/>
      <c r="T217" s="89"/>
      <c r="U217" s="89"/>
      <c r="V217" s="89"/>
      <c r="W217" s="89"/>
      <c r="X217" s="89"/>
      <c r="Y217" s="89"/>
      <c r="Z217" s="89"/>
      <c r="AA217" s="89"/>
      <c r="AB217" s="89"/>
      <c r="AC217" s="89"/>
      <c r="AD217" s="89"/>
      <c r="AE217" s="89"/>
      <c r="AF217" s="89"/>
      <c r="AG217" s="89"/>
      <c r="AH217" s="89"/>
      <c r="AI217" s="89"/>
      <c r="AJ217" s="89"/>
      <c r="AK217" s="89"/>
      <c r="AL217" s="89"/>
      <c r="AM217" s="89"/>
      <c r="AN217" s="89"/>
      <c r="AO217" s="89"/>
    </row>
    <row r="218">
      <c r="A218" s="458" t="s">
        <v>379</v>
      </c>
      <c r="B218" s="458"/>
      <c r="C218" s="458"/>
      <c r="D218" s="458"/>
      <c r="E218" s="458"/>
      <c r="F218" s="458"/>
      <c r="G218" s="458"/>
      <c r="H218" s="458"/>
      <c r="I218" s="458"/>
      <c r="J218" s="458"/>
      <c r="K218" s="458"/>
      <c r="L218" s="458"/>
      <c r="M218" s="458"/>
      <c r="N218" s="458"/>
      <c r="O218" s="458"/>
      <c r="P218" s="458"/>
      <c r="Q218" s="458"/>
      <c r="R218" s="458"/>
      <c r="S218" s="458"/>
      <c r="T218" s="458"/>
      <c r="U218" s="458"/>
      <c r="V218" s="458"/>
      <c r="W218" s="458"/>
      <c r="X218" s="458"/>
      <c r="Y218" s="458"/>
      <c r="Z218" s="458"/>
      <c r="AA218" s="458"/>
      <c r="AB218" s="458"/>
      <c r="AC218" s="458"/>
      <c r="AD218" s="458"/>
      <c r="AE218" s="458"/>
      <c r="AF218" s="458"/>
      <c r="AG218" s="458"/>
      <c r="AH218" s="458"/>
      <c r="AI218" s="458"/>
      <c r="AJ218" s="458"/>
      <c r="AK218" s="458"/>
      <c r="AL218" s="458"/>
      <c r="AM218" s="458"/>
      <c r="AN218" s="458"/>
      <c r="AO218" s="458"/>
    </row>
    <row r="219">
      <c r="A219" s="457"/>
      <c r="B219" s="461"/>
      <c r="C219" s="461"/>
      <c r="D219" s="461"/>
      <c r="E219" s="461"/>
      <c r="F219" s="461"/>
      <c r="G219" s="461"/>
      <c r="H219" s="461"/>
      <c r="I219" s="461"/>
      <c r="J219" s="461"/>
      <c r="K219" s="461"/>
      <c r="L219" s="461"/>
      <c r="M219" s="461"/>
      <c r="N219" s="461"/>
      <c r="O219" s="461"/>
      <c r="P219" s="461"/>
      <c r="Q219" s="461"/>
      <c r="R219" s="461"/>
      <c r="S219" s="461"/>
      <c r="T219" s="461"/>
      <c r="U219" s="461"/>
      <c r="V219" s="461"/>
      <c r="W219" s="461"/>
      <c r="X219" s="461"/>
      <c r="Y219" s="461"/>
      <c r="Z219" s="461"/>
      <c r="AA219" s="461"/>
      <c r="AB219" s="461"/>
      <c r="AC219" s="461"/>
      <c r="AD219" s="461"/>
      <c r="AE219" s="461"/>
      <c r="AF219" s="461"/>
      <c r="AG219" s="461"/>
      <c r="AH219" s="461"/>
      <c r="AI219" s="461"/>
      <c r="AJ219" s="461"/>
      <c r="AK219" s="461"/>
      <c r="AL219" s="461"/>
      <c r="AM219" s="461"/>
      <c r="AN219" s="461"/>
      <c r="AO219" s="461"/>
    </row>
    <row r="220">
      <c r="A220" s="400" t="s">
        <v>344</v>
      </c>
      <c r="B220" s="469">
        <f t="shared" ref="B220:AO220" si="82">B216</f>
        <v>1235.440335</v>
      </c>
      <c r="C220" s="469">
        <f t="shared" si="82"/>
        <v>7767.235793</v>
      </c>
      <c r="D220" s="469">
        <f t="shared" si="82"/>
        <v>4719.169187</v>
      </c>
      <c r="E220" s="469">
        <f t="shared" si="82"/>
        <v>5458.173718</v>
      </c>
      <c r="F220" s="469">
        <f t="shared" si="82"/>
        <v>3838.778201</v>
      </c>
      <c r="G220" s="469">
        <f t="shared" si="82"/>
        <v>2921.987025</v>
      </c>
      <c r="H220" s="469">
        <f t="shared" si="82"/>
        <v>2051.178976</v>
      </c>
      <c r="I220" s="469">
        <f t="shared" si="82"/>
        <v>4447.27963</v>
      </c>
      <c r="J220" s="469">
        <f t="shared" si="82"/>
        <v>1196.24592</v>
      </c>
      <c r="K220" s="469">
        <f t="shared" si="82"/>
        <v>881.5461988</v>
      </c>
      <c r="L220" s="469">
        <f t="shared" si="82"/>
        <v>7238.287144</v>
      </c>
      <c r="M220" s="469">
        <f t="shared" si="82"/>
        <v>165.9644724</v>
      </c>
      <c r="N220" s="469">
        <f t="shared" si="82"/>
        <v>7238.287144</v>
      </c>
      <c r="O220" s="469">
        <f t="shared" si="82"/>
        <v>6429.693325</v>
      </c>
      <c r="P220" s="469">
        <f t="shared" si="82"/>
        <v>539.9283365</v>
      </c>
      <c r="Q220" s="469">
        <f t="shared" si="82"/>
        <v>3868.406524</v>
      </c>
      <c r="R220" s="469">
        <f t="shared" si="82"/>
        <v>2184.090343</v>
      </c>
      <c r="S220" s="469">
        <f t="shared" si="82"/>
        <v>1633.102497</v>
      </c>
      <c r="T220" s="469">
        <f t="shared" si="82"/>
        <v>3577.314998</v>
      </c>
      <c r="U220" s="469">
        <f t="shared" si="82"/>
        <v>2084.404249</v>
      </c>
      <c r="V220" s="469">
        <f t="shared" si="82"/>
        <v>7050.22854</v>
      </c>
      <c r="W220" s="469">
        <f t="shared" si="82"/>
        <v>5470.326388</v>
      </c>
      <c r="X220" s="469">
        <f t="shared" si="82"/>
        <v>2840.150611</v>
      </c>
      <c r="Y220" s="469">
        <f t="shared" si="82"/>
        <v>3374.418525</v>
      </c>
      <c r="Z220" s="469">
        <f t="shared" si="82"/>
        <v>483.7540675</v>
      </c>
      <c r="AA220" s="469">
        <f t="shared" si="82"/>
        <v>3906.471348</v>
      </c>
      <c r="AB220" s="469">
        <f t="shared" si="82"/>
        <v>5057.947072</v>
      </c>
      <c r="AC220" s="469">
        <f t="shared" si="82"/>
        <v>7080.18931</v>
      </c>
      <c r="AD220" s="469">
        <f t="shared" si="82"/>
        <v>5946.499763</v>
      </c>
      <c r="AE220" s="469">
        <f t="shared" si="82"/>
        <v>8860.195101</v>
      </c>
      <c r="AF220" s="469">
        <f t="shared" si="82"/>
        <v>8913.014447</v>
      </c>
      <c r="AG220" s="469">
        <f t="shared" si="82"/>
        <v>1811.397409</v>
      </c>
      <c r="AH220" s="469">
        <f t="shared" si="82"/>
        <v>1615.522619</v>
      </c>
      <c r="AI220" s="469">
        <f t="shared" si="82"/>
        <v>10424.15844</v>
      </c>
      <c r="AJ220" s="469">
        <f t="shared" si="82"/>
        <v>5230.292081</v>
      </c>
      <c r="AK220" s="469">
        <f t="shared" si="82"/>
        <v>2877.56282</v>
      </c>
      <c r="AL220" s="469">
        <f t="shared" si="82"/>
        <v>11339.02011</v>
      </c>
      <c r="AM220" s="469">
        <f t="shared" si="82"/>
        <v>7042.581496</v>
      </c>
      <c r="AN220" s="469">
        <f t="shared" si="82"/>
        <v>11339.02011</v>
      </c>
      <c r="AO220" s="469">
        <f t="shared" si="82"/>
        <v>20.97595387</v>
      </c>
    </row>
    <row r="221">
      <c r="A221" s="367" t="s">
        <v>223</v>
      </c>
      <c r="B221" s="439">
        <f t="shared" ref="B221:AO221" si="83">B220/B100</f>
        <v>0.01235440335</v>
      </c>
      <c r="C221" s="439">
        <f t="shared" si="83"/>
        <v>0.07767235793</v>
      </c>
      <c r="D221" s="439">
        <f t="shared" si="83"/>
        <v>0.04719169187</v>
      </c>
      <c r="E221" s="439">
        <f t="shared" si="83"/>
        <v>0.05458173718</v>
      </c>
      <c r="F221" s="439">
        <f t="shared" si="83"/>
        <v>0.03838778201</v>
      </c>
      <c r="G221" s="439">
        <f t="shared" si="83"/>
        <v>0.02921987025</v>
      </c>
      <c r="H221" s="439">
        <f t="shared" si="83"/>
        <v>0.02051178976</v>
      </c>
      <c r="I221" s="439">
        <f t="shared" si="83"/>
        <v>0.0444727963</v>
      </c>
      <c r="J221" s="439">
        <f t="shared" si="83"/>
        <v>0.0119624592</v>
      </c>
      <c r="K221" s="439">
        <f t="shared" si="83"/>
        <v>0.008815461988</v>
      </c>
      <c r="L221" s="439">
        <f t="shared" si="83"/>
        <v>0.07238287144</v>
      </c>
      <c r="M221" s="439">
        <f t="shared" si="83"/>
        <v>0.001659644724</v>
      </c>
      <c r="N221" s="439">
        <f t="shared" si="83"/>
        <v>0.07238287144</v>
      </c>
      <c r="O221" s="439">
        <f t="shared" si="83"/>
        <v>0.06429693325</v>
      </c>
      <c r="P221" s="439">
        <f t="shared" si="83"/>
        <v>0.005399283365</v>
      </c>
      <c r="Q221" s="439">
        <f t="shared" si="83"/>
        <v>0.03868406524</v>
      </c>
      <c r="R221" s="439">
        <f t="shared" si="83"/>
        <v>0.02184090343</v>
      </c>
      <c r="S221" s="439">
        <f t="shared" si="83"/>
        <v>0.01633102497</v>
      </c>
      <c r="T221" s="439">
        <f t="shared" si="83"/>
        <v>0.03577314998</v>
      </c>
      <c r="U221" s="439">
        <f t="shared" si="83"/>
        <v>0.02084404249</v>
      </c>
      <c r="V221" s="439">
        <f t="shared" si="83"/>
        <v>0.0705022854</v>
      </c>
      <c r="W221" s="439">
        <f t="shared" si="83"/>
        <v>0.05470326388</v>
      </c>
      <c r="X221" s="439">
        <f t="shared" si="83"/>
        <v>0.02840150611</v>
      </c>
      <c r="Y221" s="439">
        <f t="shared" si="83"/>
        <v>0.03374418525</v>
      </c>
      <c r="Z221" s="439">
        <f t="shared" si="83"/>
        <v>0.004837540675</v>
      </c>
      <c r="AA221" s="439">
        <f t="shared" si="83"/>
        <v>0.03906471348</v>
      </c>
      <c r="AB221" s="439">
        <f t="shared" si="83"/>
        <v>0.05057947072</v>
      </c>
      <c r="AC221" s="439">
        <f t="shared" si="83"/>
        <v>0.0708018931</v>
      </c>
      <c r="AD221" s="439">
        <f t="shared" si="83"/>
        <v>0.05946499763</v>
      </c>
      <c r="AE221" s="439">
        <f t="shared" si="83"/>
        <v>0.08860195101</v>
      </c>
      <c r="AF221" s="439">
        <f t="shared" si="83"/>
        <v>0.08913014447</v>
      </c>
      <c r="AG221" s="439">
        <f t="shared" si="83"/>
        <v>0.01811397409</v>
      </c>
      <c r="AH221" s="439">
        <f t="shared" si="83"/>
        <v>0.01615522619</v>
      </c>
      <c r="AI221" s="439">
        <f t="shared" si="83"/>
        <v>0.1042415844</v>
      </c>
      <c r="AJ221" s="439">
        <f t="shared" si="83"/>
        <v>0.05230292081</v>
      </c>
      <c r="AK221" s="439">
        <f t="shared" si="83"/>
        <v>0.0287756282</v>
      </c>
      <c r="AL221" s="439">
        <f t="shared" si="83"/>
        <v>0.1133902011</v>
      </c>
      <c r="AM221" s="439">
        <f t="shared" si="83"/>
        <v>0.07042581496</v>
      </c>
      <c r="AN221" s="439">
        <f t="shared" si="83"/>
        <v>0.1133902011</v>
      </c>
      <c r="AO221" s="439">
        <f t="shared" si="83"/>
        <v>0.0002097595387</v>
      </c>
    </row>
    <row r="222">
      <c r="A222" s="142"/>
      <c r="B222" s="440"/>
      <c r="C222" s="440"/>
      <c r="D222" s="440"/>
      <c r="E222" s="440"/>
      <c r="F222" s="440"/>
      <c r="G222" s="440"/>
      <c r="H222" s="440"/>
      <c r="I222" s="440"/>
      <c r="J222" s="440"/>
      <c r="K222" s="440"/>
      <c r="L222" s="440"/>
      <c r="M222" s="440"/>
      <c r="N222" s="440"/>
      <c r="O222" s="440"/>
      <c r="P222" s="440"/>
      <c r="Q222" s="440"/>
      <c r="R222" s="440"/>
      <c r="S222" s="440"/>
      <c r="T222" s="440"/>
      <c r="U222" s="440"/>
      <c r="V222" s="440"/>
      <c r="W222" s="440"/>
      <c r="X222" s="440"/>
      <c r="Y222" s="440"/>
      <c r="Z222" s="440"/>
      <c r="AA222" s="440"/>
      <c r="AB222" s="440"/>
      <c r="AC222" s="440"/>
      <c r="AD222" s="440"/>
      <c r="AE222" s="440"/>
      <c r="AF222" s="440"/>
      <c r="AG222" s="440"/>
      <c r="AH222" s="440"/>
      <c r="AI222" s="440"/>
      <c r="AJ222" s="440"/>
      <c r="AK222" s="440"/>
      <c r="AL222" s="440"/>
      <c r="AM222" s="440"/>
      <c r="AN222" s="440"/>
      <c r="AO222" s="440"/>
    </row>
    <row r="223">
      <c r="A223" s="238" t="s">
        <v>224</v>
      </c>
      <c r="B223" s="239">
        <f t="array" ref="B223">B221/index(GiveDirectly!$B:$B,match("Units of value generated per philanthropic dollar spent, after accounting for all adjustments",GiveDirectly!$A:$A,0))</f>
        <v>3.682897109</v>
      </c>
      <c r="C223" s="239">
        <f t="array" ref="C223">C221/index(GiveDirectly!$B:$B,match("Units of value generated per philanthropic dollar spent, after accounting for all adjustments",GiveDirectly!$A:$A,0))</f>
        <v>23.15444092</v>
      </c>
      <c r="D223" s="239">
        <f t="array" ref="D223">D221/index(GiveDirectly!$B:$B,match("Units of value generated per philanthropic dollar spent, after accounting for all adjustments",GiveDirectly!$A:$A,0))</f>
        <v>14.06803231</v>
      </c>
      <c r="E223" s="239">
        <f t="array" ref="E223">E221/index(GiveDirectly!$B:$B,match("Units of value generated per philanthropic dollar spent, after accounting for all adjustments",GiveDirectly!$A:$A,0))</f>
        <v>16.27103441</v>
      </c>
      <c r="F223" s="239">
        <f t="array" ref="F223">F221/index(GiveDirectly!$B:$B,match("Units of value generated per philanthropic dollar spent, after accounting for all adjustments",GiveDirectly!$A:$A,0))</f>
        <v>11.44355153</v>
      </c>
      <c r="G223" s="239">
        <f t="array" ref="G223">G221/index(GiveDirectly!$B:$B,match("Units of value generated per philanthropic dollar spent, after accounting for all adjustments",GiveDirectly!$A:$A,0))</f>
        <v>8.710560325</v>
      </c>
      <c r="H223" s="239">
        <f t="array" ref="H223">H221/index(GiveDirectly!$B:$B,match("Units of value generated per philanthropic dollar spent, after accounting for all adjustments",GiveDirectly!$A:$A,0))</f>
        <v>6.114646662</v>
      </c>
      <c r="I223" s="239">
        <f t="array" ref="I223">I221/index(GiveDirectly!$B:$B,match("Units of value generated per philanthropic dollar spent, after accounting for all adjustments",GiveDirectly!$A:$A,0))</f>
        <v>13.25751866</v>
      </c>
      <c r="J223" s="239">
        <f t="array" ref="J223">J221/index(GiveDirectly!$B:$B,match("Units of value generated per philanthropic dollar spent, after accounting for all adjustments",GiveDirectly!$A:$A,0))</f>
        <v>3.566056989</v>
      </c>
      <c r="K223" s="239">
        <f t="array" ref="K223">K221/index(GiveDirectly!$B:$B,match("Units of value generated per philanthropic dollar spent, after accounting for all adjustments",GiveDirectly!$A:$A,0))</f>
        <v>2.627924518</v>
      </c>
      <c r="L223" s="239">
        <f t="array" ref="L223">L221/index(GiveDirectly!$B:$B,match("Units of value generated per philanthropic dollar spent, after accounting for all adjustments",GiveDirectly!$A:$A,0))</f>
        <v>21.57762382</v>
      </c>
      <c r="M223" s="239">
        <f t="array" ref="M223">M221/index(GiveDirectly!$B:$B,match("Units of value generated per philanthropic dollar spent, after accounting for all adjustments",GiveDirectly!$A:$A,0))</f>
        <v>0.4947467378</v>
      </c>
      <c r="N223" s="239">
        <f t="array" ref="N223">N221/index(GiveDirectly!$B:$B,match("Units of value generated per philanthropic dollar spent, after accounting for all adjustments",GiveDirectly!$A:$A,0))</f>
        <v>21.57762382</v>
      </c>
      <c r="O223" s="239">
        <f t="array" ref="O223">O221/index(GiveDirectly!$B:$B,match("Units of value generated per philanthropic dollar spent, after accounting for all adjustments",GiveDirectly!$A:$A,0))</f>
        <v>19.16717327</v>
      </c>
      <c r="P223" s="239">
        <f t="array" ref="P223">P221/index(GiveDirectly!$B:$B,match("Units of value generated per philanthropic dollar spent, after accounting for all adjustments",GiveDirectly!$A:$A,0))</f>
        <v>1.609547991</v>
      </c>
      <c r="Q223" s="239">
        <f t="array" ref="Q223">Q221/index(GiveDirectly!$B:$B,match("Units of value generated per philanthropic dollar spent, after accounting for all adjustments",GiveDirectly!$A:$A,0))</f>
        <v>11.53187475</v>
      </c>
      <c r="R223" s="239">
        <f t="array" ref="R223">R221/index(GiveDirectly!$B:$B,match("Units of value generated per philanthropic dollar spent, after accounting for all adjustments",GiveDirectly!$A:$A,0))</f>
        <v>6.51086077</v>
      </c>
      <c r="S223" s="239">
        <f t="array" ref="S223">S221/index(GiveDirectly!$B:$B,match("Units of value generated per philanthropic dollar spent, after accounting for all adjustments",GiveDirectly!$A:$A,0))</f>
        <v>4.868343938</v>
      </c>
      <c r="T223" s="239">
        <f t="array" ref="T223">T221/index(GiveDirectly!$B:$B,match("Units of value generated per philanthropic dollar spent, after accounting for all adjustments",GiveDirectly!$A:$A,0))</f>
        <v>10.66411926</v>
      </c>
      <c r="U223" s="239">
        <f t="array" ref="U223">U221/index(GiveDirectly!$B:$B,match("Units of value generated per philanthropic dollar spent, after accounting for all adjustments",GiveDirectly!$A:$A,0))</f>
        <v>6.213692532</v>
      </c>
      <c r="V223" s="239">
        <f t="array" ref="V223">V221/index(GiveDirectly!$B:$B,match("Units of value generated per philanthropic dollar spent, after accounting for all adjustments",GiveDirectly!$A:$A,0))</f>
        <v>21.01701359</v>
      </c>
      <c r="W223" s="239">
        <f t="array" ref="W223">W221/index(GiveDirectly!$B:$B,match("Units of value generated per philanthropic dollar spent, after accounting for all adjustments",GiveDirectly!$A:$A,0))</f>
        <v>16.30726201</v>
      </c>
      <c r="X223" s="239">
        <f t="array" ref="X223">X221/index(GiveDirectly!$B:$B,match("Units of value generated per philanthropic dollar spent, after accounting for all adjustments",GiveDirectly!$A:$A,0))</f>
        <v>8.466602699</v>
      </c>
      <c r="Y223" s="239">
        <f t="array" ref="Y223">Y221/index(GiveDirectly!$B:$B,match("Units of value generated per philanthropic dollar spent, after accounting for all adjustments",GiveDirectly!$A:$A,0))</f>
        <v>10.05927675</v>
      </c>
      <c r="Z223" s="239">
        <f t="array" ref="Z223">Z221/index(GiveDirectly!$B:$B,match("Units of value generated per philanthropic dollar spent, after accounting for all adjustments",GiveDirectly!$A:$A,0))</f>
        <v>1.442090246</v>
      </c>
      <c r="AA223" s="239">
        <f t="array" ref="AA223">AA221/index(GiveDirectly!$B:$B,match("Units of value generated per philanthropic dollar spent, after accounting for all adjustments",GiveDirectly!$A:$A,0))</f>
        <v>11.64534751</v>
      </c>
      <c r="AB223" s="239">
        <f t="array" ref="AB223">AB221/index(GiveDirectly!$B:$B,match("Units of value generated per philanthropic dollar spent, after accounting for all adjustments",GiveDirectly!$A:$A,0))</f>
        <v>15.07794276</v>
      </c>
      <c r="AC223" s="239">
        <f t="array" ref="AC223">AC221/index(GiveDirectly!$B:$B,match("Units of value generated per philanthropic dollar spent, after accounting for all adjustments",GiveDirectly!$A:$A,0))</f>
        <v>21.10632784</v>
      </c>
      <c r="AD223" s="239">
        <f t="array" ref="AD223">AD221/index(GiveDirectly!$B:$B,match("Units of value generated per philanthropic dollar spent, after accounting for all adjustments",GiveDirectly!$A:$A,0))</f>
        <v>17.72675391</v>
      </c>
      <c r="AE223" s="239">
        <f t="array" ref="AE223">AE221/index(GiveDirectly!$B:$B,match("Units of value generated per philanthropic dollar spent, after accounting for all adjustments",GiveDirectly!$A:$A,0))</f>
        <v>26.41259638</v>
      </c>
      <c r="AF223" s="239">
        <f t="array" ref="AF223">AF221/index(GiveDirectly!$B:$B,match("Units of value generated per philanthropic dollar spent, after accounting for all adjustments",GiveDirectly!$A:$A,0))</f>
        <v>26.57005297</v>
      </c>
      <c r="AG223" s="239">
        <f t="array" ref="AG223">AG221/index(GiveDirectly!$B:$B,match("Units of value generated per philanthropic dollar spent, after accounting for all adjustments",GiveDirectly!$A:$A,0))</f>
        <v>5.39984821</v>
      </c>
      <c r="AH223" s="239">
        <f t="array" ref="AH223">AH221/index(GiveDirectly!$B:$B,match("Units of value generated per philanthropic dollar spent, after accounting for all adjustments",GiveDirectly!$A:$A,0))</f>
        <v>4.815937617</v>
      </c>
      <c r="AI223" s="239">
        <f t="array" ref="AI223">AI221/index(GiveDirectly!$B:$B,match("Units of value generated per philanthropic dollar spent, after accounting for all adjustments",GiveDirectly!$A:$A,0))</f>
        <v>31.07483372</v>
      </c>
      <c r="AJ223" s="239">
        <f t="array" ref="AJ223">AJ221/index(GiveDirectly!$B:$B,match("Units of value generated per philanthropic dollar spent, after accounting for all adjustments",GiveDirectly!$A:$A,0))</f>
        <v>15.59171013</v>
      </c>
      <c r="AK223" s="239">
        <f t="array" ref="AK223">AK221/index(GiveDirectly!$B:$B,match("Units of value generated per philanthropic dollar spent, after accounting for all adjustments",GiveDirectly!$A:$A,0))</f>
        <v>8.578129992</v>
      </c>
      <c r="AL223" s="239">
        <f t="array" ref="AL223">AL221/index(GiveDirectly!$B:$B,match("Units of value generated per philanthropic dollar spent, after accounting for all adjustments",GiveDirectly!$A:$A,0))</f>
        <v>33.802073</v>
      </c>
      <c r="AM223" s="239">
        <f t="array" ref="AM223">AM221/index(GiveDirectly!$B:$B,match("Units of value generated per philanthropic dollar spent, after accounting for all adjustments",GiveDirectly!$A:$A,0))</f>
        <v>20.99421745</v>
      </c>
      <c r="AN223" s="239">
        <f t="array" ref="AN223">AN221/index(GiveDirectly!$B:$B,match("Units of value generated per philanthropic dollar spent, after accounting for all adjustments",GiveDirectly!$A:$A,0))</f>
        <v>33.802073</v>
      </c>
      <c r="AO223" s="239">
        <f t="array" ref="AO223">AO221/index(GiveDirectly!$B:$B,match("Units of value generated per philanthropic dollar spent, after accounting for all adjustments",GiveDirectly!$A:$A,0))</f>
        <v>0.06253015841</v>
      </c>
    </row>
    <row r="224">
      <c r="A224" s="356" t="s">
        <v>345</v>
      </c>
      <c r="B224" s="241">
        <f t="shared" ref="B224:AO224" si="84">(B223-B87)/B87</f>
        <v>0.2137779797</v>
      </c>
      <c r="C224" s="241">
        <f t="shared" si="84"/>
        <v>0.7904224774</v>
      </c>
      <c r="D224" s="241">
        <f t="shared" si="84"/>
        <v>0.4796086744</v>
      </c>
      <c r="E224" s="241">
        <f t="shared" si="84"/>
        <v>0.5042083736</v>
      </c>
      <c r="F224" s="241">
        <f t="shared" si="84"/>
        <v>0.4850226805</v>
      </c>
      <c r="G224" s="241">
        <f t="shared" si="84"/>
        <v>0.4652588822</v>
      </c>
      <c r="H224" s="241">
        <f t="shared" si="84"/>
        <v>0.4313948817</v>
      </c>
      <c r="I224" s="241">
        <f t="shared" si="84"/>
        <v>0.4938093899</v>
      </c>
      <c r="J224" s="241">
        <f t="shared" si="84"/>
        <v>0.3562284001</v>
      </c>
      <c r="K224" s="241">
        <f t="shared" si="84"/>
        <v>0.2978551706</v>
      </c>
      <c r="L224" s="241">
        <f t="shared" si="84"/>
        <v>0.5156236845</v>
      </c>
      <c r="M224" s="241">
        <f t="shared" si="84"/>
        <v>-0.238983059</v>
      </c>
      <c r="N224" s="241">
        <f t="shared" si="84"/>
        <v>0.5156236845</v>
      </c>
      <c r="O224" s="241">
        <f t="shared" si="84"/>
        <v>0.5112014482</v>
      </c>
      <c r="P224" s="241">
        <f t="shared" si="84"/>
        <v>0.176108565</v>
      </c>
      <c r="Q224" s="241">
        <f t="shared" si="84"/>
        <v>0.4855118</v>
      </c>
      <c r="R224" s="241">
        <f t="shared" si="84"/>
        <v>0.4381819953</v>
      </c>
      <c r="S224" s="241">
        <f t="shared" si="84"/>
        <v>0.403530847</v>
      </c>
      <c r="T224" s="241">
        <f t="shared" si="84"/>
        <v>0.480371235</v>
      </c>
      <c r="U224" s="241">
        <f t="shared" si="84"/>
        <v>0.517290712</v>
      </c>
      <c r="V224" s="241">
        <f t="shared" si="84"/>
        <v>0.6503359089</v>
      </c>
      <c r="W224" s="241">
        <f t="shared" si="84"/>
        <v>0.6329771741</v>
      </c>
      <c r="X224" s="241">
        <f t="shared" si="84"/>
        <v>0.5649529779</v>
      </c>
      <c r="Y224" s="241">
        <f t="shared" si="84"/>
        <v>0.5867186379</v>
      </c>
      <c r="Z224" s="241">
        <f t="shared" si="84"/>
        <v>0.1005121733</v>
      </c>
      <c r="AA224" s="241">
        <f t="shared" si="84"/>
        <v>0.6028591869</v>
      </c>
      <c r="AB224" s="241">
        <f t="shared" si="84"/>
        <v>0.8728758938</v>
      </c>
      <c r="AC224" s="241">
        <f t="shared" si="84"/>
        <v>1.195834396</v>
      </c>
      <c r="AD224" s="241">
        <f t="shared" si="84"/>
        <v>1.167805756</v>
      </c>
      <c r="AE224" s="241">
        <f t="shared" si="84"/>
        <v>1.226165238</v>
      </c>
      <c r="AF224" s="241">
        <f t="shared" si="84"/>
        <v>1.226890301</v>
      </c>
      <c r="AG224" s="241">
        <f t="shared" si="84"/>
        <v>0.6484161952</v>
      </c>
      <c r="AH224" s="241">
        <f t="shared" si="84"/>
        <v>0.4875777384</v>
      </c>
      <c r="AI224" s="241">
        <f t="shared" si="84"/>
        <v>0.8208527886</v>
      </c>
      <c r="AJ224" s="241">
        <f t="shared" si="84"/>
        <v>0.7665855035</v>
      </c>
      <c r="AK224" s="241">
        <f t="shared" si="84"/>
        <v>0.6842174514</v>
      </c>
      <c r="AL224" s="241">
        <f t="shared" si="84"/>
        <v>0.8254087353</v>
      </c>
      <c r="AM224" s="241">
        <f t="shared" si="84"/>
        <v>0.7942027698</v>
      </c>
      <c r="AN224" s="241">
        <f t="shared" si="84"/>
        <v>0.8254087353</v>
      </c>
      <c r="AO224" s="241">
        <f t="shared" si="84"/>
        <v>-0.7346491675</v>
      </c>
    </row>
  </sheetData>
  <drawing r:id="rId2"/>
  <legacyDrawing r:id="rId3"/>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A86E8"/>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7.29" defaultRowHeight="15.0" outlineLevelRow="1"/>
  <cols>
    <col customWidth="1" min="1" max="1" width="94.43"/>
    <col customWidth="1" min="2" max="14" width="17.29"/>
  </cols>
  <sheetData>
    <row r="1">
      <c r="A1" s="378" t="s">
        <v>445</v>
      </c>
      <c r="B1" s="470" t="s">
        <v>446</v>
      </c>
      <c r="C1" s="471" t="s">
        <v>447</v>
      </c>
      <c r="D1" s="470" t="s">
        <v>448</v>
      </c>
      <c r="E1" s="470" t="s">
        <v>449</v>
      </c>
      <c r="F1" s="470" t="s">
        <v>450</v>
      </c>
      <c r="G1" s="470" t="s">
        <v>451</v>
      </c>
      <c r="H1" s="470" t="s">
        <v>452</v>
      </c>
      <c r="I1" s="470" t="s">
        <v>453</v>
      </c>
      <c r="J1" s="470" t="s">
        <v>81</v>
      </c>
      <c r="K1" s="470" t="s">
        <v>85</v>
      </c>
      <c r="L1" s="470" t="s">
        <v>454</v>
      </c>
      <c r="M1" s="470" t="s">
        <v>279</v>
      </c>
      <c r="N1" s="470" t="s">
        <v>455</v>
      </c>
    </row>
    <row r="2">
      <c r="A2" s="446"/>
      <c r="B2" s="291"/>
      <c r="C2" s="291"/>
      <c r="D2" s="291"/>
      <c r="E2" s="291"/>
      <c r="F2" s="291"/>
      <c r="G2" s="291"/>
      <c r="H2" s="291"/>
      <c r="I2" s="291"/>
      <c r="J2" s="291"/>
      <c r="K2" s="291"/>
      <c r="L2" s="291"/>
      <c r="M2" s="291"/>
      <c r="N2" s="291"/>
    </row>
    <row r="3">
      <c r="A3" s="291"/>
      <c r="B3" s="291"/>
      <c r="C3" s="291"/>
      <c r="D3" s="291"/>
      <c r="E3" s="291"/>
      <c r="F3" s="291"/>
      <c r="G3" s="291"/>
      <c r="H3" s="291"/>
      <c r="I3" s="291"/>
      <c r="J3" s="291"/>
      <c r="K3" s="291"/>
      <c r="L3" s="291"/>
      <c r="M3" s="291"/>
      <c r="N3" s="291"/>
    </row>
    <row r="4">
      <c r="A4" s="291"/>
      <c r="B4" s="291"/>
      <c r="C4" s="291"/>
      <c r="D4" s="291"/>
      <c r="E4" s="291"/>
      <c r="F4" s="291"/>
      <c r="G4" s="291"/>
      <c r="H4" s="291"/>
      <c r="I4" s="291"/>
      <c r="J4" s="291"/>
      <c r="K4" s="291"/>
      <c r="L4" s="291"/>
      <c r="M4" s="291"/>
      <c r="N4" s="291"/>
    </row>
    <row r="5">
      <c r="A5" s="86" t="s">
        <v>87</v>
      </c>
      <c r="B5" s="472"/>
      <c r="C5" s="472"/>
      <c r="D5" s="472"/>
      <c r="E5" s="472"/>
      <c r="F5" s="472"/>
      <c r="G5" s="472"/>
      <c r="H5" s="472"/>
      <c r="I5" s="472"/>
      <c r="J5" s="472"/>
      <c r="K5" s="472"/>
      <c r="L5" s="472"/>
      <c r="M5" s="472"/>
      <c r="N5" s="472"/>
    </row>
    <row r="6">
      <c r="A6" s="291"/>
      <c r="B6" s="291"/>
      <c r="C6" s="291"/>
      <c r="D6" s="291"/>
      <c r="E6" s="291"/>
      <c r="F6" s="291"/>
      <c r="G6" s="291"/>
      <c r="H6" s="291"/>
      <c r="I6" s="291"/>
      <c r="J6" s="291"/>
      <c r="K6" s="291"/>
      <c r="L6" s="291"/>
      <c r="M6" s="291"/>
      <c r="N6" s="291"/>
    </row>
    <row r="7">
      <c r="A7" s="55" t="s">
        <v>456</v>
      </c>
      <c r="B7" s="92">
        <v>0.8872139</v>
      </c>
      <c r="C7" s="92">
        <v>0.8604484</v>
      </c>
      <c r="D7" s="92">
        <v>0.8604484</v>
      </c>
      <c r="E7" s="92">
        <v>0.8604484</v>
      </c>
      <c r="F7" s="92">
        <v>0.8604484</v>
      </c>
      <c r="G7" s="92">
        <v>0.8604484</v>
      </c>
      <c r="H7" s="92">
        <v>0.8604484</v>
      </c>
      <c r="I7" s="92">
        <v>0.8604484</v>
      </c>
      <c r="J7" s="92">
        <v>0.874083</v>
      </c>
      <c r="K7" s="92">
        <v>0.8943595</v>
      </c>
      <c r="L7" s="92">
        <v>0.8604484</v>
      </c>
      <c r="M7" s="92">
        <v>0.8604484</v>
      </c>
      <c r="N7" s="127">
        <f t="shared" ref="N7:N9" si="1">$K7</f>
        <v>0.8943595</v>
      </c>
    </row>
    <row r="8">
      <c r="A8" s="400" t="s">
        <v>457</v>
      </c>
      <c r="B8" s="92">
        <v>0.0081278</v>
      </c>
      <c r="C8" s="92">
        <v>0.0384031</v>
      </c>
      <c r="D8" s="92">
        <v>0.0384031</v>
      </c>
      <c r="E8" s="92">
        <v>0.0384031</v>
      </c>
      <c r="F8" s="92">
        <v>0.0384031</v>
      </c>
      <c r="G8" s="92">
        <v>0.0384031</v>
      </c>
      <c r="H8" s="92">
        <v>0.0384031</v>
      </c>
      <c r="I8" s="92">
        <v>0.0384031</v>
      </c>
      <c r="J8" s="92">
        <v>0.0244652</v>
      </c>
      <c r="K8" s="92">
        <v>0.0</v>
      </c>
      <c r="L8" s="92">
        <v>0.0384031</v>
      </c>
      <c r="M8" s="92">
        <v>0.0384031</v>
      </c>
      <c r="N8" s="127">
        <f t="shared" si="1"/>
        <v>0</v>
      </c>
    </row>
    <row r="9">
      <c r="A9" s="55" t="s">
        <v>458</v>
      </c>
      <c r="B9" s="92">
        <v>0.1046583</v>
      </c>
      <c r="C9" s="92">
        <v>0.1011485</v>
      </c>
      <c r="D9" s="92">
        <v>0.1011485</v>
      </c>
      <c r="E9" s="92">
        <v>0.1011485</v>
      </c>
      <c r="F9" s="92">
        <v>0.1011485</v>
      </c>
      <c r="G9" s="92">
        <v>0.1011485</v>
      </c>
      <c r="H9" s="92">
        <v>0.1011485</v>
      </c>
      <c r="I9" s="92">
        <v>0.1011485</v>
      </c>
      <c r="J9" s="92">
        <v>0.1014518</v>
      </c>
      <c r="K9" s="92">
        <v>0.1056405</v>
      </c>
      <c r="L9" s="92">
        <v>0.1011485</v>
      </c>
      <c r="M9" s="92">
        <v>0.1011485</v>
      </c>
      <c r="N9" s="127">
        <f t="shared" si="1"/>
        <v>0.1056405</v>
      </c>
    </row>
    <row r="10">
      <c r="A10" s="291"/>
      <c r="B10" s="355"/>
      <c r="C10" s="355"/>
      <c r="D10" s="355"/>
      <c r="E10" s="355"/>
      <c r="F10" s="355"/>
      <c r="G10" s="355"/>
      <c r="H10" s="355"/>
      <c r="I10" s="355"/>
      <c r="J10" s="355"/>
      <c r="K10" s="355"/>
      <c r="L10" s="355"/>
      <c r="M10" s="355"/>
      <c r="N10" s="355"/>
    </row>
    <row r="11">
      <c r="A11" s="396" t="s">
        <v>459</v>
      </c>
      <c r="B11" s="397"/>
      <c r="C11" s="397"/>
      <c r="D11" s="397"/>
      <c r="E11" s="397"/>
      <c r="F11" s="397"/>
      <c r="G11" s="397"/>
      <c r="H11" s="397"/>
      <c r="I11" s="397"/>
      <c r="J11" s="397"/>
      <c r="K11" s="397"/>
      <c r="L11" s="397"/>
      <c r="M11" s="397"/>
      <c r="N11" s="397"/>
    </row>
    <row r="12">
      <c r="A12" s="398"/>
      <c r="B12" s="291"/>
      <c r="C12" s="291"/>
      <c r="D12" s="291"/>
      <c r="E12" s="291"/>
      <c r="F12" s="291"/>
      <c r="G12" s="291"/>
      <c r="H12" s="291"/>
      <c r="I12" s="291"/>
      <c r="J12" s="291"/>
      <c r="K12" s="291"/>
      <c r="L12" s="291"/>
      <c r="M12" s="291"/>
      <c r="N12" s="291"/>
    </row>
    <row r="13">
      <c r="A13" s="91" t="s">
        <v>460</v>
      </c>
      <c r="B13" s="447">
        <v>100000.0</v>
      </c>
      <c r="C13" s="447">
        <v>100000.0</v>
      </c>
      <c r="D13" s="447">
        <v>100000.0</v>
      </c>
      <c r="E13" s="447">
        <v>100000.0</v>
      </c>
      <c r="F13" s="447">
        <v>100000.0</v>
      </c>
      <c r="G13" s="447">
        <v>100000.0</v>
      </c>
      <c r="H13" s="447">
        <v>100000.0</v>
      </c>
      <c r="I13" s="447">
        <v>100000.0</v>
      </c>
      <c r="J13" s="447">
        <v>100000.0</v>
      </c>
      <c r="K13" s="447">
        <v>100000.0</v>
      </c>
      <c r="L13" s="447">
        <v>100000.0</v>
      </c>
      <c r="M13" s="447">
        <v>100000.0</v>
      </c>
      <c r="N13" s="447">
        <v>100000.0</v>
      </c>
    </row>
    <row r="14">
      <c r="A14" s="225" t="s">
        <v>363</v>
      </c>
      <c r="B14" s="429">
        <f t="shared" ref="B14:N14" si="2">B13/B7</f>
        <v>112712.391</v>
      </c>
      <c r="C14" s="429">
        <f t="shared" si="2"/>
        <v>116218.474</v>
      </c>
      <c r="D14" s="429">
        <f t="shared" si="2"/>
        <v>116218.474</v>
      </c>
      <c r="E14" s="429">
        <f t="shared" si="2"/>
        <v>116218.474</v>
      </c>
      <c r="F14" s="429">
        <f t="shared" si="2"/>
        <v>116218.474</v>
      </c>
      <c r="G14" s="429">
        <f t="shared" si="2"/>
        <v>116218.474</v>
      </c>
      <c r="H14" s="429">
        <f t="shared" si="2"/>
        <v>116218.474</v>
      </c>
      <c r="I14" s="429">
        <f t="shared" si="2"/>
        <v>116218.474</v>
      </c>
      <c r="J14" s="429">
        <f t="shared" si="2"/>
        <v>114405.6114</v>
      </c>
      <c r="K14" s="429">
        <f t="shared" si="2"/>
        <v>111811.8609</v>
      </c>
      <c r="L14" s="429">
        <f t="shared" si="2"/>
        <v>116218.474</v>
      </c>
      <c r="M14" s="429">
        <f t="shared" si="2"/>
        <v>116218.474</v>
      </c>
      <c r="N14" s="429">
        <f t="shared" si="2"/>
        <v>111811.8609</v>
      </c>
    </row>
    <row r="15">
      <c r="A15" s="400" t="s">
        <v>461</v>
      </c>
      <c r="B15" s="338">
        <v>1.47763</v>
      </c>
      <c r="C15" s="338">
        <v>1.40255</v>
      </c>
      <c r="D15" s="338">
        <v>1.40255</v>
      </c>
      <c r="E15" s="338">
        <v>1.40255</v>
      </c>
      <c r="F15" s="338">
        <v>1.40255</v>
      </c>
      <c r="G15" s="338">
        <v>1.40255</v>
      </c>
      <c r="H15" s="338">
        <v>1.40255</v>
      </c>
      <c r="I15" s="338">
        <v>1.40255</v>
      </c>
      <c r="J15" s="338">
        <v>1.49507</v>
      </c>
      <c r="K15" s="338">
        <v>1.81008</v>
      </c>
      <c r="L15" s="338">
        <v>1.40255</v>
      </c>
      <c r="M15" s="338">
        <v>1.40255</v>
      </c>
      <c r="N15" s="338">
        <f>$K15</f>
        <v>1.81008</v>
      </c>
    </row>
    <row r="16">
      <c r="A16" s="400" t="s">
        <v>462</v>
      </c>
      <c r="B16" s="473">
        <v>4.3</v>
      </c>
      <c r="C16" s="114">
        <v>4.0</v>
      </c>
      <c r="D16" s="114">
        <v>4.0</v>
      </c>
      <c r="E16" s="114">
        <v>4.0</v>
      </c>
      <c r="F16" s="114">
        <v>5.0</v>
      </c>
      <c r="G16" s="114">
        <v>5.0</v>
      </c>
      <c r="H16" s="114">
        <v>5.0</v>
      </c>
      <c r="I16" s="114">
        <v>4.0</v>
      </c>
      <c r="J16" s="473">
        <v>4.0</v>
      </c>
      <c r="K16" s="473">
        <v>4.0</v>
      </c>
      <c r="L16" s="473">
        <v>5.0</v>
      </c>
      <c r="M16" s="473">
        <v>5.0</v>
      </c>
      <c r="N16" s="473">
        <v>4.0</v>
      </c>
    </row>
    <row r="17">
      <c r="A17" s="400" t="s">
        <v>463</v>
      </c>
      <c r="B17" s="474">
        <f t="shared" ref="B17:N17" si="3">B15*B16</f>
        <v>6.353809</v>
      </c>
      <c r="C17" s="474">
        <f t="shared" si="3"/>
        <v>5.6102</v>
      </c>
      <c r="D17" s="474">
        <f t="shared" si="3"/>
        <v>5.6102</v>
      </c>
      <c r="E17" s="474">
        <f t="shared" si="3"/>
        <v>5.6102</v>
      </c>
      <c r="F17" s="474">
        <f t="shared" si="3"/>
        <v>7.01275</v>
      </c>
      <c r="G17" s="474">
        <f t="shared" si="3"/>
        <v>7.01275</v>
      </c>
      <c r="H17" s="474">
        <f t="shared" si="3"/>
        <v>7.01275</v>
      </c>
      <c r="I17" s="474">
        <f t="shared" si="3"/>
        <v>5.6102</v>
      </c>
      <c r="J17" s="474">
        <f t="shared" si="3"/>
        <v>5.98028</v>
      </c>
      <c r="K17" s="474">
        <f t="shared" si="3"/>
        <v>7.24032</v>
      </c>
      <c r="L17" s="474">
        <f t="shared" si="3"/>
        <v>7.01275</v>
      </c>
      <c r="M17" s="474">
        <f t="shared" si="3"/>
        <v>7.01275</v>
      </c>
      <c r="N17" s="474">
        <f t="shared" si="3"/>
        <v>7.24032</v>
      </c>
    </row>
    <row r="18">
      <c r="A18" s="400" t="s">
        <v>464</v>
      </c>
      <c r="B18" s="475">
        <f t="shared" ref="B18:N18" si="4">B14/B17</f>
        <v>17739.34202</v>
      </c>
      <c r="C18" s="475">
        <f t="shared" si="4"/>
        <v>20715.567</v>
      </c>
      <c r="D18" s="475">
        <f t="shared" si="4"/>
        <v>20715.567</v>
      </c>
      <c r="E18" s="475">
        <f t="shared" si="4"/>
        <v>20715.567</v>
      </c>
      <c r="F18" s="475">
        <f t="shared" si="4"/>
        <v>16572.4536</v>
      </c>
      <c r="G18" s="475">
        <f t="shared" si="4"/>
        <v>16572.4536</v>
      </c>
      <c r="H18" s="475">
        <f t="shared" si="4"/>
        <v>16572.4536</v>
      </c>
      <c r="I18" s="475">
        <f t="shared" si="4"/>
        <v>20715.567</v>
      </c>
      <c r="J18" s="475">
        <f t="shared" si="4"/>
        <v>19130.4774</v>
      </c>
      <c r="K18" s="475">
        <f t="shared" si="4"/>
        <v>15442.94463</v>
      </c>
      <c r="L18" s="475">
        <f t="shared" si="4"/>
        <v>16572.4536</v>
      </c>
      <c r="M18" s="475">
        <f t="shared" si="4"/>
        <v>16572.4536</v>
      </c>
      <c r="N18" s="475">
        <f t="shared" si="4"/>
        <v>15442.94463</v>
      </c>
    </row>
    <row r="19">
      <c r="A19" s="291"/>
      <c r="B19" s="291"/>
      <c r="C19" s="291"/>
      <c r="D19" s="291"/>
      <c r="E19" s="291"/>
      <c r="F19" s="291"/>
      <c r="G19" s="291"/>
      <c r="H19" s="291"/>
      <c r="I19" s="291"/>
      <c r="J19" s="291"/>
      <c r="K19" s="291"/>
      <c r="L19" s="291"/>
      <c r="M19" s="291"/>
      <c r="N19" s="476"/>
    </row>
    <row r="20">
      <c r="A20" s="160" t="s">
        <v>465</v>
      </c>
      <c r="B20" s="397"/>
      <c r="C20" s="397"/>
      <c r="D20" s="397"/>
      <c r="E20" s="397"/>
      <c r="F20" s="397"/>
      <c r="G20" s="397"/>
      <c r="H20" s="397"/>
      <c r="I20" s="397"/>
      <c r="J20" s="397"/>
      <c r="K20" s="397"/>
      <c r="L20" s="397"/>
      <c r="M20" s="397"/>
      <c r="N20" s="397"/>
    </row>
    <row r="21">
      <c r="A21" s="356"/>
      <c r="B21" s="291"/>
      <c r="C21" s="291"/>
      <c r="D21" s="291"/>
      <c r="E21" s="291"/>
      <c r="F21" s="291"/>
      <c r="G21" s="291"/>
      <c r="H21" s="291"/>
      <c r="I21" s="291"/>
      <c r="J21" s="291"/>
      <c r="K21" s="291"/>
      <c r="L21" s="291"/>
      <c r="M21" s="291"/>
      <c r="N21" s="291"/>
    </row>
    <row r="22">
      <c r="A22" s="356" t="s">
        <v>466</v>
      </c>
      <c r="B22" s="477">
        <v>0.25</v>
      </c>
      <c r="C22" s="477">
        <v>0.25</v>
      </c>
      <c r="D22" s="477">
        <v>0.25</v>
      </c>
      <c r="E22" s="477">
        <v>0.25</v>
      </c>
      <c r="F22" s="477">
        <v>0.25</v>
      </c>
      <c r="G22" s="477">
        <v>0.25</v>
      </c>
      <c r="H22" s="477">
        <v>0.25</v>
      </c>
      <c r="I22" s="477">
        <v>0.25</v>
      </c>
      <c r="J22" s="477">
        <v>0.25</v>
      </c>
      <c r="K22" s="477">
        <v>0.25</v>
      </c>
      <c r="L22" s="477">
        <v>0.25</v>
      </c>
      <c r="M22" s="477">
        <v>0.25</v>
      </c>
      <c r="N22" s="477">
        <v>0.5</v>
      </c>
    </row>
    <row r="23">
      <c r="A23" s="478" t="s">
        <v>467</v>
      </c>
      <c r="B23" s="479">
        <f t="shared" ref="B23:N23" si="5">1-B22</f>
        <v>0.75</v>
      </c>
      <c r="C23" s="479">
        <f t="shared" si="5"/>
        <v>0.75</v>
      </c>
      <c r="D23" s="479">
        <f t="shared" si="5"/>
        <v>0.75</v>
      </c>
      <c r="E23" s="479">
        <f t="shared" si="5"/>
        <v>0.75</v>
      </c>
      <c r="F23" s="479">
        <f t="shared" si="5"/>
        <v>0.75</v>
      </c>
      <c r="G23" s="479">
        <f t="shared" si="5"/>
        <v>0.75</v>
      </c>
      <c r="H23" s="479">
        <f t="shared" si="5"/>
        <v>0.75</v>
      </c>
      <c r="I23" s="479">
        <f t="shared" si="5"/>
        <v>0.75</v>
      </c>
      <c r="J23" s="479">
        <f t="shared" si="5"/>
        <v>0.75</v>
      </c>
      <c r="K23" s="479">
        <f t="shared" si="5"/>
        <v>0.75</v>
      </c>
      <c r="L23" s="479">
        <f t="shared" si="5"/>
        <v>0.75</v>
      </c>
      <c r="M23" s="479">
        <f t="shared" si="5"/>
        <v>0.75</v>
      </c>
      <c r="N23" s="479">
        <f t="shared" si="5"/>
        <v>0.5</v>
      </c>
    </row>
    <row r="24">
      <c r="A24" s="43" t="s">
        <v>468</v>
      </c>
      <c r="B24" s="281">
        <v>0.95</v>
      </c>
      <c r="C24" s="281">
        <v>0.95</v>
      </c>
      <c r="D24" s="281">
        <v>0.95</v>
      </c>
      <c r="E24" s="281">
        <v>0.95</v>
      </c>
      <c r="F24" s="281">
        <v>0.95</v>
      </c>
      <c r="G24" s="281">
        <v>0.95</v>
      </c>
      <c r="H24" s="281">
        <v>0.95</v>
      </c>
      <c r="I24" s="281">
        <v>0.95</v>
      </c>
      <c r="J24" s="281">
        <v>0.95</v>
      </c>
      <c r="K24" s="281">
        <v>0.95</v>
      </c>
      <c r="L24" s="281">
        <v>0.95</v>
      </c>
      <c r="M24" s="281">
        <v>0.95</v>
      </c>
      <c r="N24" s="281">
        <v>0.95</v>
      </c>
    </row>
    <row r="25">
      <c r="A25" s="43" t="s">
        <v>469</v>
      </c>
      <c r="B25" s="281">
        <v>1.0</v>
      </c>
      <c r="C25" s="281">
        <v>1.0</v>
      </c>
      <c r="D25" s="281">
        <v>1.0</v>
      </c>
      <c r="E25" s="281">
        <v>1.0</v>
      </c>
      <c r="F25" s="281">
        <v>1.0</v>
      </c>
      <c r="G25" s="281">
        <v>1.0</v>
      </c>
      <c r="H25" s="281">
        <v>1.0</v>
      </c>
      <c r="I25" s="281">
        <v>1.0</v>
      </c>
      <c r="J25" s="281">
        <v>1.0</v>
      </c>
      <c r="K25" s="281">
        <v>1.0</v>
      </c>
      <c r="L25" s="281">
        <v>1.0</v>
      </c>
      <c r="M25" s="281">
        <v>1.0</v>
      </c>
      <c r="N25" s="281">
        <v>1.0</v>
      </c>
    </row>
    <row r="26">
      <c r="A26" s="480" t="s">
        <v>470</v>
      </c>
      <c r="B26" s="127">
        <v>0.8977</v>
      </c>
      <c r="C26" s="127">
        <v>0.8977</v>
      </c>
      <c r="D26" s="127">
        <v>0.8977</v>
      </c>
      <c r="E26" s="127">
        <v>0.8977</v>
      </c>
      <c r="F26" s="127">
        <v>0.8977</v>
      </c>
      <c r="G26" s="127">
        <v>0.8977</v>
      </c>
      <c r="H26" s="127">
        <v>0.8977</v>
      </c>
      <c r="I26" s="127">
        <v>0.8977</v>
      </c>
      <c r="J26" s="127">
        <v>0.8977</v>
      </c>
      <c r="K26" s="127">
        <v>0.8977</v>
      </c>
      <c r="L26" s="127">
        <v>0.8977</v>
      </c>
      <c r="M26" s="127">
        <v>0.8977</v>
      </c>
      <c r="N26" s="127">
        <v>0.8977</v>
      </c>
    </row>
    <row r="27">
      <c r="A27" s="478" t="s">
        <v>471</v>
      </c>
      <c r="B27" s="481">
        <f t="shared" ref="B27:N27" si="6">B23/B26*B24*B25</f>
        <v>0.7936949983</v>
      </c>
      <c r="C27" s="481">
        <f t="shared" si="6"/>
        <v>0.7936949983</v>
      </c>
      <c r="D27" s="481">
        <f t="shared" si="6"/>
        <v>0.7936949983</v>
      </c>
      <c r="E27" s="481">
        <f t="shared" si="6"/>
        <v>0.7936949983</v>
      </c>
      <c r="F27" s="481">
        <f t="shared" si="6"/>
        <v>0.7936949983</v>
      </c>
      <c r="G27" s="481">
        <f t="shared" si="6"/>
        <v>0.7936949983</v>
      </c>
      <c r="H27" s="481">
        <f t="shared" si="6"/>
        <v>0.7936949983</v>
      </c>
      <c r="I27" s="481">
        <f t="shared" si="6"/>
        <v>0.7936949983</v>
      </c>
      <c r="J27" s="481">
        <f t="shared" si="6"/>
        <v>0.7936949983</v>
      </c>
      <c r="K27" s="481">
        <f t="shared" si="6"/>
        <v>0.7936949983</v>
      </c>
      <c r="L27" s="481">
        <f t="shared" si="6"/>
        <v>0.7936949983</v>
      </c>
      <c r="M27" s="481">
        <f t="shared" si="6"/>
        <v>0.7936949983</v>
      </c>
      <c r="N27" s="481">
        <f t="shared" si="6"/>
        <v>0.5291299989</v>
      </c>
    </row>
    <row r="28">
      <c r="A28" s="291"/>
      <c r="B28" s="291"/>
      <c r="C28" s="291"/>
      <c r="D28" s="291"/>
      <c r="E28" s="291"/>
      <c r="F28" s="291"/>
      <c r="G28" s="291"/>
      <c r="H28" s="291"/>
      <c r="I28" s="291"/>
      <c r="J28" s="291"/>
      <c r="K28" s="291"/>
      <c r="L28" s="291"/>
      <c r="M28" s="291"/>
      <c r="N28" s="291"/>
    </row>
    <row r="29">
      <c r="A29" s="396" t="s">
        <v>472</v>
      </c>
      <c r="B29" s="397"/>
      <c r="C29" s="397"/>
      <c r="D29" s="397"/>
      <c r="E29" s="397"/>
      <c r="F29" s="397"/>
      <c r="G29" s="397"/>
      <c r="H29" s="397"/>
      <c r="I29" s="397"/>
      <c r="J29" s="397"/>
      <c r="K29" s="397"/>
      <c r="L29" s="397"/>
      <c r="M29" s="397"/>
      <c r="N29" s="397"/>
    </row>
    <row r="30">
      <c r="A30" s="55"/>
      <c r="B30" s="151"/>
      <c r="C30" s="151"/>
      <c r="D30" s="151"/>
      <c r="E30" s="151"/>
      <c r="F30" s="151"/>
      <c r="G30" s="151"/>
      <c r="H30" s="151"/>
      <c r="I30" s="151"/>
      <c r="J30" s="151"/>
      <c r="K30" s="151"/>
      <c r="L30" s="151"/>
      <c r="M30" s="151"/>
      <c r="N30" s="151"/>
    </row>
    <row r="31">
      <c r="A31" s="482" t="s">
        <v>473</v>
      </c>
      <c r="B31" s="55"/>
      <c r="C31" s="55"/>
      <c r="D31" s="55"/>
      <c r="E31" s="55"/>
      <c r="F31" s="55"/>
      <c r="G31" s="55"/>
      <c r="H31" s="55"/>
      <c r="I31" s="55"/>
      <c r="J31" s="55"/>
      <c r="K31" s="55"/>
      <c r="L31" s="55"/>
      <c r="M31" s="55"/>
      <c r="N31" s="55"/>
    </row>
    <row r="32">
      <c r="A32" s="483"/>
      <c r="B32" s="151"/>
      <c r="C32" s="151"/>
      <c r="D32" s="151"/>
      <c r="E32" s="151"/>
      <c r="F32" s="151"/>
      <c r="G32" s="151"/>
      <c r="H32" s="151"/>
      <c r="I32" s="151"/>
      <c r="J32" s="151"/>
      <c r="K32" s="151"/>
      <c r="L32" s="151"/>
      <c r="M32" s="151"/>
      <c r="N32" s="151"/>
    </row>
    <row r="33">
      <c r="A33" s="302" t="s">
        <v>474</v>
      </c>
      <c r="B33" s="55"/>
      <c r="C33" s="55"/>
      <c r="D33" s="55"/>
      <c r="E33" s="55"/>
      <c r="F33" s="55"/>
      <c r="G33" s="55"/>
      <c r="H33" s="55"/>
      <c r="I33" s="55"/>
      <c r="J33" s="55"/>
      <c r="K33" s="55"/>
      <c r="L33" s="55"/>
      <c r="M33" s="55"/>
      <c r="N33" s="55"/>
    </row>
    <row r="34">
      <c r="A34" s="484" t="s">
        <v>475</v>
      </c>
      <c r="B34" s="485">
        <v>16395.37</v>
      </c>
      <c r="C34" s="485">
        <v>3593.57495</v>
      </c>
      <c r="D34" s="485">
        <v>1707.80537</v>
      </c>
      <c r="E34" s="485">
        <v>3140.50932</v>
      </c>
      <c r="F34" s="485">
        <v>800.96795</v>
      </c>
      <c r="G34" s="485">
        <v>2258.28828</v>
      </c>
      <c r="H34" s="485">
        <v>3181.70496</v>
      </c>
      <c r="I34" s="485">
        <v>4918.70879</v>
      </c>
      <c r="J34" s="166">
        <v>1880.41</v>
      </c>
      <c r="K34" s="485">
        <v>4525.73</v>
      </c>
      <c r="L34" s="165">
        <v>1882.032542</v>
      </c>
      <c r="M34" s="165">
        <v>1857.078678</v>
      </c>
      <c r="N34" s="165">
        <v>3006.9280896742</v>
      </c>
    </row>
    <row r="35">
      <c r="A35" s="484" t="s">
        <v>476</v>
      </c>
      <c r="B35" s="485">
        <v>0.0</v>
      </c>
      <c r="C35" s="485">
        <v>0.0</v>
      </c>
      <c r="D35" s="485">
        <v>0.0</v>
      </c>
      <c r="E35" s="485">
        <v>0.0</v>
      </c>
      <c r="F35" s="485">
        <v>0.0</v>
      </c>
      <c r="G35" s="485">
        <v>0.0</v>
      </c>
      <c r="H35" s="485">
        <v>0.0</v>
      </c>
      <c r="I35" s="485">
        <v>0.0</v>
      </c>
      <c r="J35" s="166">
        <v>0.0</v>
      </c>
      <c r="K35" s="485">
        <v>0.0</v>
      </c>
      <c r="L35" s="165">
        <v>0.0</v>
      </c>
      <c r="M35" s="165">
        <v>0.0</v>
      </c>
      <c r="N35" s="165">
        <v>0.0</v>
      </c>
    </row>
    <row r="36">
      <c r="A36" s="484" t="s">
        <v>477</v>
      </c>
      <c r="B36" s="485">
        <v>683.01</v>
      </c>
      <c r="C36" s="485">
        <v>77.56124</v>
      </c>
      <c r="D36" s="485">
        <v>67.45051</v>
      </c>
      <c r="E36" s="485">
        <v>84.23526</v>
      </c>
      <c r="F36" s="485">
        <v>49.43917</v>
      </c>
      <c r="G36" s="485">
        <v>97.97276</v>
      </c>
      <c r="H36" s="485">
        <v>160.38771</v>
      </c>
      <c r="I36" s="485">
        <v>107.78327</v>
      </c>
      <c r="J36" s="166">
        <v>82.14</v>
      </c>
      <c r="K36" s="485">
        <v>207.99</v>
      </c>
      <c r="L36" s="165">
        <v>112.9551112</v>
      </c>
      <c r="M36" s="165">
        <v>155.6540484</v>
      </c>
      <c r="N36" s="165">
        <v>119.56005193</v>
      </c>
    </row>
    <row r="37">
      <c r="A37" s="484" t="s">
        <v>478</v>
      </c>
      <c r="B37" s="485">
        <v>5135.61</v>
      </c>
      <c r="C37" s="485">
        <v>514.11284</v>
      </c>
      <c r="D37" s="485">
        <v>362.49238</v>
      </c>
      <c r="E37" s="485">
        <v>501.34403</v>
      </c>
      <c r="F37" s="485">
        <v>249.87579</v>
      </c>
      <c r="G37" s="485">
        <v>584.21623</v>
      </c>
      <c r="H37" s="485">
        <v>921.52883</v>
      </c>
      <c r="I37" s="485">
        <v>726.88525</v>
      </c>
      <c r="J37" s="166">
        <v>575.08</v>
      </c>
      <c r="K37" s="485">
        <v>1402.47</v>
      </c>
      <c r="L37" s="165">
        <v>590.6183608</v>
      </c>
      <c r="M37" s="165">
        <v>658.0187831</v>
      </c>
      <c r="N37" s="165">
        <v>1570.0056363003</v>
      </c>
    </row>
    <row r="38">
      <c r="A38" s="486" t="s">
        <v>479</v>
      </c>
      <c r="B38" s="114">
        <v>1.0</v>
      </c>
      <c r="C38" s="114">
        <v>1.0</v>
      </c>
      <c r="D38" s="114">
        <v>1.0</v>
      </c>
      <c r="E38" s="114">
        <v>1.0</v>
      </c>
      <c r="F38" s="114">
        <v>1.0</v>
      </c>
      <c r="G38" s="114">
        <v>1.0</v>
      </c>
      <c r="H38" s="114">
        <v>1.0</v>
      </c>
      <c r="I38" s="114">
        <v>1.0</v>
      </c>
      <c r="J38" s="114">
        <v>1.0</v>
      </c>
      <c r="K38" s="114">
        <v>1.0</v>
      </c>
      <c r="L38" s="114">
        <v>1.0</v>
      </c>
      <c r="M38" s="114">
        <v>1.0</v>
      </c>
      <c r="N38" s="114">
        <v>1.0</v>
      </c>
    </row>
    <row r="39">
      <c r="A39" s="56" t="s">
        <v>480</v>
      </c>
      <c r="B39" s="118">
        <f t="shared" ref="B39:N39" si="7">B37/11</f>
        <v>466.8736364</v>
      </c>
      <c r="C39" s="118">
        <f t="shared" si="7"/>
        <v>46.73753091</v>
      </c>
      <c r="D39" s="118">
        <f t="shared" si="7"/>
        <v>32.95385273</v>
      </c>
      <c r="E39" s="118">
        <f t="shared" si="7"/>
        <v>45.57673</v>
      </c>
      <c r="F39" s="118">
        <f t="shared" si="7"/>
        <v>22.71598091</v>
      </c>
      <c r="G39" s="118">
        <f t="shared" si="7"/>
        <v>53.11056636</v>
      </c>
      <c r="H39" s="118">
        <f t="shared" si="7"/>
        <v>83.77534818</v>
      </c>
      <c r="I39" s="118">
        <f t="shared" si="7"/>
        <v>66.08047727</v>
      </c>
      <c r="J39" s="118">
        <f t="shared" si="7"/>
        <v>52.28</v>
      </c>
      <c r="K39" s="118">
        <f t="shared" si="7"/>
        <v>127.4972727</v>
      </c>
      <c r="L39" s="118">
        <f t="shared" si="7"/>
        <v>53.69257825</v>
      </c>
      <c r="M39" s="118">
        <f t="shared" si="7"/>
        <v>59.81988937</v>
      </c>
      <c r="N39" s="118">
        <f t="shared" si="7"/>
        <v>142.7277851</v>
      </c>
    </row>
    <row r="40">
      <c r="A40" s="89" t="s">
        <v>481</v>
      </c>
      <c r="B40" s="118">
        <f t="shared" ref="B40:N40" si="8">2*B39*B38</f>
        <v>933.7472727</v>
      </c>
      <c r="C40" s="118">
        <f t="shared" si="8"/>
        <v>93.47506182</v>
      </c>
      <c r="D40" s="118">
        <f t="shared" si="8"/>
        <v>65.90770545</v>
      </c>
      <c r="E40" s="118">
        <f t="shared" si="8"/>
        <v>91.15346</v>
      </c>
      <c r="F40" s="118">
        <f t="shared" si="8"/>
        <v>45.43196182</v>
      </c>
      <c r="G40" s="118">
        <f t="shared" si="8"/>
        <v>106.2211327</v>
      </c>
      <c r="H40" s="118">
        <f t="shared" si="8"/>
        <v>167.5506964</v>
      </c>
      <c r="I40" s="118">
        <f t="shared" si="8"/>
        <v>132.1609545</v>
      </c>
      <c r="J40" s="118">
        <f t="shared" si="8"/>
        <v>104.56</v>
      </c>
      <c r="K40" s="118">
        <f t="shared" si="8"/>
        <v>254.9945455</v>
      </c>
      <c r="L40" s="118">
        <f t="shared" si="8"/>
        <v>107.3851565</v>
      </c>
      <c r="M40" s="118">
        <f t="shared" si="8"/>
        <v>119.6397787</v>
      </c>
      <c r="N40" s="118">
        <f t="shared" si="8"/>
        <v>285.4555702</v>
      </c>
    </row>
    <row r="41">
      <c r="A41" s="55" t="s">
        <v>482</v>
      </c>
      <c r="B41" s="118">
        <f t="shared" ref="B41:N41" si="9">B34-sum(B35:B36,B40)</f>
        <v>14778.61273</v>
      </c>
      <c r="C41" s="118">
        <f t="shared" si="9"/>
        <v>3422.538648</v>
      </c>
      <c r="D41" s="118">
        <f t="shared" si="9"/>
        <v>1574.447155</v>
      </c>
      <c r="E41" s="118">
        <f t="shared" si="9"/>
        <v>2965.1206</v>
      </c>
      <c r="F41" s="118">
        <f t="shared" si="9"/>
        <v>706.0968182</v>
      </c>
      <c r="G41" s="118">
        <f t="shared" si="9"/>
        <v>2054.094387</v>
      </c>
      <c r="H41" s="118">
        <f t="shared" si="9"/>
        <v>2853.766554</v>
      </c>
      <c r="I41" s="118">
        <f t="shared" si="9"/>
        <v>4678.764565</v>
      </c>
      <c r="J41" s="118">
        <f t="shared" si="9"/>
        <v>1693.71</v>
      </c>
      <c r="K41" s="118">
        <f t="shared" si="9"/>
        <v>4062.745455</v>
      </c>
      <c r="L41" s="118">
        <f t="shared" si="9"/>
        <v>1661.692274</v>
      </c>
      <c r="M41" s="118">
        <f t="shared" si="9"/>
        <v>1581.784851</v>
      </c>
      <c r="N41" s="118">
        <f t="shared" si="9"/>
        <v>2601.912468</v>
      </c>
    </row>
    <row r="42">
      <c r="A42" s="84" t="s">
        <v>483</v>
      </c>
      <c r="B42" s="124">
        <f t="shared" ref="B42:N42" si="10">B41/B34</f>
        <v>0.9013894</v>
      </c>
      <c r="C42" s="124">
        <f t="shared" si="10"/>
        <v>0.9524049716</v>
      </c>
      <c r="D42" s="124">
        <f t="shared" si="10"/>
        <v>0.9219125213</v>
      </c>
      <c r="E42" s="124">
        <f t="shared" si="10"/>
        <v>0.9441527784</v>
      </c>
      <c r="F42" s="124">
        <f t="shared" si="10"/>
        <v>0.881554397</v>
      </c>
      <c r="G42" s="124">
        <f t="shared" si="10"/>
        <v>0.9095802363</v>
      </c>
      <c r="H42" s="124">
        <f t="shared" si="10"/>
        <v>0.8969299761</v>
      </c>
      <c r="I42" s="124">
        <f t="shared" si="10"/>
        <v>0.9512180463</v>
      </c>
      <c r="J42" s="124">
        <f t="shared" si="10"/>
        <v>0.9007131423</v>
      </c>
      <c r="K42" s="124">
        <f t="shared" si="10"/>
        <v>0.8976994771</v>
      </c>
      <c r="L42" s="124">
        <f t="shared" si="10"/>
        <v>0.8829243051</v>
      </c>
      <c r="M42" s="124">
        <f t="shared" si="10"/>
        <v>0.8517597394</v>
      </c>
      <c r="N42" s="124">
        <f t="shared" si="10"/>
        <v>0.8653058503</v>
      </c>
    </row>
    <row r="43">
      <c r="A43" s="84"/>
      <c r="B43" s="84"/>
      <c r="C43" s="84"/>
      <c r="D43" s="84"/>
      <c r="E43" s="84"/>
      <c r="F43" s="84"/>
      <c r="G43" s="84"/>
      <c r="H43" s="84"/>
      <c r="I43" s="84"/>
      <c r="J43" s="84"/>
      <c r="K43" s="84"/>
      <c r="L43" s="84"/>
      <c r="M43" s="84"/>
      <c r="N43" s="84"/>
    </row>
    <row r="44">
      <c r="A44" s="487" t="s">
        <v>484</v>
      </c>
      <c r="B44" s="485">
        <v>405.33</v>
      </c>
      <c r="C44" s="485">
        <v>255.6552</v>
      </c>
      <c r="D44" s="485">
        <v>178.17425</v>
      </c>
      <c r="E44" s="485">
        <v>331.53023</v>
      </c>
      <c r="F44" s="485">
        <v>240.03659</v>
      </c>
      <c r="G44" s="485">
        <v>298.66532</v>
      </c>
      <c r="H44" s="485">
        <v>210.21578</v>
      </c>
      <c r="I44" s="485">
        <v>361.05213</v>
      </c>
      <c r="J44" s="166">
        <v>168.67</v>
      </c>
      <c r="K44" s="485">
        <v>135.8</v>
      </c>
      <c r="L44" s="488">
        <f>288.3183134*(1-AMF!$F$93*AMF!F19)</f>
        <v>187.0682758</v>
      </c>
      <c r="M44" s="488">
        <v>261.8332491</v>
      </c>
      <c r="N44" s="488">
        <v>304.7597654946</v>
      </c>
    </row>
    <row r="45">
      <c r="A45" s="151" t="s">
        <v>485</v>
      </c>
      <c r="B45" s="118">
        <f t="shared" ref="B45:N45" si="11">((56/59)*(B34/B44))*100000</f>
        <v>3839268.527</v>
      </c>
      <c r="C45" s="118">
        <f t="shared" si="11"/>
        <v>1334160.541</v>
      </c>
      <c r="D45" s="118">
        <f t="shared" si="11"/>
        <v>909765.4733</v>
      </c>
      <c r="E45" s="118">
        <f t="shared" si="11"/>
        <v>899110.2879</v>
      </c>
      <c r="F45" s="118">
        <f t="shared" si="11"/>
        <v>316718.6995</v>
      </c>
      <c r="G45" s="118">
        <f t="shared" si="11"/>
        <v>717679.5961</v>
      </c>
      <c r="H45" s="118">
        <f t="shared" si="11"/>
        <v>1436582.616</v>
      </c>
      <c r="I45" s="118">
        <f t="shared" si="11"/>
        <v>1293055.646</v>
      </c>
      <c r="J45" s="118">
        <f t="shared" si="11"/>
        <v>1058158.494</v>
      </c>
      <c r="K45" s="118">
        <f t="shared" si="11"/>
        <v>3163187.14</v>
      </c>
      <c r="L45" s="118">
        <f t="shared" si="11"/>
        <v>954911.2293</v>
      </c>
      <c r="M45" s="118">
        <f t="shared" si="11"/>
        <v>673195.9958</v>
      </c>
      <c r="N45" s="118">
        <f t="shared" si="11"/>
        <v>936486.2965</v>
      </c>
    </row>
    <row r="46">
      <c r="A46" s="56" t="s">
        <v>486</v>
      </c>
      <c r="B46" s="57">
        <f t="shared" ref="B46:N46" si="12">(B41/B45)*1000</f>
        <v>3.849330315</v>
      </c>
      <c r="C46" s="57">
        <f t="shared" si="12"/>
        <v>2.565312451</v>
      </c>
      <c r="D46" s="57">
        <f t="shared" si="12"/>
        <v>1.730607723</v>
      </c>
      <c r="E46" s="57">
        <f t="shared" si="12"/>
        <v>3.297838585</v>
      </c>
      <c r="F46" s="57">
        <f t="shared" si="12"/>
        <v>2.229413102</v>
      </c>
      <c r="G46" s="57">
        <f t="shared" si="12"/>
        <v>2.862132905</v>
      </c>
      <c r="H46" s="57">
        <f t="shared" si="12"/>
        <v>1.986496649</v>
      </c>
      <c r="I46" s="57">
        <f t="shared" si="12"/>
        <v>3.618378357</v>
      </c>
      <c r="J46" s="57">
        <f t="shared" si="12"/>
        <v>1.600620332</v>
      </c>
      <c r="K46" s="57">
        <f t="shared" si="12"/>
        <v>1.284383527</v>
      </c>
      <c r="L46" s="57">
        <f t="shared" si="12"/>
        <v>1.740153664</v>
      </c>
      <c r="M46" s="57">
        <f t="shared" si="12"/>
        <v>2.349664675</v>
      </c>
      <c r="N46" s="57">
        <f t="shared" si="12"/>
        <v>2.778377513</v>
      </c>
    </row>
    <row r="47">
      <c r="A47" s="56"/>
      <c r="B47" s="56"/>
      <c r="C47" s="56"/>
      <c r="D47" s="56"/>
      <c r="E47" s="56"/>
      <c r="F47" s="56"/>
      <c r="G47" s="56"/>
      <c r="H47" s="56"/>
      <c r="I47" s="56"/>
      <c r="J47" s="56"/>
      <c r="K47" s="56"/>
      <c r="L47" s="56"/>
      <c r="M47" s="56"/>
      <c r="N47" s="56"/>
    </row>
    <row r="48">
      <c r="A48" s="353" t="s">
        <v>487</v>
      </c>
      <c r="B48" s="56"/>
      <c r="C48" s="56"/>
      <c r="D48" s="56"/>
      <c r="E48" s="56"/>
      <c r="F48" s="56"/>
      <c r="G48" s="56"/>
      <c r="H48" s="56"/>
      <c r="I48" s="56"/>
      <c r="J48" s="56"/>
      <c r="K48" s="56"/>
      <c r="L48" s="56"/>
      <c r="M48" s="56"/>
      <c r="N48" s="56"/>
    </row>
    <row r="49">
      <c r="A49" s="320" t="s">
        <v>488</v>
      </c>
      <c r="B49" s="489">
        <f t="shared" ref="B49:N49" si="13">B41</f>
        <v>14778.61273</v>
      </c>
      <c r="C49" s="489">
        <f t="shared" si="13"/>
        <v>3422.538648</v>
      </c>
      <c r="D49" s="489">
        <f t="shared" si="13"/>
        <v>1574.447155</v>
      </c>
      <c r="E49" s="489">
        <f t="shared" si="13"/>
        <v>2965.1206</v>
      </c>
      <c r="F49" s="489">
        <f t="shared" si="13"/>
        <v>706.0968182</v>
      </c>
      <c r="G49" s="489">
        <f t="shared" si="13"/>
        <v>2054.094387</v>
      </c>
      <c r="H49" s="489">
        <f t="shared" si="13"/>
        <v>2853.766554</v>
      </c>
      <c r="I49" s="489">
        <f t="shared" si="13"/>
        <v>4678.764565</v>
      </c>
      <c r="J49" s="489">
        <f t="shared" si="13"/>
        <v>1693.71</v>
      </c>
      <c r="K49" s="489">
        <f t="shared" si="13"/>
        <v>4062.745455</v>
      </c>
      <c r="L49" s="489">
        <f t="shared" si="13"/>
        <v>1661.692274</v>
      </c>
      <c r="M49" s="489">
        <f t="shared" si="13"/>
        <v>1581.784851</v>
      </c>
      <c r="N49" s="489">
        <f t="shared" si="13"/>
        <v>2601.912468</v>
      </c>
    </row>
    <row r="50">
      <c r="A50" s="320" t="s">
        <v>489</v>
      </c>
      <c r="B50" s="165">
        <v>26304.75</v>
      </c>
      <c r="C50" s="166">
        <v>4545.10648</v>
      </c>
      <c r="D50" s="166">
        <v>3093.50475</v>
      </c>
      <c r="E50" s="166">
        <v>4606.79408</v>
      </c>
      <c r="F50" s="166">
        <v>2471.06761</v>
      </c>
      <c r="G50" s="166">
        <v>4449.59884</v>
      </c>
      <c r="H50" s="166">
        <v>6892.92499</v>
      </c>
      <c r="I50" s="166">
        <v>6247.24128</v>
      </c>
      <c r="J50" s="165">
        <v>5436.19</v>
      </c>
      <c r="K50" s="165">
        <v>7194.2</v>
      </c>
      <c r="L50" s="165">
        <v>4417.546406</v>
      </c>
      <c r="M50" s="165">
        <v>7026.5058385</v>
      </c>
      <c r="N50" s="165">
        <v>6890.0</v>
      </c>
    </row>
    <row r="51">
      <c r="A51" s="490"/>
      <c r="B51" s="491"/>
      <c r="C51" s="491"/>
      <c r="D51" s="491"/>
      <c r="E51" s="491"/>
      <c r="F51" s="491"/>
      <c r="G51" s="491"/>
      <c r="H51" s="491"/>
      <c r="I51" s="491"/>
      <c r="J51" s="491"/>
      <c r="K51" s="491"/>
      <c r="L51" s="491"/>
      <c r="M51" s="491"/>
      <c r="N51" s="491"/>
    </row>
    <row r="52">
      <c r="A52" s="126" t="s">
        <v>490</v>
      </c>
      <c r="B52" s="226">
        <f t="shared" ref="B52:N52" si="14">B50/B49</f>
        <v>1.779920111</v>
      </c>
      <c r="C52" s="226">
        <f t="shared" si="14"/>
        <v>1.327992741</v>
      </c>
      <c r="D52" s="226">
        <f t="shared" si="14"/>
        <v>1.964819677</v>
      </c>
      <c r="E52" s="226">
        <f t="shared" si="14"/>
        <v>1.553661622</v>
      </c>
      <c r="F52" s="226">
        <f t="shared" si="14"/>
        <v>3.499615841</v>
      </c>
      <c r="G52" s="226">
        <f t="shared" si="14"/>
        <v>2.166209531</v>
      </c>
      <c r="H52" s="226">
        <f t="shared" si="14"/>
        <v>2.415378014</v>
      </c>
      <c r="I52" s="226">
        <f t="shared" si="14"/>
        <v>1.335233093</v>
      </c>
      <c r="J52" s="226">
        <f t="shared" si="14"/>
        <v>3.209634471</v>
      </c>
      <c r="K52" s="226">
        <f t="shared" si="14"/>
        <v>1.770773011</v>
      </c>
      <c r="L52" s="226">
        <f t="shared" si="14"/>
        <v>2.658462385</v>
      </c>
      <c r="M52" s="226">
        <f t="shared" si="14"/>
        <v>4.442137522</v>
      </c>
      <c r="N52" s="226">
        <f t="shared" si="14"/>
        <v>2.648052187</v>
      </c>
    </row>
    <row r="53">
      <c r="A53" s="176"/>
      <c r="B53" s="176"/>
      <c r="C53" s="176"/>
      <c r="D53" s="176"/>
      <c r="E53" s="176"/>
      <c r="F53" s="176"/>
      <c r="G53" s="176"/>
      <c r="H53" s="176"/>
      <c r="I53" s="176"/>
      <c r="J53" s="176"/>
      <c r="K53" s="176"/>
      <c r="L53" s="176"/>
      <c r="M53" s="176"/>
      <c r="N53" s="176"/>
    </row>
    <row r="54">
      <c r="A54" s="492" t="s">
        <v>491</v>
      </c>
      <c r="B54" s="493"/>
      <c r="C54" s="493"/>
      <c r="D54" s="493"/>
      <c r="E54" s="493"/>
      <c r="F54" s="493"/>
      <c r="G54" s="493"/>
      <c r="H54" s="493"/>
      <c r="I54" s="493"/>
      <c r="J54" s="493"/>
      <c r="K54" s="493"/>
      <c r="L54" s="493"/>
      <c r="M54" s="493"/>
      <c r="N54" s="493"/>
    </row>
    <row r="55">
      <c r="A55" s="116" t="s">
        <v>492</v>
      </c>
      <c r="B55" s="127">
        <f>37156.13/100000</f>
        <v>0.3715613</v>
      </c>
      <c r="C55" s="127">
        <v>0.1209773</v>
      </c>
      <c r="D55" s="127">
        <v>0.143233</v>
      </c>
      <c r="E55" s="127">
        <v>0.5335744</v>
      </c>
      <c r="F55" s="127">
        <v>0.1732672</v>
      </c>
      <c r="G55" s="127">
        <v>0.2622715</v>
      </c>
      <c r="H55" s="127">
        <v>0.1928495</v>
      </c>
      <c r="I55" s="127">
        <v>0.4259196</v>
      </c>
      <c r="J55" s="127">
        <f>32680.46/100000</f>
        <v>0.3268046</v>
      </c>
      <c r="K55" s="127">
        <f>10177.86/100000</f>
        <v>0.1017786</v>
      </c>
      <c r="L55" s="127">
        <f>(16049.58/100000)*(1-AMF!$F$93)</f>
        <v>0.07997861253</v>
      </c>
      <c r="M55" s="127">
        <f>35645.52/100000</f>
        <v>0.3564552</v>
      </c>
      <c r="N55" s="127">
        <v>0.3486</v>
      </c>
    </row>
    <row r="56">
      <c r="A56" s="301" t="s">
        <v>493</v>
      </c>
      <c r="B56" s="127">
        <f>38182.93/100000</f>
        <v>0.3818293</v>
      </c>
      <c r="C56" s="127">
        <v>0.1244985</v>
      </c>
      <c r="D56" s="127">
        <v>0.147442</v>
      </c>
      <c r="E56" s="127">
        <v>0.5480915</v>
      </c>
      <c r="F56" s="127">
        <v>0.1781398</v>
      </c>
      <c r="G56" s="127">
        <v>0.2696215</v>
      </c>
      <c r="H56" s="127">
        <v>0.1982939</v>
      </c>
      <c r="I56" s="127">
        <v>0.4376124</v>
      </c>
      <c r="J56" s="127">
        <f>33589.94/100000</f>
        <v>0.3358994</v>
      </c>
      <c r="K56" s="127">
        <f>10467.14/100000</f>
        <v>0.1046714</v>
      </c>
      <c r="L56" s="127">
        <f>(16386.98/100000)*(1-AMF!$F$93)</f>
        <v>0.08165995147</v>
      </c>
      <c r="M56" s="127">
        <f>36627.26/100000</f>
        <v>0.3662726</v>
      </c>
      <c r="N56" s="127">
        <v>0.3486</v>
      </c>
    </row>
    <row r="57">
      <c r="A57" s="116" t="s">
        <v>494</v>
      </c>
      <c r="B57" s="127">
        <f>35590.3/100000</f>
        <v>0.355903</v>
      </c>
      <c r="C57" s="127">
        <v>0.1163456</v>
      </c>
      <c r="D57" s="127">
        <v>0.1376618</v>
      </c>
      <c r="E57" s="127">
        <v>0.5106193</v>
      </c>
      <c r="F57" s="127">
        <v>0.1662221</v>
      </c>
      <c r="G57" s="127">
        <v>0.2514292</v>
      </c>
      <c r="H57" s="127">
        <v>0.1850021</v>
      </c>
      <c r="I57" s="127">
        <v>0.4078003</v>
      </c>
      <c r="J57" s="127">
        <f>31313.64/100000</f>
        <v>0.3131364</v>
      </c>
      <c r="K57" s="127">
        <f>9784.51/100000</f>
        <v>0.0978451</v>
      </c>
      <c r="L57" s="127">
        <f>(15295.06/100000)*(1-AMF!$F$93)</f>
        <v>0.07621867222</v>
      </c>
      <c r="M57" s="127">
        <f>34134.79/100000</f>
        <v>0.3413479</v>
      </c>
      <c r="N57" s="127">
        <v>0.3486</v>
      </c>
    </row>
    <row r="58">
      <c r="A58" s="301" t="s">
        <v>495</v>
      </c>
      <c r="B58" s="127">
        <f>36997.27/100000</f>
        <v>0.3699727</v>
      </c>
      <c r="C58" s="127">
        <v>0.1208521</v>
      </c>
      <c r="D58" s="127">
        <v>0.1430097</v>
      </c>
      <c r="E58" s="127">
        <v>0.5314294</v>
      </c>
      <c r="F58" s="127">
        <v>0.1722131</v>
      </c>
      <c r="G58" s="127">
        <v>0.2608299</v>
      </c>
      <c r="H58" s="127">
        <v>0.1915822</v>
      </c>
      <c r="I58" s="127">
        <v>0.42422</v>
      </c>
      <c r="J58" s="127">
        <f>32517.22/100000</f>
        <v>0.3251722</v>
      </c>
      <c r="K58" s="127">
        <f>10161.84/100000</f>
        <v>0.1016184</v>
      </c>
      <c r="L58" s="127">
        <f>(15807.07/100000)*(1-AMF!$F$93)</f>
        <v>0.07877013148</v>
      </c>
      <c r="M58" s="127">
        <f>35391.63/100000</f>
        <v>0.3539163</v>
      </c>
      <c r="N58" s="127">
        <v>0.3486</v>
      </c>
    </row>
    <row r="59">
      <c r="A59" s="494"/>
    </row>
    <row r="60">
      <c r="A60" s="495" t="s">
        <v>496</v>
      </c>
      <c r="B60" s="161"/>
      <c r="C60" s="161"/>
      <c r="D60" s="161"/>
      <c r="E60" s="161"/>
      <c r="F60" s="161"/>
      <c r="G60" s="161"/>
      <c r="H60" s="161"/>
      <c r="I60" s="161"/>
      <c r="J60" s="161"/>
      <c r="K60" s="161"/>
      <c r="L60" s="161"/>
      <c r="M60" s="161"/>
      <c r="N60" s="161"/>
    </row>
    <row r="61">
      <c r="A61" s="55"/>
      <c r="B61" s="151"/>
      <c r="C61" s="151"/>
      <c r="D61" s="151"/>
      <c r="E61" s="151"/>
      <c r="F61" s="151"/>
      <c r="G61" s="151"/>
      <c r="H61" s="151"/>
      <c r="I61" s="151"/>
      <c r="J61" s="151"/>
      <c r="K61" s="151"/>
      <c r="L61" s="151"/>
      <c r="M61" s="151"/>
      <c r="N61" s="151"/>
    </row>
    <row r="62">
      <c r="A62" s="55" t="s">
        <v>497</v>
      </c>
      <c r="B62" s="496">
        <f t="shared" ref="B62:N62" si="15">B46</f>
        <v>3.849330315</v>
      </c>
      <c r="C62" s="496">
        <f t="shared" si="15"/>
        <v>2.565312451</v>
      </c>
      <c r="D62" s="496">
        <f t="shared" si="15"/>
        <v>1.730607723</v>
      </c>
      <c r="E62" s="496">
        <f t="shared" si="15"/>
        <v>3.297838585</v>
      </c>
      <c r="F62" s="496">
        <f t="shared" si="15"/>
        <v>2.229413102</v>
      </c>
      <c r="G62" s="496">
        <f t="shared" si="15"/>
        <v>2.862132905</v>
      </c>
      <c r="H62" s="496">
        <f t="shared" si="15"/>
        <v>1.986496649</v>
      </c>
      <c r="I62" s="496">
        <f t="shared" si="15"/>
        <v>3.618378357</v>
      </c>
      <c r="J62" s="496">
        <f t="shared" si="15"/>
        <v>1.600620332</v>
      </c>
      <c r="K62" s="496">
        <f t="shared" si="15"/>
        <v>1.284383527</v>
      </c>
      <c r="L62" s="496">
        <f t="shared" si="15"/>
        <v>1.740153664</v>
      </c>
      <c r="M62" s="496">
        <f t="shared" si="15"/>
        <v>2.349664675</v>
      </c>
      <c r="N62" s="496">
        <f t="shared" si="15"/>
        <v>2.778377513</v>
      </c>
    </row>
    <row r="63">
      <c r="A63" s="55" t="s">
        <v>127</v>
      </c>
      <c r="B63" s="497">
        <v>0.75</v>
      </c>
      <c r="C63" s="497">
        <v>0.75</v>
      </c>
      <c r="D63" s="497">
        <v>0.75</v>
      </c>
      <c r="E63" s="497">
        <v>0.75</v>
      </c>
      <c r="F63" s="497">
        <v>0.75</v>
      </c>
      <c r="G63" s="497">
        <v>0.75</v>
      </c>
      <c r="H63" s="497">
        <v>0.75</v>
      </c>
      <c r="I63" s="497">
        <v>0.75</v>
      </c>
      <c r="J63" s="497">
        <v>0.75</v>
      </c>
      <c r="K63" s="497">
        <v>0.75</v>
      </c>
      <c r="L63" s="497">
        <v>0.75</v>
      </c>
      <c r="M63" s="497">
        <v>0.75</v>
      </c>
      <c r="N63" s="497">
        <v>0.75</v>
      </c>
    </row>
    <row r="64">
      <c r="A64" s="498" t="s">
        <v>498</v>
      </c>
      <c r="B64" s="499">
        <f t="shared" ref="B64:N64" si="16">B62*(1+B63)</f>
        <v>6.736328052</v>
      </c>
      <c r="C64" s="499">
        <f t="shared" si="16"/>
        <v>4.489296789</v>
      </c>
      <c r="D64" s="499">
        <f t="shared" si="16"/>
        <v>3.028563516</v>
      </c>
      <c r="E64" s="499">
        <f t="shared" si="16"/>
        <v>5.771217525</v>
      </c>
      <c r="F64" s="499">
        <f t="shared" si="16"/>
        <v>3.901472928</v>
      </c>
      <c r="G64" s="499">
        <f t="shared" si="16"/>
        <v>5.008732584</v>
      </c>
      <c r="H64" s="499">
        <f t="shared" si="16"/>
        <v>3.476369137</v>
      </c>
      <c r="I64" s="499">
        <f t="shared" si="16"/>
        <v>6.332162125</v>
      </c>
      <c r="J64" s="499">
        <f t="shared" si="16"/>
        <v>2.80108558</v>
      </c>
      <c r="K64" s="499">
        <f t="shared" si="16"/>
        <v>2.247671172</v>
      </c>
      <c r="L64" s="499">
        <f t="shared" si="16"/>
        <v>3.045268912</v>
      </c>
      <c r="M64" s="499">
        <f t="shared" si="16"/>
        <v>4.111913182</v>
      </c>
      <c r="N64" s="499">
        <f t="shared" si="16"/>
        <v>4.862160648</v>
      </c>
    </row>
    <row r="65">
      <c r="A65" s="89" t="s">
        <v>499</v>
      </c>
      <c r="B65" s="500">
        <v>0.7</v>
      </c>
      <c r="C65" s="500">
        <v>0.7</v>
      </c>
      <c r="D65" s="500">
        <v>0.7</v>
      </c>
      <c r="E65" s="500">
        <v>0.7</v>
      </c>
      <c r="F65" s="500">
        <v>0.7</v>
      </c>
      <c r="G65" s="500">
        <v>0.7</v>
      </c>
      <c r="H65" s="500">
        <v>0.7</v>
      </c>
      <c r="I65" s="500">
        <v>0.7</v>
      </c>
      <c r="J65" s="500">
        <v>0.7</v>
      </c>
      <c r="K65" s="500">
        <v>0.7</v>
      </c>
      <c r="L65" s="500">
        <v>0.7</v>
      </c>
      <c r="M65" s="500">
        <v>0.7</v>
      </c>
      <c r="N65" s="500">
        <f>average(0.33,0.7)</f>
        <v>0.515</v>
      </c>
    </row>
    <row r="66">
      <c r="A66" s="56" t="s">
        <v>500</v>
      </c>
      <c r="B66" s="499">
        <f t="shared" ref="B66:N66" si="17">B64*B65</f>
        <v>4.715429636</v>
      </c>
      <c r="C66" s="499">
        <f t="shared" si="17"/>
        <v>3.142507753</v>
      </c>
      <c r="D66" s="499">
        <f t="shared" si="17"/>
        <v>2.119994461</v>
      </c>
      <c r="E66" s="499">
        <f t="shared" si="17"/>
        <v>4.039852267</v>
      </c>
      <c r="F66" s="499">
        <f t="shared" si="17"/>
        <v>2.73103105</v>
      </c>
      <c r="G66" s="499">
        <f t="shared" si="17"/>
        <v>3.506112808</v>
      </c>
      <c r="H66" s="499">
        <f t="shared" si="17"/>
        <v>2.433458396</v>
      </c>
      <c r="I66" s="499">
        <f t="shared" si="17"/>
        <v>4.432513488</v>
      </c>
      <c r="J66" s="499">
        <f t="shared" si="17"/>
        <v>1.960759906</v>
      </c>
      <c r="K66" s="499">
        <f t="shared" si="17"/>
        <v>1.57336982</v>
      </c>
      <c r="L66" s="499">
        <f t="shared" si="17"/>
        <v>2.131688238</v>
      </c>
      <c r="M66" s="499">
        <f t="shared" si="17"/>
        <v>2.878339227</v>
      </c>
      <c r="N66" s="499">
        <f t="shared" si="17"/>
        <v>2.504012734</v>
      </c>
    </row>
    <row r="67">
      <c r="A67" s="55" t="s">
        <v>123</v>
      </c>
      <c r="B67" s="124">
        <v>1.0</v>
      </c>
      <c r="C67" s="124">
        <v>1.0</v>
      </c>
      <c r="D67" s="124">
        <v>1.0</v>
      </c>
      <c r="E67" s="124">
        <v>1.0</v>
      </c>
      <c r="F67" s="124">
        <v>1.0</v>
      </c>
      <c r="G67" s="124">
        <v>1.0</v>
      </c>
      <c r="H67" s="124">
        <v>1.0</v>
      </c>
      <c r="I67" s="124">
        <v>1.0</v>
      </c>
      <c r="J67" s="124">
        <v>1.0</v>
      </c>
      <c r="K67" s="124">
        <v>1.0</v>
      </c>
      <c r="L67" s="124">
        <v>1.0</v>
      </c>
      <c r="M67" s="124">
        <v>1.0</v>
      </c>
      <c r="N67" s="124">
        <v>1.0</v>
      </c>
    </row>
    <row r="68">
      <c r="A68" s="55" t="s">
        <v>501</v>
      </c>
      <c r="B68" s="57">
        <f t="shared" ref="B68:N68" si="18">B66*B27*B67</f>
        <v>3.742612917</v>
      </c>
      <c r="C68" s="57">
        <f t="shared" si="18"/>
        <v>2.494192685</v>
      </c>
      <c r="D68" s="57">
        <f t="shared" si="18"/>
        <v>1.682629</v>
      </c>
      <c r="E68" s="57">
        <f t="shared" si="18"/>
        <v>3.206410538</v>
      </c>
      <c r="F68" s="57">
        <f t="shared" si="18"/>
        <v>2.167605684</v>
      </c>
      <c r="G68" s="57">
        <f t="shared" si="18"/>
        <v>2.7827842</v>
      </c>
      <c r="H68" s="57">
        <f t="shared" si="18"/>
        <v>1.931423757</v>
      </c>
      <c r="I68" s="57">
        <f t="shared" si="18"/>
        <v>3.518063785</v>
      </c>
      <c r="J68" s="57">
        <f t="shared" si="18"/>
        <v>1.556245331</v>
      </c>
      <c r="K68" s="57">
        <f t="shared" si="18"/>
        <v>1.248775757</v>
      </c>
      <c r="L68" s="57">
        <f t="shared" si="18"/>
        <v>1.691910293</v>
      </c>
      <c r="M68" s="57">
        <f t="shared" si="18"/>
        <v>2.284523448</v>
      </c>
      <c r="N68" s="57">
        <f t="shared" si="18"/>
        <v>1.324948255</v>
      </c>
    </row>
    <row r="69">
      <c r="A69" s="501" t="s">
        <v>502</v>
      </c>
      <c r="B69" s="502">
        <f t="shared" ref="B69:N69" si="19">B18*B68/1000</f>
        <v>66.3914906</v>
      </c>
      <c r="C69" s="502">
        <f t="shared" si="19"/>
        <v>51.66861569</v>
      </c>
      <c r="D69" s="502">
        <f t="shared" si="19"/>
        <v>34.8566138</v>
      </c>
      <c r="E69" s="502">
        <f t="shared" si="19"/>
        <v>66.42261235</v>
      </c>
      <c r="F69" s="502">
        <f t="shared" si="19"/>
        <v>35.92254463</v>
      </c>
      <c r="G69" s="502">
        <f t="shared" si="19"/>
        <v>46.11756203</v>
      </c>
      <c r="H69" s="502">
        <f t="shared" si="19"/>
        <v>32.0084306</v>
      </c>
      <c r="I69" s="502">
        <f t="shared" si="19"/>
        <v>72.87868606</v>
      </c>
      <c r="J69" s="502">
        <f t="shared" si="19"/>
        <v>29.77171612</v>
      </c>
      <c r="K69" s="502">
        <f t="shared" si="19"/>
        <v>19.28477488</v>
      </c>
      <c r="L69" s="502">
        <f t="shared" si="19"/>
        <v>28.03910482</v>
      </c>
      <c r="M69" s="502">
        <f t="shared" si="19"/>
        <v>37.86015885</v>
      </c>
      <c r="N69" s="502">
        <f t="shared" si="19"/>
        <v>20.46110254</v>
      </c>
    </row>
    <row r="70">
      <c r="A70" s="91" t="s">
        <v>53</v>
      </c>
      <c r="B70" s="413">
        <f t="array" ref="B70">index('Moral weights and discount rate'!$A$1:$ZU$39,match($A70,'Moral weights and discount rate'!$A$1:$A$39,0),match('Moral weights and discount rate'!$A$17,'Moral weights and discount rate'!$A$1:$ZU1,0))</f>
        <v>116.2526158</v>
      </c>
      <c r="C70" s="413">
        <f t="array" ref="C70">index('Moral weights and discount rate'!$A$1:$ZU$39,match($A70,'Moral weights and discount rate'!$A$1:$A$39,0),match('Moral weights and discount rate'!$A$17,'Moral weights and discount rate'!$A$1:$ZU1,0))</f>
        <v>116.2526158</v>
      </c>
      <c r="D70" s="413">
        <f t="array" ref="D70">index('Moral weights and discount rate'!$A$1:$ZU$39,match($A70,'Moral weights and discount rate'!$A$1:$A$39,0),match('Moral weights and discount rate'!$A$17,'Moral weights and discount rate'!$A$1:$ZU1,0))</f>
        <v>116.2526158</v>
      </c>
      <c r="E70" s="413">
        <f t="array" ref="E70">index('Moral weights and discount rate'!$A$1:$ZU$39,match($A70,'Moral weights and discount rate'!$A$1:$A$39,0),match('Moral weights and discount rate'!$A$17,'Moral weights and discount rate'!$A$1:$ZU1,0))</f>
        <v>116.2526158</v>
      </c>
      <c r="F70" s="413">
        <f t="array" ref="F70">index('Moral weights and discount rate'!$A$1:$ZU$39,match($A70,'Moral weights and discount rate'!$A$1:$A$39,0),match('Moral weights and discount rate'!$A$17,'Moral weights and discount rate'!$A$1:$ZU1,0))</f>
        <v>116.2526158</v>
      </c>
      <c r="G70" s="413">
        <f t="array" ref="G70">index('Moral weights and discount rate'!$A$1:$ZU$39,match($A70,'Moral weights and discount rate'!$A$1:$A$39,0),match('Moral weights and discount rate'!$A$17,'Moral weights and discount rate'!$A$1:$ZU1,0))</f>
        <v>116.2526158</v>
      </c>
      <c r="H70" s="413">
        <f t="array" ref="H70">index('Moral weights and discount rate'!$A$1:$ZU$39,match($A70,'Moral weights and discount rate'!$A$1:$A$39,0),match('Moral weights and discount rate'!$A$17,'Moral weights and discount rate'!$A$1:$ZU1,0))</f>
        <v>116.2526158</v>
      </c>
      <c r="I70" s="413">
        <f t="array" ref="I70">index('Moral weights and discount rate'!$A$1:$ZU$39,match($A70,'Moral weights and discount rate'!$A$1:$A$39,0),match('Moral weights and discount rate'!$A$17,'Moral weights and discount rate'!$A$1:$ZU1,0))</f>
        <v>116.2526158</v>
      </c>
      <c r="J70" s="413">
        <f t="array" ref="J70">index('Moral weights and discount rate'!$A$1:$ZU$39,match($A70,'Moral weights and discount rate'!$A$1:$A$39,0),match('Moral weights and discount rate'!$A$17,'Moral weights and discount rate'!$A$1:$ZU1,0))</f>
        <v>116.2526158</v>
      </c>
      <c r="K70" s="413">
        <f t="array" ref="K70">index('Moral weights and discount rate'!$A$1:$ZU$39,match($A70,'Moral weights and discount rate'!$A$1:$A$39,0),match('Moral weights and discount rate'!$A$17,'Moral weights and discount rate'!$A$1:$ZU1,0))</f>
        <v>116.2526158</v>
      </c>
      <c r="L70" s="413">
        <f t="array" ref="L70">index('Moral weights and discount rate'!$A$1:$ZU$39,match($A70,'Moral weights and discount rate'!$A$1:$A$39,0),match('Moral weights and discount rate'!$A$17,'Moral weights and discount rate'!$A$1:$ZU1,0))</f>
        <v>116.2526158</v>
      </c>
      <c r="M70" s="413">
        <f t="array" ref="M70">index('Moral weights and discount rate'!$A$1:$ZU$39,match($A70,'Moral weights and discount rate'!$A$1:$A$39,0),match('Moral weights and discount rate'!$A$17,'Moral weights and discount rate'!$A$1:$ZU1,0))</f>
        <v>116.2526158</v>
      </c>
      <c r="N70" s="413">
        <f t="array" ref="N70">index('Moral weights and discount rate'!$A$1:$ZU$39,match($A70,'Moral weights and discount rate'!$A$1:$A$39,0),match('Moral weights and discount rate'!$A$17,'Moral weights and discount rate'!$A$1:$ZU1,0))</f>
        <v>116.2526158</v>
      </c>
    </row>
    <row r="71">
      <c r="A71" s="84"/>
      <c r="B71" s="84"/>
      <c r="C71" s="84"/>
      <c r="D71" s="84"/>
      <c r="E71" s="84"/>
      <c r="F71" s="84"/>
      <c r="G71" s="84"/>
      <c r="H71" s="84"/>
      <c r="I71" s="84"/>
      <c r="J71" s="84"/>
      <c r="K71" s="84"/>
      <c r="L71" s="84"/>
      <c r="M71" s="84"/>
      <c r="N71" s="84"/>
    </row>
    <row r="72">
      <c r="A72" s="503" t="s">
        <v>503</v>
      </c>
      <c r="B72" s="153">
        <f t="shared" ref="B72:N72" si="20">B69*B70</f>
        <v>7718.184448</v>
      </c>
      <c r="C72" s="153">
        <f t="shared" si="20"/>
        <v>6006.611728</v>
      </c>
      <c r="D72" s="153">
        <f t="shared" si="20"/>
        <v>4052.172531</v>
      </c>
      <c r="E72" s="153">
        <f t="shared" si="20"/>
        <v>7721.802433</v>
      </c>
      <c r="F72" s="153">
        <f t="shared" si="20"/>
        <v>4176.089779</v>
      </c>
      <c r="G72" s="153">
        <f t="shared" si="20"/>
        <v>5361.28722</v>
      </c>
      <c r="H72" s="153">
        <f t="shared" si="20"/>
        <v>3721.063785</v>
      </c>
      <c r="I72" s="153">
        <f t="shared" si="20"/>
        <v>8472.33789</v>
      </c>
      <c r="J72" s="153">
        <f t="shared" si="20"/>
        <v>3461.039876</v>
      </c>
      <c r="K72" s="153">
        <f t="shared" si="20"/>
        <v>2241.905524</v>
      </c>
      <c r="L72" s="153">
        <f t="shared" si="20"/>
        <v>3259.61928</v>
      </c>
      <c r="M72" s="153">
        <f t="shared" si="20"/>
        <v>4401.3425</v>
      </c>
      <c r="N72" s="153">
        <f t="shared" si="20"/>
        <v>2378.656693</v>
      </c>
    </row>
    <row r="73">
      <c r="A73" s="89"/>
      <c r="B73" s="89"/>
      <c r="C73" s="89"/>
      <c r="D73" s="89"/>
      <c r="E73" s="89"/>
      <c r="F73" s="89"/>
      <c r="G73" s="89"/>
      <c r="H73" s="89"/>
      <c r="I73" s="89"/>
      <c r="J73" s="89"/>
      <c r="K73" s="89"/>
      <c r="L73" s="89"/>
      <c r="M73" s="89"/>
      <c r="N73" s="89"/>
    </row>
    <row r="74">
      <c r="A74" s="495" t="s">
        <v>504</v>
      </c>
      <c r="B74" s="182"/>
      <c r="C74" s="182"/>
      <c r="D74" s="182"/>
      <c r="E74" s="182"/>
      <c r="F74" s="182"/>
      <c r="G74" s="182"/>
      <c r="H74" s="182"/>
      <c r="I74" s="182"/>
      <c r="J74" s="182"/>
      <c r="K74" s="182"/>
      <c r="L74" s="182"/>
      <c r="M74" s="182"/>
      <c r="N74" s="182"/>
    </row>
    <row r="75">
      <c r="A75" s="142"/>
      <c r="B75" s="89"/>
      <c r="C75" s="89"/>
      <c r="D75" s="89"/>
      <c r="E75" s="89"/>
      <c r="F75" s="89"/>
      <c r="G75" s="89"/>
      <c r="H75" s="89"/>
      <c r="I75" s="89"/>
      <c r="J75" s="89"/>
      <c r="K75" s="89"/>
      <c r="L75" s="89"/>
      <c r="M75" s="89"/>
      <c r="N75" s="89"/>
    </row>
    <row r="76">
      <c r="A76" s="142" t="s">
        <v>505</v>
      </c>
      <c r="B76" s="127">
        <v>0.6</v>
      </c>
      <c r="C76" s="127">
        <v>0.6</v>
      </c>
      <c r="D76" s="127">
        <v>0.6</v>
      </c>
      <c r="E76" s="127">
        <v>0.6</v>
      </c>
      <c r="F76" s="127">
        <v>0.6</v>
      </c>
      <c r="G76" s="127">
        <v>0.6</v>
      </c>
      <c r="H76" s="127">
        <v>0.6</v>
      </c>
      <c r="I76" s="127">
        <v>0.6</v>
      </c>
      <c r="J76" s="127">
        <v>0.6</v>
      </c>
      <c r="K76" s="127">
        <v>0.6</v>
      </c>
      <c r="L76" s="127">
        <v>0.6</v>
      </c>
      <c r="M76" s="127">
        <v>0.6</v>
      </c>
      <c r="N76" s="127">
        <v>0.6</v>
      </c>
    </row>
    <row r="77">
      <c r="A77" s="142" t="s">
        <v>506</v>
      </c>
      <c r="B77" s="127">
        <v>0.26</v>
      </c>
      <c r="C77" s="127">
        <v>0.26</v>
      </c>
      <c r="D77" s="127">
        <v>0.26</v>
      </c>
      <c r="E77" s="127">
        <v>0.26</v>
      </c>
      <c r="F77" s="127">
        <v>0.26</v>
      </c>
      <c r="G77" s="127">
        <v>0.26</v>
      </c>
      <c r="H77" s="127">
        <v>0.26</v>
      </c>
      <c r="I77" s="127">
        <v>0.26</v>
      </c>
      <c r="J77" s="127">
        <v>0.26</v>
      </c>
      <c r="K77" s="127">
        <v>0.26</v>
      </c>
      <c r="L77" s="127">
        <v>0.26</v>
      </c>
      <c r="M77" s="127">
        <v>0.26</v>
      </c>
      <c r="N77" s="127">
        <v>0.26</v>
      </c>
    </row>
    <row r="78">
      <c r="A78" s="142" t="s">
        <v>507</v>
      </c>
      <c r="B78" s="124">
        <f t="shared" ref="B78:N78" si="21">B77/B76</f>
        <v>0.4333333333</v>
      </c>
      <c r="C78" s="124">
        <f t="shared" si="21"/>
        <v>0.4333333333</v>
      </c>
      <c r="D78" s="124">
        <f t="shared" si="21"/>
        <v>0.4333333333</v>
      </c>
      <c r="E78" s="124">
        <f t="shared" si="21"/>
        <v>0.4333333333</v>
      </c>
      <c r="F78" s="124">
        <f t="shared" si="21"/>
        <v>0.4333333333</v>
      </c>
      <c r="G78" s="124">
        <f t="shared" si="21"/>
        <v>0.4333333333</v>
      </c>
      <c r="H78" s="124">
        <f t="shared" si="21"/>
        <v>0.4333333333</v>
      </c>
      <c r="I78" s="124">
        <f t="shared" si="21"/>
        <v>0.4333333333</v>
      </c>
      <c r="J78" s="124">
        <f t="shared" si="21"/>
        <v>0.4333333333</v>
      </c>
      <c r="K78" s="124">
        <f t="shared" si="21"/>
        <v>0.4333333333</v>
      </c>
      <c r="L78" s="124">
        <f t="shared" si="21"/>
        <v>0.4333333333</v>
      </c>
      <c r="M78" s="124">
        <f t="shared" si="21"/>
        <v>0.4333333333</v>
      </c>
      <c r="N78" s="124">
        <f t="shared" si="21"/>
        <v>0.4333333333</v>
      </c>
    </row>
    <row r="79">
      <c r="A79" s="142" t="s">
        <v>508</v>
      </c>
      <c r="B79" s="504">
        <f t="shared" ref="B79:N79" si="22">B52</f>
        <v>1.779920111</v>
      </c>
      <c r="C79" s="504">
        <f t="shared" si="22"/>
        <v>1.327992741</v>
      </c>
      <c r="D79" s="504">
        <f t="shared" si="22"/>
        <v>1.964819677</v>
      </c>
      <c r="E79" s="504">
        <f t="shared" si="22"/>
        <v>1.553661622</v>
      </c>
      <c r="F79" s="504">
        <f t="shared" si="22"/>
        <v>3.499615841</v>
      </c>
      <c r="G79" s="504">
        <f t="shared" si="22"/>
        <v>2.166209531</v>
      </c>
      <c r="H79" s="504">
        <f t="shared" si="22"/>
        <v>2.415378014</v>
      </c>
      <c r="I79" s="504">
        <f t="shared" si="22"/>
        <v>1.335233093</v>
      </c>
      <c r="J79" s="504">
        <f t="shared" si="22"/>
        <v>3.209634471</v>
      </c>
      <c r="K79" s="504">
        <f t="shared" si="22"/>
        <v>1.770773011</v>
      </c>
      <c r="L79" s="504">
        <f t="shared" si="22"/>
        <v>2.658462385</v>
      </c>
      <c r="M79" s="504">
        <f t="shared" si="22"/>
        <v>4.442137522</v>
      </c>
      <c r="N79" s="504">
        <f t="shared" si="22"/>
        <v>2.648052187</v>
      </c>
    </row>
    <row r="80">
      <c r="A80" s="89" t="s">
        <v>509</v>
      </c>
      <c r="B80" s="57">
        <f t="shared" ref="B80:N80" si="23">B68*B78*(B79-1)</f>
        <v>1.264873601</v>
      </c>
      <c r="C80" s="57">
        <f t="shared" si="23"/>
        <v>0.3545000745</v>
      </c>
      <c r="D80" s="57">
        <f t="shared" si="23"/>
        <v>0.7034878799</v>
      </c>
      <c r="E80" s="57">
        <f t="shared" si="23"/>
        <v>0.7692821321</v>
      </c>
      <c r="F80" s="57">
        <f t="shared" si="23"/>
        <v>2.347878652</v>
      </c>
      <c r="G80" s="57">
        <f t="shared" si="23"/>
        <v>1.406300765</v>
      </c>
      <c r="H80" s="57">
        <f t="shared" si="23"/>
        <v>1.184601046</v>
      </c>
      <c r="I80" s="57">
        <f t="shared" si="23"/>
        <v>0.5110609411</v>
      </c>
      <c r="J80" s="57">
        <f t="shared" si="23"/>
        <v>1.490117775</v>
      </c>
      <c r="K80" s="57">
        <f t="shared" si="23"/>
        <v>0.4170931483</v>
      </c>
      <c r="L80" s="57">
        <f t="shared" si="23"/>
        <v>1.215920151</v>
      </c>
      <c r="M80" s="57">
        <f t="shared" si="23"/>
        <v>3.407579015</v>
      </c>
      <c r="N80" s="57">
        <f t="shared" si="23"/>
        <v>0.9462196767</v>
      </c>
    </row>
    <row r="81">
      <c r="A81" s="162" t="s">
        <v>510</v>
      </c>
      <c r="B81" s="57">
        <f t="shared" ref="B81:N81" si="24">B18*B80/1000</f>
        <v>22.43802543</v>
      </c>
      <c r="C81" s="57">
        <f t="shared" si="24"/>
        <v>7.343670046</v>
      </c>
      <c r="D81" s="57">
        <f t="shared" si="24"/>
        <v>14.57315031</v>
      </c>
      <c r="E81" s="57">
        <f t="shared" si="24"/>
        <v>15.93611555</v>
      </c>
      <c r="F81" s="57">
        <f t="shared" si="24"/>
        <v>38.91011003</v>
      </c>
      <c r="G81" s="57">
        <f t="shared" si="24"/>
        <v>23.30585418</v>
      </c>
      <c r="H81" s="57">
        <f t="shared" si="24"/>
        <v>19.63174587</v>
      </c>
      <c r="I81" s="57">
        <f t="shared" si="24"/>
        <v>10.58691717</v>
      </c>
      <c r="J81" s="57">
        <f t="shared" si="24"/>
        <v>28.50666442</v>
      </c>
      <c r="K81" s="57">
        <f t="shared" si="24"/>
        <v>6.441146396</v>
      </c>
      <c r="L81" s="57">
        <f t="shared" si="24"/>
        <v>20.15078028</v>
      </c>
      <c r="M81" s="57">
        <f t="shared" si="24"/>
        <v>56.47194513</v>
      </c>
      <c r="N81" s="57">
        <f t="shared" si="24"/>
        <v>14.61241808</v>
      </c>
    </row>
    <row r="82">
      <c r="A82" s="126" t="s">
        <v>511</v>
      </c>
      <c r="B82" s="127">
        <v>0.31</v>
      </c>
      <c r="C82" s="127">
        <v>0.31</v>
      </c>
      <c r="D82" s="127">
        <v>0.31</v>
      </c>
      <c r="E82" s="127">
        <v>0.31</v>
      </c>
      <c r="F82" s="127">
        <v>0.31</v>
      </c>
      <c r="G82" s="127">
        <v>0.31</v>
      </c>
      <c r="H82" s="127">
        <v>0.31</v>
      </c>
      <c r="I82" s="127">
        <v>0.31</v>
      </c>
      <c r="J82" s="127">
        <v>0.31</v>
      </c>
      <c r="K82" s="127">
        <v>0.31</v>
      </c>
      <c r="L82" s="127">
        <v>0.31</v>
      </c>
      <c r="M82" s="127">
        <v>0.31</v>
      </c>
      <c r="N82" s="127">
        <v>0.31</v>
      </c>
    </row>
    <row r="83">
      <c r="A83" s="501" t="s">
        <v>512</v>
      </c>
      <c r="B83" s="502">
        <f t="shared" ref="B83:N83" si="25">B81*B82</f>
        <v>6.955787884</v>
      </c>
      <c r="C83" s="502">
        <f t="shared" si="25"/>
        <v>2.276537714</v>
      </c>
      <c r="D83" s="502">
        <f t="shared" si="25"/>
        <v>4.517676596</v>
      </c>
      <c r="E83" s="502">
        <f t="shared" si="25"/>
        <v>4.940195821</v>
      </c>
      <c r="F83" s="502">
        <f t="shared" si="25"/>
        <v>12.06213411</v>
      </c>
      <c r="G83" s="502">
        <f t="shared" si="25"/>
        <v>7.224814794</v>
      </c>
      <c r="H83" s="502">
        <f t="shared" si="25"/>
        <v>6.085841219</v>
      </c>
      <c r="I83" s="502">
        <f t="shared" si="25"/>
        <v>3.281944322</v>
      </c>
      <c r="J83" s="502">
        <f t="shared" si="25"/>
        <v>8.837065971</v>
      </c>
      <c r="K83" s="502">
        <f t="shared" si="25"/>
        <v>1.996755383</v>
      </c>
      <c r="L83" s="502">
        <f t="shared" si="25"/>
        <v>6.246741887</v>
      </c>
      <c r="M83" s="502">
        <f t="shared" si="25"/>
        <v>17.50630299</v>
      </c>
      <c r="N83" s="502">
        <f t="shared" si="25"/>
        <v>4.529849604</v>
      </c>
    </row>
    <row r="84">
      <c r="A84" s="505" t="s">
        <v>55</v>
      </c>
      <c r="B84" s="506">
        <f t="array" ref="B84">index('Moral weights and discount rate'!$A$1:$ZU$39,match($A84,'Moral weights and discount rate'!$A$1:$A$39,0),match('Moral weights and discount rate'!$A$17,'Moral weights and discount rate'!$A$1:$ZU1,0))</f>
        <v>73.19140463</v>
      </c>
      <c r="C84" s="506">
        <f t="array" ref="C84">index('Moral weights and discount rate'!$A$1:$ZU$39,match($A84,'Moral weights and discount rate'!$A$1:$A$39,0),match('Moral weights and discount rate'!$A$17,'Moral weights and discount rate'!$A$1:$ZU1,0))</f>
        <v>73.19140463</v>
      </c>
      <c r="D84" s="506">
        <f t="array" ref="D84">index('Moral weights and discount rate'!$A$1:$ZU$39,match($A84,'Moral weights and discount rate'!$A$1:$A$39,0),match('Moral weights and discount rate'!$A$17,'Moral weights and discount rate'!$A$1:$ZU1,0))</f>
        <v>73.19140463</v>
      </c>
      <c r="E84" s="506">
        <f t="array" ref="E84">index('Moral weights and discount rate'!$A$1:$ZU$39,match($A84,'Moral weights and discount rate'!$A$1:$A$39,0),match('Moral weights and discount rate'!$A$17,'Moral weights and discount rate'!$A$1:$ZU1,0))</f>
        <v>73.19140463</v>
      </c>
      <c r="F84" s="506">
        <f t="array" ref="F84">index('Moral weights and discount rate'!$A$1:$ZU$39,match($A84,'Moral weights and discount rate'!$A$1:$A$39,0),match('Moral weights and discount rate'!$A$17,'Moral weights and discount rate'!$A$1:$ZU1,0))</f>
        <v>73.19140463</v>
      </c>
      <c r="G84" s="506">
        <f t="array" ref="G84">index('Moral weights and discount rate'!$A$1:$ZU$39,match($A84,'Moral weights and discount rate'!$A$1:$A$39,0),match('Moral weights and discount rate'!$A$17,'Moral weights and discount rate'!$A$1:$ZU1,0))</f>
        <v>73.19140463</v>
      </c>
      <c r="H84" s="506">
        <f t="array" ref="H84">index('Moral weights and discount rate'!$A$1:$ZU$39,match($A84,'Moral weights and discount rate'!$A$1:$A$39,0),match('Moral weights and discount rate'!$A$17,'Moral weights and discount rate'!$A$1:$ZU1,0))</f>
        <v>73.19140463</v>
      </c>
      <c r="I84" s="506">
        <f t="array" ref="I84">index('Moral weights and discount rate'!$A$1:$ZU$39,match($A84,'Moral weights and discount rate'!$A$1:$A$39,0),match('Moral weights and discount rate'!$A$17,'Moral weights and discount rate'!$A$1:$ZU1,0))</f>
        <v>73.19140463</v>
      </c>
      <c r="J84" s="506">
        <f t="array" ref="J84">index('Moral weights and discount rate'!$A$1:$ZU$39,match($A84,'Moral weights and discount rate'!$A$1:$A$39,0),match('Moral weights and discount rate'!$A$17,'Moral weights and discount rate'!$A$1:$ZU1,0))</f>
        <v>73.19140463</v>
      </c>
      <c r="K84" s="506">
        <f t="array" ref="K84">index('Moral weights and discount rate'!$A$1:$ZU$39,match($A84,'Moral weights and discount rate'!$A$1:$A$39,0),match('Moral weights and discount rate'!$A$17,'Moral weights and discount rate'!$A$1:$ZU1,0))</f>
        <v>73.19140463</v>
      </c>
      <c r="L84" s="506">
        <f t="array" ref="L84">index('Moral weights and discount rate'!$A$1:$ZU$39,match($A84,'Moral weights and discount rate'!$A$1:$A$39,0),match('Moral weights and discount rate'!$A$17,'Moral weights and discount rate'!$A$1:$ZU1,0))</f>
        <v>73.19140463</v>
      </c>
      <c r="M84" s="506">
        <f t="array" ref="M84">index('Moral weights and discount rate'!$A$1:$ZU$39,match($A84,'Moral weights and discount rate'!$A$1:$A$39,0),match('Moral weights and discount rate'!$A$17,'Moral weights and discount rate'!$A$1:$ZU1,0))</f>
        <v>73.19140463</v>
      </c>
      <c r="N84" s="506">
        <f t="array" ref="N84">index('Moral weights and discount rate'!$A$1:$ZU$39,match($A84,'Moral weights and discount rate'!$A$1:$A$39,0),match('Moral weights and discount rate'!$A$17,'Moral weights and discount rate'!$A$1:$ZU1,0))</f>
        <v>73.19140463</v>
      </c>
    </row>
    <row r="85">
      <c r="A85" s="507"/>
      <c r="B85" s="89"/>
      <c r="C85" s="89"/>
      <c r="D85" s="89"/>
      <c r="E85" s="89"/>
      <c r="F85" s="89"/>
      <c r="G85" s="89"/>
      <c r="H85" s="89"/>
      <c r="I85" s="89"/>
      <c r="J85" s="89"/>
      <c r="K85" s="89"/>
      <c r="L85" s="89"/>
      <c r="M85" s="89"/>
      <c r="N85" s="89"/>
    </row>
    <row r="86">
      <c r="A86" s="508" t="s">
        <v>513</v>
      </c>
      <c r="B86" s="153">
        <f t="shared" ref="B86:N86" si="26">B83*B84</f>
        <v>509.1038855</v>
      </c>
      <c r="C86" s="153">
        <f t="shared" si="26"/>
        <v>166.622993</v>
      </c>
      <c r="D86" s="153">
        <f t="shared" si="26"/>
        <v>330.6550957</v>
      </c>
      <c r="E86" s="153">
        <f t="shared" si="26"/>
        <v>361.5798712</v>
      </c>
      <c r="F86" s="153">
        <f t="shared" si="26"/>
        <v>882.8445382</v>
      </c>
      <c r="G86" s="153">
        <f t="shared" si="26"/>
        <v>528.794343</v>
      </c>
      <c r="H86" s="153">
        <f t="shared" si="26"/>
        <v>445.4312672</v>
      </c>
      <c r="I86" s="153">
        <f t="shared" si="26"/>
        <v>240.2101148</v>
      </c>
      <c r="J86" s="153">
        <f t="shared" si="26"/>
        <v>646.7972711</v>
      </c>
      <c r="K86" s="153">
        <f t="shared" si="26"/>
        <v>146.1453311</v>
      </c>
      <c r="L86" s="153">
        <f t="shared" si="26"/>
        <v>457.207813</v>
      </c>
      <c r="M86" s="153">
        <f t="shared" si="26"/>
        <v>1281.310906</v>
      </c>
      <c r="N86" s="153">
        <f t="shared" si="26"/>
        <v>331.5460553</v>
      </c>
    </row>
    <row r="87">
      <c r="A87" s="509"/>
    </row>
    <row r="88">
      <c r="A88" s="510" t="s">
        <v>514</v>
      </c>
      <c r="B88" s="397"/>
      <c r="C88" s="397"/>
      <c r="D88" s="397"/>
      <c r="E88" s="397"/>
      <c r="F88" s="397"/>
      <c r="G88" s="397"/>
      <c r="H88" s="397"/>
      <c r="I88" s="397"/>
      <c r="J88" s="397"/>
      <c r="K88" s="397"/>
      <c r="L88" s="397"/>
      <c r="M88" s="397"/>
      <c r="N88" s="397"/>
    </row>
    <row r="89">
      <c r="A89" s="183" t="s">
        <v>515</v>
      </c>
      <c r="B89" s="511">
        <f t="shared" ref="B89:N89" si="27">B83+B69</f>
        <v>73.34727848</v>
      </c>
      <c r="C89" s="511">
        <f t="shared" si="27"/>
        <v>53.94515341</v>
      </c>
      <c r="D89" s="511">
        <f t="shared" si="27"/>
        <v>39.37429039</v>
      </c>
      <c r="E89" s="511">
        <f t="shared" si="27"/>
        <v>71.36280817</v>
      </c>
      <c r="F89" s="511">
        <f t="shared" si="27"/>
        <v>47.98467874</v>
      </c>
      <c r="G89" s="511">
        <f t="shared" si="27"/>
        <v>53.34237683</v>
      </c>
      <c r="H89" s="511">
        <f t="shared" si="27"/>
        <v>38.09427182</v>
      </c>
      <c r="I89" s="511">
        <f t="shared" si="27"/>
        <v>76.16063038</v>
      </c>
      <c r="J89" s="511">
        <f t="shared" si="27"/>
        <v>38.60878209</v>
      </c>
      <c r="K89" s="511">
        <f t="shared" si="27"/>
        <v>21.28153026</v>
      </c>
      <c r="L89" s="511">
        <f t="shared" si="27"/>
        <v>34.28584671</v>
      </c>
      <c r="M89" s="511">
        <f t="shared" si="27"/>
        <v>55.36646184</v>
      </c>
      <c r="N89" s="511">
        <f t="shared" si="27"/>
        <v>24.99095215</v>
      </c>
    </row>
    <row r="90">
      <c r="A90" s="395"/>
      <c r="B90" s="291"/>
      <c r="C90" s="291"/>
      <c r="D90" s="291"/>
      <c r="E90" s="291"/>
      <c r="F90" s="291"/>
      <c r="G90" s="291"/>
      <c r="H90" s="291"/>
      <c r="I90" s="291"/>
      <c r="J90" s="291"/>
      <c r="K90" s="291"/>
      <c r="L90" s="291"/>
      <c r="M90" s="291"/>
      <c r="N90" s="291"/>
    </row>
    <row r="91">
      <c r="A91" s="160" t="s">
        <v>162</v>
      </c>
      <c r="B91" s="512"/>
      <c r="C91" s="397"/>
      <c r="D91" s="397"/>
      <c r="E91" s="397"/>
      <c r="F91" s="397"/>
      <c r="G91" s="397"/>
      <c r="H91" s="397"/>
      <c r="I91" s="397"/>
      <c r="J91" s="397"/>
      <c r="K91" s="397"/>
      <c r="L91" s="397"/>
      <c r="M91" s="397"/>
      <c r="N91" s="397"/>
    </row>
    <row r="92">
      <c r="A92" s="301"/>
      <c r="B92" s="124"/>
      <c r="C92" s="124"/>
      <c r="D92" s="124"/>
      <c r="E92" s="124"/>
      <c r="F92" s="124"/>
      <c r="G92" s="124"/>
      <c r="H92" s="124"/>
      <c r="I92" s="124"/>
      <c r="J92" s="124"/>
      <c r="K92" s="124"/>
      <c r="L92" s="124"/>
      <c r="M92" s="124"/>
      <c r="N92" s="124"/>
    </row>
    <row r="93">
      <c r="A93" s="301" t="s">
        <v>492</v>
      </c>
      <c r="B93" s="504">
        <f t="shared" ref="B93:N93" si="28">B55</f>
        <v>0.3715613</v>
      </c>
      <c r="C93" s="504">
        <f t="shared" si="28"/>
        <v>0.1209773</v>
      </c>
      <c r="D93" s="504">
        <f t="shared" si="28"/>
        <v>0.143233</v>
      </c>
      <c r="E93" s="504">
        <f t="shared" si="28"/>
        <v>0.5335744</v>
      </c>
      <c r="F93" s="504">
        <f t="shared" si="28"/>
        <v>0.1732672</v>
      </c>
      <c r="G93" s="504">
        <f t="shared" si="28"/>
        <v>0.2622715</v>
      </c>
      <c r="H93" s="504">
        <f t="shared" si="28"/>
        <v>0.1928495</v>
      </c>
      <c r="I93" s="504">
        <f t="shared" si="28"/>
        <v>0.4259196</v>
      </c>
      <c r="J93" s="504">
        <f t="shared" si="28"/>
        <v>0.3268046</v>
      </c>
      <c r="K93" s="504">
        <f t="shared" si="28"/>
        <v>0.1017786</v>
      </c>
      <c r="L93" s="504">
        <f t="shared" si="28"/>
        <v>0.07997861253</v>
      </c>
      <c r="M93" s="504">
        <f t="shared" si="28"/>
        <v>0.3564552</v>
      </c>
      <c r="N93" s="504">
        <f t="shared" si="28"/>
        <v>0.3486</v>
      </c>
    </row>
    <row r="94">
      <c r="A94" s="513" t="s">
        <v>495</v>
      </c>
      <c r="B94" s="504">
        <f t="shared" ref="B94:N94" si="29">B58</f>
        <v>0.3699727</v>
      </c>
      <c r="C94" s="504">
        <f t="shared" si="29"/>
        <v>0.1208521</v>
      </c>
      <c r="D94" s="504">
        <f t="shared" si="29"/>
        <v>0.1430097</v>
      </c>
      <c r="E94" s="504">
        <f t="shared" si="29"/>
        <v>0.5314294</v>
      </c>
      <c r="F94" s="504">
        <f t="shared" si="29"/>
        <v>0.1722131</v>
      </c>
      <c r="G94" s="504">
        <f t="shared" si="29"/>
        <v>0.2608299</v>
      </c>
      <c r="H94" s="504">
        <f t="shared" si="29"/>
        <v>0.1915822</v>
      </c>
      <c r="I94" s="504">
        <f t="shared" si="29"/>
        <v>0.42422</v>
      </c>
      <c r="J94" s="504">
        <f t="shared" si="29"/>
        <v>0.3251722</v>
      </c>
      <c r="K94" s="504">
        <f t="shared" si="29"/>
        <v>0.1016184</v>
      </c>
      <c r="L94" s="504">
        <f t="shared" si="29"/>
        <v>0.07877013148</v>
      </c>
      <c r="M94" s="504">
        <f t="shared" si="29"/>
        <v>0.3539163</v>
      </c>
      <c r="N94" s="504">
        <f t="shared" si="29"/>
        <v>0.3486</v>
      </c>
    </row>
    <row r="95">
      <c r="A95" s="195" t="s">
        <v>516</v>
      </c>
      <c r="B95" s="124">
        <f t="shared" ref="B95:N95" si="30">B93*B67*(B23/B26)*B65</f>
        <v>0.2172994124</v>
      </c>
      <c r="C95" s="124">
        <f t="shared" si="30"/>
        <v>0.07075089952</v>
      </c>
      <c r="D95" s="124">
        <f t="shared" si="30"/>
        <v>0.08376665367</v>
      </c>
      <c r="E95" s="124">
        <f t="shared" si="30"/>
        <v>0.3120491924</v>
      </c>
      <c r="F95" s="124">
        <f t="shared" si="30"/>
        <v>0.1013314916</v>
      </c>
      <c r="G95" s="124">
        <f t="shared" si="30"/>
        <v>0.1533836889</v>
      </c>
      <c r="H95" s="124">
        <f t="shared" si="30"/>
        <v>0.1127837668</v>
      </c>
      <c r="I95" s="124">
        <f t="shared" si="30"/>
        <v>0.2490896625</v>
      </c>
      <c r="J95" s="124">
        <f t="shared" si="30"/>
        <v>0.1911244458</v>
      </c>
      <c r="K95" s="124">
        <f t="shared" si="30"/>
        <v>0.05952296424</v>
      </c>
      <c r="L95" s="124">
        <f t="shared" si="30"/>
        <v>0.04677372349</v>
      </c>
      <c r="M95" s="124">
        <f t="shared" si="30"/>
        <v>0.2084649437</v>
      </c>
      <c r="N95" s="124">
        <f t="shared" si="30"/>
        <v>0.09999387323</v>
      </c>
    </row>
    <row r="96">
      <c r="A96" s="195" t="s">
        <v>517</v>
      </c>
      <c r="B96" s="124">
        <f t="shared" ref="B96:N96" si="31">B94*((B23/B26)*B78*B82)*B65</f>
        <v>0.02906575099</v>
      </c>
      <c r="C96" s="124">
        <f t="shared" si="31"/>
        <v>0.009494368222</v>
      </c>
      <c r="D96" s="124">
        <f t="shared" si="31"/>
        <v>0.01123511094</v>
      </c>
      <c r="E96" s="124">
        <f t="shared" si="31"/>
        <v>0.04175009294</v>
      </c>
      <c r="F96" s="124">
        <f t="shared" si="31"/>
        <v>0.01352938496</v>
      </c>
      <c r="G96" s="124">
        <f t="shared" si="31"/>
        <v>0.0204912874</v>
      </c>
      <c r="H96" s="124">
        <f t="shared" si="31"/>
        <v>0.01505105788</v>
      </c>
      <c r="I96" s="124">
        <f t="shared" si="31"/>
        <v>0.03332752089</v>
      </c>
      <c r="J96" s="124">
        <f t="shared" si="31"/>
        <v>0.02554613947</v>
      </c>
      <c r="K96" s="124">
        <f t="shared" si="31"/>
        <v>0.007983332583</v>
      </c>
      <c r="L96" s="124">
        <f t="shared" si="31"/>
        <v>0.006188329645</v>
      </c>
      <c r="M96" s="124">
        <f t="shared" si="31"/>
        <v>0.02780433002</v>
      </c>
      <c r="N96" s="124">
        <f t="shared" si="31"/>
        <v>0.0134325103</v>
      </c>
    </row>
    <row r="97">
      <c r="A97" s="195" t="s">
        <v>518</v>
      </c>
      <c r="B97" s="165">
        <v>3159819.73355802</v>
      </c>
      <c r="C97" s="165">
        <v>2.64010714001734E7</v>
      </c>
      <c r="D97" s="165">
        <v>2.64010714001734E7</v>
      </c>
      <c r="E97" s="165">
        <v>2.64010714001734E7</v>
      </c>
      <c r="F97" s="165">
        <v>2.64010714001734E7</v>
      </c>
      <c r="G97" s="165">
        <v>2.64010714001734E7</v>
      </c>
      <c r="H97" s="165">
        <v>2.64010714001734E7</v>
      </c>
      <c r="I97" s="165">
        <v>2.64010714001734E7</v>
      </c>
      <c r="J97" s="165">
        <v>887125.43266835</v>
      </c>
      <c r="K97" s="165">
        <v>2593740.17806562</v>
      </c>
      <c r="L97" s="165">
        <v>2.64010714001734E7</v>
      </c>
      <c r="M97" s="165">
        <v>2.64010714001734E7</v>
      </c>
      <c r="N97" s="165">
        <v>4037237.42505163</v>
      </c>
    </row>
    <row r="98">
      <c r="A98" s="195" t="s">
        <v>519</v>
      </c>
      <c r="B98" s="165">
        <v>6348445.62210174</v>
      </c>
      <c r="C98" s="165">
        <v>6.02264365254272E7</v>
      </c>
      <c r="D98" s="165">
        <v>6.02264365254272E7</v>
      </c>
      <c r="E98" s="165">
        <v>6.02264365254272E7</v>
      </c>
      <c r="F98" s="165">
        <v>6.02264365254272E7</v>
      </c>
      <c r="G98" s="165">
        <v>6.02264365254272E7</v>
      </c>
      <c r="H98" s="165">
        <v>6.02264365254272E7</v>
      </c>
      <c r="I98" s="165">
        <v>6.02264365254272E7</v>
      </c>
      <c r="J98" s="165">
        <v>2032780.78744869</v>
      </c>
      <c r="K98" s="165">
        <v>4977421.00157526</v>
      </c>
      <c r="L98" s="165">
        <v>6.02264365254272E7</v>
      </c>
      <c r="M98" s="165">
        <v>6.02264365254272E7</v>
      </c>
      <c r="N98" s="165">
        <v>8658112.54381075</v>
      </c>
    </row>
    <row r="99">
      <c r="A99" s="195" t="s">
        <v>520</v>
      </c>
      <c r="B99" s="118">
        <f t="shared" ref="B99:N99" si="32">(B98/B97)*B18</f>
        <v>35640.40284</v>
      </c>
      <c r="C99" s="118">
        <f t="shared" si="32"/>
        <v>47256.59661</v>
      </c>
      <c r="D99" s="118">
        <f t="shared" si="32"/>
        <v>47256.59661</v>
      </c>
      <c r="E99" s="118">
        <f t="shared" si="32"/>
        <v>47256.59661</v>
      </c>
      <c r="F99" s="118">
        <f t="shared" si="32"/>
        <v>37805.27729</v>
      </c>
      <c r="G99" s="118">
        <f t="shared" si="32"/>
        <v>37805.27729</v>
      </c>
      <c r="H99" s="118">
        <f t="shared" si="32"/>
        <v>37805.27729</v>
      </c>
      <c r="I99" s="118">
        <f t="shared" si="32"/>
        <v>47256.59661</v>
      </c>
      <c r="J99" s="118">
        <f t="shared" si="32"/>
        <v>43836.04108</v>
      </c>
      <c r="K99" s="118">
        <f t="shared" si="32"/>
        <v>29635.2108</v>
      </c>
      <c r="L99" s="118">
        <f t="shared" si="32"/>
        <v>37805.27729</v>
      </c>
      <c r="M99" s="118">
        <f t="shared" si="32"/>
        <v>37805.27729</v>
      </c>
      <c r="N99" s="118">
        <f t="shared" si="32"/>
        <v>33118.37739</v>
      </c>
    </row>
    <row r="100">
      <c r="A100" s="183" t="s">
        <v>164</v>
      </c>
      <c r="B100" s="198">
        <f t="shared" ref="B100:N100" si="33">B95*B18</f>
        <v>3854.748598</v>
      </c>
      <c r="C100" s="118">
        <f t="shared" si="33"/>
        <v>1465.644999</v>
      </c>
      <c r="D100" s="118">
        <f t="shared" si="33"/>
        <v>1735.273727</v>
      </c>
      <c r="E100" s="118">
        <f t="shared" si="33"/>
        <v>6464.275953</v>
      </c>
      <c r="F100" s="118">
        <f t="shared" si="33"/>
        <v>1679.311443</v>
      </c>
      <c r="G100" s="118">
        <f t="shared" si="33"/>
        <v>2541.944067</v>
      </c>
      <c r="H100" s="118">
        <f t="shared" si="33"/>
        <v>1869.103743</v>
      </c>
      <c r="I100" s="118">
        <f t="shared" si="33"/>
        <v>5160.033592</v>
      </c>
      <c r="J100" s="118">
        <f t="shared" si="33"/>
        <v>3656.30189</v>
      </c>
      <c r="K100" s="118">
        <f t="shared" si="33"/>
        <v>919.2098412</v>
      </c>
      <c r="L100" s="118">
        <f t="shared" si="33"/>
        <v>775.1553623</v>
      </c>
      <c r="M100" s="118">
        <f t="shared" si="33"/>
        <v>3454.775608</v>
      </c>
      <c r="N100" s="118">
        <f t="shared" si="33"/>
        <v>1544.199848</v>
      </c>
    </row>
    <row r="101">
      <c r="A101" s="183" t="s">
        <v>165</v>
      </c>
      <c r="B101" s="118">
        <f t="shared" ref="B101:N101" si="34">B96*B99</f>
        <v>1035.915074</v>
      </c>
      <c r="C101" s="118">
        <f t="shared" si="34"/>
        <v>448.6715291</v>
      </c>
      <c r="D101" s="118">
        <f t="shared" si="34"/>
        <v>530.9331056</v>
      </c>
      <c r="E101" s="118">
        <f t="shared" si="34"/>
        <v>1972.967301</v>
      </c>
      <c r="F101" s="118">
        <f t="shared" si="34"/>
        <v>511.4821499</v>
      </c>
      <c r="G101" s="118">
        <f t="shared" si="34"/>
        <v>774.678802</v>
      </c>
      <c r="H101" s="118">
        <f t="shared" si="34"/>
        <v>569.0094164</v>
      </c>
      <c r="I101" s="118">
        <f t="shared" si="34"/>
        <v>1574.94521</v>
      </c>
      <c r="J101" s="118">
        <f t="shared" si="34"/>
        <v>1119.841619</v>
      </c>
      <c r="K101" s="118">
        <f t="shared" si="34"/>
        <v>236.587744</v>
      </c>
      <c r="L101" s="118">
        <f t="shared" si="34"/>
        <v>233.9515182</v>
      </c>
      <c r="M101" s="118">
        <f t="shared" si="34"/>
        <v>1051.150406</v>
      </c>
      <c r="N101" s="118">
        <f t="shared" si="34"/>
        <v>444.8629455</v>
      </c>
    </row>
    <row r="102">
      <c r="A102" s="183"/>
      <c r="B102" s="514"/>
      <c r="C102" s="514"/>
      <c r="D102" s="514"/>
      <c r="E102" s="514"/>
      <c r="F102" s="514"/>
      <c r="G102" s="514"/>
      <c r="H102" s="514"/>
      <c r="I102" s="514"/>
      <c r="J102" s="515"/>
      <c r="K102" s="514"/>
      <c r="L102" s="514"/>
      <c r="M102" s="514"/>
      <c r="N102" s="514"/>
    </row>
    <row r="103">
      <c r="A103" s="183" t="s">
        <v>521</v>
      </c>
      <c r="B103" s="187">
        <v>0.023</v>
      </c>
      <c r="C103" s="187">
        <v>0.023</v>
      </c>
      <c r="D103" s="187">
        <v>0.023</v>
      </c>
      <c r="E103" s="187">
        <v>0.023</v>
      </c>
      <c r="F103" s="187">
        <v>0.023</v>
      </c>
      <c r="G103" s="187">
        <v>0.023</v>
      </c>
      <c r="H103" s="187">
        <v>0.023</v>
      </c>
      <c r="I103" s="187">
        <v>0.023</v>
      </c>
      <c r="J103" s="187">
        <v>0.023</v>
      </c>
      <c r="K103" s="187">
        <v>0.023</v>
      </c>
      <c r="L103" s="187">
        <v>0.023</v>
      </c>
      <c r="M103" s="187">
        <v>0.023</v>
      </c>
      <c r="N103" s="187">
        <v>0.023</v>
      </c>
    </row>
    <row r="104">
      <c r="A104" s="91" t="s">
        <v>168</v>
      </c>
      <c r="B104" s="127">
        <v>0.52</v>
      </c>
      <c r="C104" s="127">
        <v>0.52</v>
      </c>
      <c r="D104" s="127">
        <v>0.52</v>
      </c>
      <c r="E104" s="127">
        <v>0.52</v>
      </c>
      <c r="F104" s="127">
        <v>0.52</v>
      </c>
      <c r="G104" s="127">
        <v>0.52</v>
      </c>
      <c r="H104" s="127">
        <v>0.52</v>
      </c>
      <c r="I104" s="127">
        <v>0.52</v>
      </c>
      <c r="J104" s="127">
        <v>0.52</v>
      </c>
      <c r="K104" s="127">
        <v>0.52</v>
      </c>
      <c r="L104" s="127">
        <v>0.52</v>
      </c>
      <c r="M104" s="127">
        <v>0.52</v>
      </c>
      <c r="N104" s="127">
        <v>0.52</v>
      </c>
    </row>
    <row r="105">
      <c r="A105" s="91" t="s">
        <v>522</v>
      </c>
      <c r="B105" s="188">
        <f t="shared" ref="B105:N105" si="35">(ln(1+B103)-ln(1))*B104</f>
        <v>0.01182453322</v>
      </c>
      <c r="C105" s="188">
        <f t="shared" si="35"/>
        <v>0.01182453322</v>
      </c>
      <c r="D105" s="188">
        <f t="shared" si="35"/>
        <v>0.01182453322</v>
      </c>
      <c r="E105" s="188">
        <f t="shared" si="35"/>
        <v>0.01182453322</v>
      </c>
      <c r="F105" s="188">
        <f t="shared" si="35"/>
        <v>0.01182453322</v>
      </c>
      <c r="G105" s="188">
        <f t="shared" si="35"/>
        <v>0.01182453322</v>
      </c>
      <c r="H105" s="188">
        <f t="shared" si="35"/>
        <v>0.01182453322</v>
      </c>
      <c r="I105" s="188">
        <f t="shared" si="35"/>
        <v>0.01182453322</v>
      </c>
      <c r="J105" s="188">
        <f t="shared" si="35"/>
        <v>0.01182453322</v>
      </c>
      <c r="K105" s="188">
        <f t="shared" si="35"/>
        <v>0.01182453322</v>
      </c>
      <c r="L105" s="188">
        <f t="shared" si="35"/>
        <v>0.01182453322</v>
      </c>
      <c r="M105" s="188">
        <f t="shared" si="35"/>
        <v>0.01182453322</v>
      </c>
      <c r="N105" s="188">
        <f t="shared" si="35"/>
        <v>0.01182453322</v>
      </c>
    </row>
    <row r="106">
      <c r="A106" s="162" t="s">
        <v>523</v>
      </c>
      <c r="B106" s="166">
        <v>10.0</v>
      </c>
      <c r="C106" s="166">
        <v>10.0</v>
      </c>
      <c r="D106" s="166">
        <v>10.0</v>
      </c>
      <c r="E106" s="166">
        <v>10.0</v>
      </c>
      <c r="F106" s="166">
        <v>10.0</v>
      </c>
      <c r="G106" s="166">
        <v>10.0</v>
      </c>
      <c r="H106" s="166">
        <v>10.0</v>
      </c>
      <c r="I106" s="166">
        <v>10.0</v>
      </c>
      <c r="J106" s="166">
        <v>10.0</v>
      </c>
      <c r="K106" s="166">
        <v>10.0</v>
      </c>
      <c r="L106" s="166">
        <v>10.0</v>
      </c>
      <c r="M106" s="166">
        <v>10.0</v>
      </c>
      <c r="N106" s="166">
        <v>10.0</v>
      </c>
    </row>
    <row r="107">
      <c r="A107" s="195" t="s">
        <v>71</v>
      </c>
      <c r="B107" s="385">
        <f t="array" ref="B107">index('Moral weights and discount rate'!$1:$39,match("Overall discount rate",'Moral weights and discount rate'!$A:$A,0), match("Active",'Moral weights and discount rate'!$1:$1,0))</f>
        <v>0.04</v>
      </c>
      <c r="C107" s="385">
        <f t="array" ref="C107">index('Moral weights and discount rate'!$1:$39,match("Overall discount rate",'Moral weights and discount rate'!$A:$A,0), match("Active",'Moral weights and discount rate'!$1:$1,0))</f>
        <v>0.04</v>
      </c>
      <c r="D107" s="385">
        <f t="array" ref="D107">index('Moral weights and discount rate'!$1:$39,match("Overall discount rate",'Moral weights and discount rate'!$A:$A,0), match("Active",'Moral weights and discount rate'!$1:$1,0))</f>
        <v>0.04</v>
      </c>
      <c r="E107" s="385">
        <f t="array" ref="E107">index('Moral weights and discount rate'!$1:$39,match("Overall discount rate",'Moral weights and discount rate'!$A:$A,0), match("Active",'Moral weights and discount rate'!$1:$1,0))</f>
        <v>0.04</v>
      </c>
      <c r="F107" s="385">
        <f t="array" ref="F107">index('Moral weights and discount rate'!$1:$39,match("Overall discount rate",'Moral weights and discount rate'!$A:$A,0), match("Active",'Moral weights and discount rate'!$1:$1,0))</f>
        <v>0.04</v>
      </c>
      <c r="G107" s="385">
        <f t="array" ref="G107">index('Moral weights and discount rate'!$1:$39,match("Overall discount rate",'Moral weights and discount rate'!$A:$A,0), match("Active",'Moral weights and discount rate'!$1:$1,0))</f>
        <v>0.04</v>
      </c>
      <c r="H107" s="385">
        <f t="array" ref="H107">index('Moral weights and discount rate'!$1:$39,match("Overall discount rate",'Moral weights and discount rate'!$A:$A,0), match("Active",'Moral weights and discount rate'!$1:$1,0))</f>
        <v>0.04</v>
      </c>
      <c r="I107" s="385">
        <f t="array" ref="I107">index('Moral weights and discount rate'!$1:$39,match("Overall discount rate",'Moral weights and discount rate'!$A:$A,0), match("Active",'Moral weights and discount rate'!$1:$1,0))</f>
        <v>0.04</v>
      </c>
      <c r="J107" s="385">
        <f t="array" ref="J107">index('Moral weights and discount rate'!$1:$39,match("Overall discount rate",'Moral weights and discount rate'!$A:$A,0), match("Active",'Moral weights and discount rate'!$1:$1,0))</f>
        <v>0.04</v>
      </c>
      <c r="K107" s="385">
        <f t="array" ref="K107">index('Moral weights and discount rate'!$1:$39,match("Overall discount rate",'Moral weights and discount rate'!$A:$A,0), match("Active",'Moral weights and discount rate'!$1:$1,0))</f>
        <v>0.04</v>
      </c>
      <c r="L107" s="385">
        <f t="array" ref="L107">index('Moral weights and discount rate'!$1:$39,match("Overall discount rate",'Moral weights and discount rate'!$A:$A,0), match("Active",'Moral weights and discount rate'!$1:$1,0))</f>
        <v>0.04</v>
      </c>
      <c r="M107" s="385">
        <f t="array" ref="M107">index('Moral weights and discount rate'!$1:$39,match("Overall discount rate",'Moral weights and discount rate'!$A:$A,0), match("Active",'Moral weights and discount rate'!$1:$1,0))</f>
        <v>0.04</v>
      </c>
      <c r="N107" s="385">
        <f t="array" ref="N107">index('Moral weights and discount rate'!$1:$39,match("Overall discount rate",'Moral weights and discount rate'!$A:$A,0), match("Active",'Moral weights and discount rate'!$1:$1,0))</f>
        <v>0.04</v>
      </c>
    </row>
    <row r="108">
      <c r="A108" s="195" t="s">
        <v>172</v>
      </c>
      <c r="B108" s="516">
        <f t="shared" ref="B108:N108" si="36">B105/(1+B107)^B106</f>
        <v>0.007988230959</v>
      </c>
      <c r="C108" s="516">
        <f t="shared" si="36"/>
        <v>0.007988230959</v>
      </c>
      <c r="D108" s="516">
        <f t="shared" si="36"/>
        <v>0.007988230959</v>
      </c>
      <c r="E108" s="516">
        <f t="shared" si="36"/>
        <v>0.007988230959</v>
      </c>
      <c r="F108" s="516">
        <f t="shared" si="36"/>
        <v>0.007988230959</v>
      </c>
      <c r="G108" s="516">
        <f t="shared" si="36"/>
        <v>0.007988230959</v>
      </c>
      <c r="H108" s="516">
        <f t="shared" si="36"/>
        <v>0.007988230959</v>
      </c>
      <c r="I108" s="516">
        <f t="shared" si="36"/>
        <v>0.007988230959</v>
      </c>
      <c r="J108" s="516">
        <f t="shared" si="36"/>
        <v>0.007988230959</v>
      </c>
      <c r="K108" s="516">
        <f t="shared" si="36"/>
        <v>0.007988230959</v>
      </c>
      <c r="L108" s="516">
        <f t="shared" si="36"/>
        <v>0.007988230959</v>
      </c>
      <c r="M108" s="516">
        <f t="shared" si="36"/>
        <v>0.007988230959</v>
      </c>
      <c r="N108" s="516">
        <f t="shared" si="36"/>
        <v>0.007988230959</v>
      </c>
    </row>
    <row r="109">
      <c r="A109" s="84" t="s">
        <v>524</v>
      </c>
      <c r="B109" s="489">
        <f>'Deworm the World'!$B$19</f>
        <v>40</v>
      </c>
      <c r="C109" s="489">
        <f>'Deworm the World'!$B$19</f>
        <v>40</v>
      </c>
      <c r="D109" s="489">
        <f>'Deworm the World'!$B$19</f>
        <v>40</v>
      </c>
      <c r="E109" s="489">
        <f>'Deworm the World'!$B$19</f>
        <v>40</v>
      </c>
      <c r="F109" s="489">
        <f>'Deworm the World'!$B$19</f>
        <v>40</v>
      </c>
      <c r="G109" s="489">
        <f>'Deworm the World'!$B$19</f>
        <v>40</v>
      </c>
      <c r="H109" s="489">
        <f>'Deworm the World'!$B$19</f>
        <v>40</v>
      </c>
      <c r="I109" s="489">
        <f>'Deworm the World'!$B$19</f>
        <v>40</v>
      </c>
      <c r="J109" s="489">
        <f>'Deworm the World'!$B$19</f>
        <v>40</v>
      </c>
      <c r="K109" s="489">
        <f>'Deworm the World'!$B$19</f>
        <v>40</v>
      </c>
      <c r="L109" s="489">
        <f>'Deworm the World'!$B$19</f>
        <v>40</v>
      </c>
      <c r="M109" s="489">
        <f>'Deworm the World'!$B$19</f>
        <v>40</v>
      </c>
      <c r="N109" s="489">
        <f>'Deworm the World'!$B$19</f>
        <v>40</v>
      </c>
    </row>
    <row r="110">
      <c r="A110" s="91" t="s">
        <v>525</v>
      </c>
      <c r="B110" s="198">
        <f t="shared" ref="B110:N110" si="37">pv(B107,B109,-B108,,1)</f>
        <v>0.1644336191</v>
      </c>
      <c r="C110" s="198">
        <f t="shared" si="37"/>
        <v>0.1644336191</v>
      </c>
      <c r="D110" s="198">
        <f t="shared" si="37"/>
        <v>0.1644336191</v>
      </c>
      <c r="E110" s="198">
        <f t="shared" si="37"/>
        <v>0.1644336191</v>
      </c>
      <c r="F110" s="198">
        <f t="shared" si="37"/>
        <v>0.1644336191</v>
      </c>
      <c r="G110" s="198">
        <f t="shared" si="37"/>
        <v>0.1644336191</v>
      </c>
      <c r="H110" s="198">
        <f t="shared" si="37"/>
        <v>0.1644336191</v>
      </c>
      <c r="I110" s="198">
        <f t="shared" si="37"/>
        <v>0.1644336191</v>
      </c>
      <c r="J110" s="198">
        <f t="shared" si="37"/>
        <v>0.1644336191</v>
      </c>
      <c r="K110" s="198">
        <f t="shared" si="37"/>
        <v>0.1644336191</v>
      </c>
      <c r="L110" s="198">
        <f t="shared" si="37"/>
        <v>0.1644336191</v>
      </c>
      <c r="M110" s="198">
        <f t="shared" si="37"/>
        <v>0.1644336191</v>
      </c>
      <c r="N110" s="198">
        <f t="shared" si="37"/>
        <v>0.1644336191</v>
      </c>
    </row>
    <row r="111">
      <c r="A111" s="195" t="s">
        <v>175</v>
      </c>
      <c r="B111" s="489">
        <f>'Deworm the World'!$B$25</f>
        <v>2</v>
      </c>
      <c r="C111" s="489">
        <f>'Deworm the World'!$B$25</f>
        <v>2</v>
      </c>
      <c r="D111" s="489">
        <f>'Deworm the World'!$B$25</f>
        <v>2</v>
      </c>
      <c r="E111" s="489">
        <f>'Deworm the World'!$B$25</f>
        <v>2</v>
      </c>
      <c r="F111" s="489">
        <f>'Deworm the World'!$B$25</f>
        <v>2</v>
      </c>
      <c r="G111" s="489">
        <f>'Deworm the World'!$B$25</f>
        <v>2</v>
      </c>
      <c r="H111" s="489">
        <f>'Deworm the World'!$B$25</f>
        <v>2</v>
      </c>
      <c r="I111" s="489">
        <f>'Deworm the World'!$B$25</f>
        <v>2</v>
      </c>
      <c r="J111" s="489">
        <f>'Deworm the World'!$B$25</f>
        <v>2</v>
      </c>
      <c r="K111" s="489">
        <f>'Deworm the World'!$B$25</f>
        <v>2</v>
      </c>
      <c r="L111" s="489">
        <f>'Deworm the World'!$B$25</f>
        <v>2</v>
      </c>
      <c r="M111" s="489">
        <f>'Deworm the World'!$B$25</f>
        <v>2</v>
      </c>
      <c r="N111" s="489">
        <f>'Deworm the World'!$B$25</f>
        <v>2</v>
      </c>
    </row>
    <row r="112">
      <c r="A112" s="126" t="s">
        <v>526</v>
      </c>
      <c r="B112" s="200">
        <f t="shared" ref="B112:N112" si="38">B110*B111</f>
        <v>0.3288672381</v>
      </c>
      <c r="C112" s="200">
        <f t="shared" si="38"/>
        <v>0.3288672381</v>
      </c>
      <c r="D112" s="200">
        <f t="shared" si="38"/>
        <v>0.3288672381</v>
      </c>
      <c r="E112" s="200">
        <f t="shared" si="38"/>
        <v>0.3288672381</v>
      </c>
      <c r="F112" s="200">
        <f t="shared" si="38"/>
        <v>0.3288672381</v>
      </c>
      <c r="G112" s="200">
        <f t="shared" si="38"/>
        <v>0.3288672381</v>
      </c>
      <c r="H112" s="200">
        <f t="shared" si="38"/>
        <v>0.3288672381</v>
      </c>
      <c r="I112" s="200">
        <f t="shared" si="38"/>
        <v>0.3288672381</v>
      </c>
      <c r="J112" s="200">
        <f t="shared" si="38"/>
        <v>0.3288672381</v>
      </c>
      <c r="K112" s="200">
        <f t="shared" si="38"/>
        <v>0.3288672381</v>
      </c>
      <c r="L112" s="200">
        <f t="shared" si="38"/>
        <v>0.3288672381</v>
      </c>
      <c r="M112" s="200">
        <f t="shared" si="38"/>
        <v>0.3288672381</v>
      </c>
      <c r="N112" s="200">
        <f t="shared" si="38"/>
        <v>0.3288672381</v>
      </c>
    </row>
    <row r="113">
      <c r="A113" s="162" t="s">
        <v>527</v>
      </c>
      <c r="B113" s="118">
        <f t="shared" ref="B113:N113" si="39">B112*B100</f>
        <v>1267.700525</v>
      </c>
      <c r="C113" s="118">
        <f t="shared" si="39"/>
        <v>482.0026231</v>
      </c>
      <c r="D113" s="118">
        <f t="shared" si="39"/>
        <v>570.6746779</v>
      </c>
      <c r="E113" s="118">
        <f t="shared" si="39"/>
        <v>2125.888579</v>
      </c>
      <c r="F113" s="118">
        <f t="shared" si="39"/>
        <v>552.2705162</v>
      </c>
      <c r="G113" s="118">
        <f t="shared" si="39"/>
        <v>835.9621249</v>
      </c>
      <c r="H113" s="118">
        <f t="shared" si="39"/>
        <v>614.6869858</v>
      </c>
      <c r="I113" s="118">
        <f t="shared" si="39"/>
        <v>1696.965996</v>
      </c>
      <c r="J113" s="118">
        <f t="shared" si="39"/>
        <v>1202.437905</v>
      </c>
      <c r="K113" s="118">
        <f t="shared" si="39"/>
        <v>302.2980018</v>
      </c>
      <c r="L113" s="118">
        <f t="shared" si="39"/>
        <v>254.9232031</v>
      </c>
      <c r="M113" s="118">
        <f t="shared" si="39"/>
        <v>1136.162513</v>
      </c>
      <c r="N113" s="118">
        <f t="shared" si="39"/>
        <v>507.8367392</v>
      </c>
    </row>
    <row r="114">
      <c r="A114" s="162" t="s">
        <v>528</v>
      </c>
      <c r="B114" s="118">
        <f t="shared" ref="B114:N114" si="40">B112*B101</f>
        <v>340.6785294</v>
      </c>
      <c r="C114" s="118">
        <f t="shared" si="40"/>
        <v>147.5533666</v>
      </c>
      <c r="D114" s="118">
        <f t="shared" si="40"/>
        <v>174.6065041</v>
      </c>
      <c r="E114" s="118">
        <f t="shared" si="40"/>
        <v>648.8443071</v>
      </c>
      <c r="F114" s="118">
        <f t="shared" si="40"/>
        <v>168.209722</v>
      </c>
      <c r="G114" s="118">
        <f t="shared" si="40"/>
        <v>254.7664781</v>
      </c>
      <c r="H114" s="118">
        <f t="shared" si="40"/>
        <v>187.1285553</v>
      </c>
      <c r="I114" s="118">
        <f t="shared" si="40"/>
        <v>517.9478816</v>
      </c>
      <c r="J114" s="118">
        <f t="shared" si="40"/>
        <v>368.2792205</v>
      </c>
      <c r="K114" s="118">
        <f t="shared" si="40"/>
        <v>77.80595795</v>
      </c>
      <c r="L114" s="118">
        <f t="shared" si="40"/>
        <v>76.93898964</v>
      </c>
      <c r="M114" s="118">
        <f t="shared" si="40"/>
        <v>345.6889309</v>
      </c>
      <c r="N114" s="118">
        <f t="shared" si="40"/>
        <v>146.3008482</v>
      </c>
    </row>
    <row r="115">
      <c r="A115" s="195" t="s">
        <v>65</v>
      </c>
      <c r="B115" s="517">
        <f t="array" ref="B115">index('Moral weights and discount rate'!$A$1:$ZW$39,match($A115,'Moral weights and discount rate'!$A$1:$A$39,0),match('Moral weights and discount rate'!$A$17,'Moral weights and discount rate'!$A$1:$ZW1,0))</f>
        <v>1.442695041</v>
      </c>
      <c r="C115" s="517">
        <f t="array" ref="C115">index('Moral weights and discount rate'!$A$1:$ZW$39,match($A115,'Moral weights and discount rate'!$A$1:$A$39,0),match('Moral weights and discount rate'!$A$17,'Moral weights and discount rate'!$A$1:$ZW1,0))</f>
        <v>1.442695041</v>
      </c>
      <c r="D115" s="517">
        <f t="array" ref="D115">index('Moral weights and discount rate'!$A$1:$ZW$39,match($A115,'Moral weights and discount rate'!$A$1:$A$39,0),match('Moral weights and discount rate'!$A$17,'Moral weights and discount rate'!$A$1:$ZW1,0))</f>
        <v>1.442695041</v>
      </c>
      <c r="E115" s="517">
        <f t="array" ref="E115">index('Moral weights and discount rate'!$A$1:$ZW$39,match($A115,'Moral weights and discount rate'!$A$1:$A$39,0),match('Moral weights and discount rate'!$A$17,'Moral weights and discount rate'!$A$1:$ZW1,0))</f>
        <v>1.442695041</v>
      </c>
      <c r="F115" s="517">
        <f t="array" ref="F115">index('Moral weights and discount rate'!$A$1:$ZW$39,match($A115,'Moral weights and discount rate'!$A$1:$A$39,0),match('Moral weights and discount rate'!$A$17,'Moral weights and discount rate'!$A$1:$ZW1,0))</f>
        <v>1.442695041</v>
      </c>
      <c r="G115" s="517">
        <f t="array" ref="G115">index('Moral weights and discount rate'!$A$1:$ZW$39,match($A115,'Moral weights and discount rate'!$A$1:$A$39,0),match('Moral weights and discount rate'!$A$17,'Moral weights and discount rate'!$A$1:$ZW1,0))</f>
        <v>1.442695041</v>
      </c>
      <c r="H115" s="517">
        <f t="array" ref="H115">index('Moral weights and discount rate'!$A$1:$ZW$39,match($A115,'Moral weights and discount rate'!$A$1:$A$39,0),match('Moral weights and discount rate'!$A$17,'Moral weights and discount rate'!$A$1:$ZW1,0))</f>
        <v>1.442695041</v>
      </c>
      <c r="I115" s="517">
        <f t="array" ref="I115">index('Moral weights and discount rate'!$A$1:$ZW$39,match($A115,'Moral weights and discount rate'!$A$1:$A$39,0),match('Moral weights and discount rate'!$A$17,'Moral weights and discount rate'!$A$1:$ZW1,0))</f>
        <v>1.442695041</v>
      </c>
      <c r="J115" s="517">
        <f t="array" ref="J115">index('Moral weights and discount rate'!$A$1:$ZW$39,match($A115,'Moral weights and discount rate'!$A$1:$A$39,0),match('Moral weights and discount rate'!$A$17,'Moral weights and discount rate'!$A$1:$ZW1,0))</f>
        <v>1.442695041</v>
      </c>
      <c r="K115" s="517">
        <f t="array" ref="K115">index('Moral weights and discount rate'!$A$1:$ZW$39,match($A115,'Moral weights and discount rate'!$A$1:$A$39,0),match('Moral weights and discount rate'!$A$17,'Moral weights and discount rate'!$A$1:$ZW1,0))</f>
        <v>1.442695041</v>
      </c>
      <c r="L115" s="517">
        <f t="array" ref="L115">index('Moral weights and discount rate'!$A$1:$ZW$39,match($A115,'Moral weights and discount rate'!$A$1:$A$39,0),match('Moral weights and discount rate'!$A$17,'Moral weights and discount rate'!$A$1:$ZW1,0))</f>
        <v>1.442695041</v>
      </c>
      <c r="M115" s="517">
        <f t="array" ref="M115">index('Moral weights and discount rate'!$A$1:$ZW$39,match($A115,'Moral weights and discount rate'!$A$1:$A$39,0),match('Moral weights and discount rate'!$A$17,'Moral weights and discount rate'!$A$1:$ZW1,0))</f>
        <v>1.442695041</v>
      </c>
      <c r="N115" s="517">
        <f t="array" ref="N115">index('Moral weights and discount rate'!$A$1:$ZW$39,match($A115,'Moral weights and discount rate'!$A$1:$A$39,0),match('Moral weights and discount rate'!$A$17,'Moral weights and discount rate'!$A$1:$ZW1,0))</f>
        <v>1.442695041</v>
      </c>
    </row>
    <row r="116">
      <c r="A116" s="195" t="s">
        <v>529</v>
      </c>
      <c r="B116" s="413">
        <f t="shared" ref="B116:N116" si="41">B115*sum(B113:B114)</f>
        <v>2320.400486</v>
      </c>
      <c r="C116" s="413">
        <f t="shared" si="41"/>
        <v>908.2573043</v>
      </c>
      <c r="D116" s="413">
        <f t="shared" si="41"/>
        <v>1075.213465</v>
      </c>
      <c r="E116" s="413">
        <f t="shared" si="41"/>
        <v>4003.093375</v>
      </c>
      <c r="F116" s="413">
        <f t="shared" si="41"/>
        <v>1039.433267</v>
      </c>
      <c r="G116" s="413">
        <f t="shared" si="41"/>
        <v>1573.588746</v>
      </c>
      <c r="H116" s="413">
        <f t="shared" si="41"/>
        <v>1156.775305</v>
      </c>
      <c r="I116" s="413">
        <f t="shared" si="41"/>
        <v>3195.445268</v>
      </c>
      <c r="J116" s="413">
        <f t="shared" si="41"/>
        <v>2266.065807</v>
      </c>
      <c r="K116" s="413">
        <f t="shared" si="41"/>
        <v>548.3740977</v>
      </c>
      <c r="L116" s="413">
        <f t="shared" si="41"/>
        <v>478.7759398</v>
      </c>
      <c r="M116" s="413">
        <f t="shared" si="41"/>
        <v>2137.859729</v>
      </c>
      <c r="N116" s="413">
        <f t="shared" si="41"/>
        <v>943.7210534</v>
      </c>
    </row>
    <row r="117">
      <c r="A117" s="195" t="s">
        <v>530</v>
      </c>
      <c r="B117" s="200">
        <f t="shared" ref="B117:N117" si="42">B116/B18</f>
        <v>0.1308053299</v>
      </c>
      <c r="C117" s="200">
        <f t="shared" si="42"/>
        <v>0.04384419235</v>
      </c>
      <c r="D117" s="200">
        <f t="shared" si="42"/>
        <v>0.05190364643</v>
      </c>
      <c r="E117" s="200">
        <f t="shared" si="42"/>
        <v>0.1932408306</v>
      </c>
      <c r="F117" s="200">
        <f t="shared" si="42"/>
        <v>0.06272054167</v>
      </c>
      <c r="G117" s="200">
        <f t="shared" si="42"/>
        <v>0.09495206831</v>
      </c>
      <c r="H117" s="200">
        <f t="shared" si="42"/>
        <v>0.06980108876</v>
      </c>
      <c r="I117" s="200">
        <f t="shared" si="42"/>
        <v>0.1542533336</v>
      </c>
      <c r="J117" s="200">
        <f t="shared" si="42"/>
        <v>0.118453176</v>
      </c>
      <c r="K117" s="200">
        <f t="shared" si="42"/>
        <v>0.03550968489</v>
      </c>
      <c r="L117" s="200">
        <f t="shared" si="42"/>
        <v>0.02888986455</v>
      </c>
      <c r="M117" s="200">
        <f t="shared" si="42"/>
        <v>0.1290007974</v>
      </c>
      <c r="N117" s="200">
        <f t="shared" si="42"/>
        <v>0.06111017528</v>
      </c>
    </row>
    <row r="118">
      <c r="A118" s="195" t="s">
        <v>468</v>
      </c>
      <c r="B118" s="504">
        <f t="shared" ref="B118:N118" si="43">B24</f>
        <v>0.95</v>
      </c>
      <c r="C118" s="504">
        <f t="shared" si="43"/>
        <v>0.95</v>
      </c>
      <c r="D118" s="504">
        <f t="shared" si="43"/>
        <v>0.95</v>
      </c>
      <c r="E118" s="504">
        <f t="shared" si="43"/>
        <v>0.95</v>
      </c>
      <c r="F118" s="504">
        <f t="shared" si="43"/>
        <v>0.95</v>
      </c>
      <c r="G118" s="504">
        <f t="shared" si="43"/>
        <v>0.95</v>
      </c>
      <c r="H118" s="504">
        <f t="shared" si="43"/>
        <v>0.95</v>
      </c>
      <c r="I118" s="504">
        <f t="shared" si="43"/>
        <v>0.95</v>
      </c>
      <c r="J118" s="504">
        <f t="shared" si="43"/>
        <v>0.95</v>
      </c>
      <c r="K118" s="504">
        <f t="shared" si="43"/>
        <v>0.95</v>
      </c>
      <c r="L118" s="504">
        <f t="shared" si="43"/>
        <v>0.95</v>
      </c>
      <c r="M118" s="504">
        <f t="shared" si="43"/>
        <v>0.95</v>
      </c>
      <c r="N118" s="504">
        <f t="shared" si="43"/>
        <v>0.95</v>
      </c>
    </row>
    <row r="119">
      <c r="A119" s="195" t="s">
        <v>469</v>
      </c>
      <c r="B119" s="504">
        <f t="shared" ref="B119:N119" si="44">B25</f>
        <v>1</v>
      </c>
      <c r="C119" s="504">
        <f t="shared" si="44"/>
        <v>1</v>
      </c>
      <c r="D119" s="504">
        <f t="shared" si="44"/>
        <v>1</v>
      </c>
      <c r="E119" s="504">
        <f t="shared" si="44"/>
        <v>1</v>
      </c>
      <c r="F119" s="504">
        <f t="shared" si="44"/>
        <v>1</v>
      </c>
      <c r="G119" s="504">
        <f t="shared" si="44"/>
        <v>1</v>
      </c>
      <c r="H119" s="504">
        <f t="shared" si="44"/>
        <v>1</v>
      </c>
      <c r="I119" s="504">
        <f t="shared" si="44"/>
        <v>1</v>
      </c>
      <c r="J119" s="504">
        <f t="shared" si="44"/>
        <v>1</v>
      </c>
      <c r="K119" s="504">
        <f t="shared" si="44"/>
        <v>1</v>
      </c>
      <c r="L119" s="504">
        <f t="shared" si="44"/>
        <v>1</v>
      </c>
      <c r="M119" s="504">
        <f t="shared" si="44"/>
        <v>1</v>
      </c>
      <c r="N119" s="504">
        <f t="shared" si="44"/>
        <v>1</v>
      </c>
    </row>
    <row r="120">
      <c r="A120" s="195"/>
      <c r="B120" s="518"/>
      <c r="C120" s="518"/>
      <c r="D120" s="518"/>
      <c r="E120" s="291"/>
      <c r="F120" s="291"/>
      <c r="G120" s="291"/>
      <c r="H120" s="291"/>
      <c r="I120" s="291"/>
      <c r="J120" s="291"/>
      <c r="K120" s="291"/>
      <c r="L120" s="291"/>
      <c r="M120" s="291"/>
      <c r="N120" s="291"/>
    </row>
    <row r="121">
      <c r="A121" s="519" t="s">
        <v>531</v>
      </c>
      <c r="B121" s="153">
        <f t="shared" ref="B121:N121" si="45">B116*B118*B119</f>
        <v>2204.380462</v>
      </c>
      <c r="C121" s="153">
        <f t="shared" si="45"/>
        <v>862.8444391</v>
      </c>
      <c r="D121" s="153">
        <f t="shared" si="45"/>
        <v>1021.452792</v>
      </c>
      <c r="E121" s="153">
        <f t="shared" si="45"/>
        <v>3802.938706</v>
      </c>
      <c r="F121" s="153">
        <f t="shared" si="45"/>
        <v>987.4616033</v>
      </c>
      <c r="G121" s="153">
        <f t="shared" si="45"/>
        <v>1494.909309</v>
      </c>
      <c r="H121" s="153">
        <f t="shared" si="45"/>
        <v>1098.93654</v>
      </c>
      <c r="I121" s="153">
        <f t="shared" si="45"/>
        <v>3035.673004</v>
      </c>
      <c r="J121" s="153">
        <f t="shared" si="45"/>
        <v>2152.762517</v>
      </c>
      <c r="K121" s="153">
        <f t="shared" si="45"/>
        <v>520.9553928</v>
      </c>
      <c r="L121" s="153">
        <f t="shared" si="45"/>
        <v>454.8371428</v>
      </c>
      <c r="M121" s="153">
        <f t="shared" si="45"/>
        <v>2030.966742</v>
      </c>
      <c r="N121" s="153">
        <f t="shared" si="45"/>
        <v>896.5350007</v>
      </c>
    </row>
    <row r="122">
      <c r="A122" s="195"/>
      <c r="B122" s="296"/>
      <c r="C122" s="296"/>
      <c r="D122" s="296"/>
      <c r="E122" s="291"/>
      <c r="F122" s="291"/>
      <c r="G122" s="291"/>
      <c r="H122" s="291"/>
      <c r="I122" s="291"/>
      <c r="J122" s="291"/>
      <c r="K122" s="291"/>
      <c r="L122" s="291"/>
      <c r="M122" s="291"/>
      <c r="N122" s="291"/>
    </row>
    <row r="123">
      <c r="A123" s="208" t="s">
        <v>180</v>
      </c>
      <c r="B123" s="208"/>
      <c r="C123" s="208"/>
      <c r="D123" s="208"/>
      <c r="E123" s="208"/>
      <c r="F123" s="208"/>
      <c r="G123" s="208"/>
      <c r="H123" s="208"/>
      <c r="I123" s="208"/>
      <c r="J123" s="208"/>
      <c r="K123" s="208"/>
      <c r="L123" s="208"/>
      <c r="M123" s="208"/>
      <c r="N123" s="208"/>
    </row>
    <row r="124">
      <c r="A124" s="77" t="s">
        <v>532</v>
      </c>
      <c r="B124" s="429">
        <f t="shared" ref="B124:N124" si="46">B14/B89</f>
        <v>1536.69493</v>
      </c>
      <c r="C124" s="429">
        <f t="shared" si="46"/>
        <v>2154.382121</v>
      </c>
      <c r="D124" s="429">
        <f t="shared" si="46"/>
        <v>2951.633486</v>
      </c>
      <c r="E124" s="429">
        <f t="shared" si="46"/>
        <v>1628.558026</v>
      </c>
      <c r="F124" s="429">
        <f t="shared" si="46"/>
        <v>2421.991291</v>
      </c>
      <c r="G124" s="429">
        <f t="shared" si="46"/>
        <v>2178.72695</v>
      </c>
      <c r="H124" s="429">
        <f t="shared" si="46"/>
        <v>3050.812325</v>
      </c>
      <c r="I124" s="429">
        <f t="shared" si="46"/>
        <v>1525.965232</v>
      </c>
      <c r="J124" s="429">
        <f t="shared" si="46"/>
        <v>2963.201768</v>
      </c>
      <c r="K124" s="429">
        <f t="shared" si="46"/>
        <v>5253.938957</v>
      </c>
      <c r="L124" s="429">
        <f t="shared" si="46"/>
        <v>3389.692399</v>
      </c>
      <c r="M124" s="429">
        <f t="shared" si="46"/>
        <v>2099.077133</v>
      </c>
      <c r="N124" s="429">
        <f t="shared" si="46"/>
        <v>4474.093673</v>
      </c>
    </row>
    <row r="125">
      <c r="A125" s="77" t="s">
        <v>182</v>
      </c>
      <c r="B125" s="416">
        <f t="shared" ref="B125:N125" si="47">sum(B72,B86,B121)</f>
        <v>10431.6688</v>
      </c>
      <c r="C125" s="416">
        <f t="shared" si="47"/>
        <v>7036.07916</v>
      </c>
      <c r="D125" s="416">
        <f t="shared" si="47"/>
        <v>5404.280419</v>
      </c>
      <c r="E125" s="416">
        <f t="shared" si="47"/>
        <v>11886.32101</v>
      </c>
      <c r="F125" s="416">
        <f t="shared" si="47"/>
        <v>6046.395921</v>
      </c>
      <c r="G125" s="416">
        <f t="shared" si="47"/>
        <v>7384.990872</v>
      </c>
      <c r="H125" s="416">
        <f t="shared" si="47"/>
        <v>5265.431592</v>
      </c>
      <c r="I125" s="416">
        <f t="shared" si="47"/>
        <v>11748.22101</v>
      </c>
      <c r="J125" s="416">
        <f t="shared" si="47"/>
        <v>6260.599663</v>
      </c>
      <c r="K125" s="416">
        <f t="shared" si="47"/>
        <v>2909.006248</v>
      </c>
      <c r="L125" s="416">
        <f t="shared" si="47"/>
        <v>4171.664236</v>
      </c>
      <c r="M125" s="416">
        <f t="shared" si="47"/>
        <v>7713.620148</v>
      </c>
      <c r="N125" s="416">
        <f t="shared" si="47"/>
        <v>3606.737749</v>
      </c>
    </row>
    <row r="126">
      <c r="A126" s="520" t="s">
        <v>183</v>
      </c>
      <c r="B126" s="521">
        <f t="shared" ref="B126:N126" si="48">B125/B14</f>
        <v>0.09255121555</v>
      </c>
      <c r="C126" s="521">
        <f t="shared" si="48"/>
        <v>0.06054183056</v>
      </c>
      <c r="D126" s="521">
        <f t="shared" si="48"/>
        <v>0.0465010444</v>
      </c>
      <c r="E126" s="521">
        <f t="shared" si="48"/>
        <v>0.1022756589</v>
      </c>
      <c r="F126" s="521">
        <f t="shared" si="48"/>
        <v>0.05202611696</v>
      </c>
      <c r="G126" s="521">
        <f t="shared" si="48"/>
        <v>0.0635440358</v>
      </c>
      <c r="H126" s="521">
        <f t="shared" si="48"/>
        <v>0.04530632188</v>
      </c>
      <c r="I126" s="521">
        <f t="shared" si="48"/>
        <v>0.1010873797</v>
      </c>
      <c r="J126" s="521">
        <f t="shared" si="48"/>
        <v>0.05472283735</v>
      </c>
      <c r="K126" s="521">
        <f t="shared" si="48"/>
        <v>0.02601697374</v>
      </c>
      <c r="L126" s="521">
        <f t="shared" si="48"/>
        <v>0.03589501817</v>
      </c>
      <c r="M126" s="521">
        <f t="shared" si="48"/>
        <v>0.06637172115</v>
      </c>
      <c r="N126" s="521">
        <f t="shared" si="48"/>
        <v>0.0322572017</v>
      </c>
    </row>
    <row r="127">
      <c r="A127" s="204"/>
      <c r="B127" s="291"/>
      <c r="C127" s="291"/>
      <c r="D127" s="291"/>
      <c r="E127" s="291"/>
      <c r="F127" s="291"/>
      <c r="G127" s="291"/>
      <c r="H127" s="291"/>
      <c r="I127" s="291"/>
      <c r="J127" s="291"/>
      <c r="K127" s="291"/>
      <c r="L127" s="291"/>
      <c r="M127" s="291"/>
      <c r="N127" s="291"/>
    </row>
    <row r="128">
      <c r="A128" s="204" t="s">
        <v>184</v>
      </c>
      <c r="B128" s="522">
        <f t="array" ref="B128">B126/index(GiveDirectly!$B:$B,match("Units of value generated per philanthropic dollar spent, after accounting for all adjustments",GiveDirectly!$A:$A,0))</f>
        <v>27.58988796</v>
      </c>
      <c r="C128" s="522">
        <f t="array" ref="C128">C126/index(GiveDirectly!$B:$B,match("Units of value generated per philanthropic dollar spent, after accounting for all adjustments",GiveDirectly!$A:$A,0))</f>
        <v>18.04776212</v>
      </c>
      <c r="D128" s="522">
        <f t="array" ref="D128">D126/index(GiveDirectly!$B:$B,match("Units of value generated per philanthropic dollar spent, after accounting for all adjustments",GiveDirectly!$A:$A,0))</f>
        <v>13.86214754</v>
      </c>
      <c r="E128" s="522">
        <f t="array" ref="E128">E126/index(GiveDirectly!$B:$B,match("Units of value generated per philanthropic dollar spent, after accounting for all adjustments",GiveDirectly!$A:$A,0))</f>
        <v>30.48878347</v>
      </c>
      <c r="F128" s="522">
        <f t="array" ref="F128">F126/index(GiveDirectly!$B:$B,match("Units of value generated per philanthropic dollar spent, after accounting for all adjustments",GiveDirectly!$A:$A,0))</f>
        <v>15.50919379</v>
      </c>
      <c r="G128" s="522">
        <f t="array" ref="G128">G126/index(GiveDirectly!$B:$B,match("Units of value generated per philanthropic dollar spent, after accounting for all adjustments",GiveDirectly!$A:$A,0))</f>
        <v>18.94273152</v>
      </c>
      <c r="H128" s="522">
        <f t="array" ref="H128">H126/index(GiveDirectly!$B:$B,match("Units of value generated per philanthropic dollar spent, after accounting for all adjustments",GiveDirectly!$A:$A,0))</f>
        <v>13.50599597</v>
      </c>
      <c r="I128" s="522">
        <f t="array" ref="I128">I126/index(GiveDirectly!$B:$B,match("Units of value generated per philanthropic dollar spent, after accounting for all adjustments",GiveDirectly!$A:$A,0))</f>
        <v>30.13455267</v>
      </c>
      <c r="J128" s="522">
        <f t="array" ref="J128">J126/index(GiveDirectly!$B:$B,match("Units of value generated per philanthropic dollar spent, after accounting for all adjustments",GiveDirectly!$A:$A,0))</f>
        <v>16.31309694</v>
      </c>
      <c r="K128" s="522">
        <f t="array" ref="K128">K126/index(GiveDirectly!$B:$B,match("Units of value generated per philanthropic dollar spent, after accounting for all adjustments",GiveDirectly!$A:$A,0))</f>
        <v>7.75576405</v>
      </c>
      <c r="L128" s="522">
        <f t="array" ref="L128">L126/index(GiveDirectly!$B:$B,match("Units of value generated per philanthropic dollar spent, after accounting for all adjustments",GiveDirectly!$A:$A,0))</f>
        <v>10.70044865</v>
      </c>
      <c r="M128" s="522">
        <f t="array" ref="M128">M126/index(GiveDirectly!$B:$B,match("Units of value generated per philanthropic dollar spent, after accounting for all adjustments",GiveDirectly!$A:$A,0))</f>
        <v>19.78567585</v>
      </c>
      <c r="N128" s="522">
        <f t="array" ref="N128">N126/index(GiveDirectly!$B:$B,match("Units of value generated per philanthropic dollar spent, after accounting for all adjustments",GiveDirectly!$A:$A,0))</f>
        <v>9.616000993</v>
      </c>
    </row>
    <row r="129">
      <c r="A129" s="204"/>
      <c r="B129" s="291"/>
      <c r="C129" s="291"/>
      <c r="D129" s="291"/>
      <c r="E129" s="291"/>
      <c r="F129" s="291"/>
      <c r="G129" s="291"/>
      <c r="H129" s="291"/>
      <c r="I129" s="291"/>
      <c r="J129" s="291"/>
      <c r="K129" s="291"/>
      <c r="L129" s="291"/>
      <c r="M129" s="291"/>
      <c r="N129" s="291"/>
    </row>
    <row r="130">
      <c r="A130" s="240" t="s">
        <v>533</v>
      </c>
      <c r="B130" s="296">
        <f t="shared" ref="B130:N130" si="49">B72/B125</f>
        <v>0.7398801285</v>
      </c>
      <c r="C130" s="296">
        <f t="shared" si="49"/>
        <v>0.8536873437</v>
      </c>
      <c r="D130" s="296">
        <f t="shared" si="49"/>
        <v>0.7498079702</v>
      </c>
      <c r="E130" s="296">
        <f t="shared" si="49"/>
        <v>0.649637716</v>
      </c>
      <c r="F130" s="296">
        <f t="shared" si="49"/>
        <v>0.6906742188</v>
      </c>
      <c r="G130" s="296">
        <f t="shared" si="49"/>
        <v>0.7259707308</v>
      </c>
      <c r="H130" s="296">
        <f t="shared" si="49"/>
        <v>0.7066968244</v>
      </c>
      <c r="I130" s="296">
        <f t="shared" si="49"/>
        <v>0.7211592192</v>
      </c>
      <c r="J130" s="296">
        <f t="shared" si="49"/>
        <v>0.5528288122</v>
      </c>
      <c r="K130" s="296">
        <f t="shared" si="49"/>
        <v>0.7706774523</v>
      </c>
      <c r="L130" s="296">
        <f t="shared" si="49"/>
        <v>0.7813714373</v>
      </c>
      <c r="M130" s="296">
        <f t="shared" si="49"/>
        <v>0.5705936273</v>
      </c>
      <c r="N130" s="296">
        <f t="shared" si="49"/>
        <v>0.6595036452</v>
      </c>
    </row>
    <row r="131">
      <c r="A131" s="240" t="s">
        <v>534</v>
      </c>
      <c r="B131" s="296">
        <f t="shared" ref="B131:N131" si="50">B86/B125</f>
        <v>0.04880368573</v>
      </c>
      <c r="C131" s="296">
        <f t="shared" si="50"/>
        <v>0.02368122774</v>
      </c>
      <c r="D131" s="296">
        <f t="shared" si="50"/>
        <v>0.06118392646</v>
      </c>
      <c r="E131" s="296">
        <f t="shared" si="50"/>
        <v>0.03041983057</v>
      </c>
      <c r="F131" s="296">
        <f t="shared" si="50"/>
        <v>0.1460116985</v>
      </c>
      <c r="G131" s="296">
        <f t="shared" si="50"/>
        <v>0.07160392641</v>
      </c>
      <c r="H131" s="296">
        <f t="shared" si="50"/>
        <v>0.08459539535</v>
      </c>
      <c r="I131" s="296">
        <f t="shared" si="50"/>
        <v>0.0204465097</v>
      </c>
      <c r="J131" s="296">
        <f t="shared" si="50"/>
        <v>0.1033123512</v>
      </c>
      <c r="K131" s="296">
        <f t="shared" si="50"/>
        <v>0.05023891965</v>
      </c>
      <c r="L131" s="296">
        <f t="shared" si="50"/>
        <v>0.109598421</v>
      </c>
      <c r="M131" s="296">
        <f t="shared" si="50"/>
        <v>0.1661101896</v>
      </c>
      <c r="N131" s="296">
        <f t="shared" si="50"/>
        <v>0.09192408164</v>
      </c>
    </row>
    <row r="132">
      <c r="A132" s="77" t="s">
        <v>187</v>
      </c>
      <c r="B132" s="296">
        <f t="shared" ref="B132:N132" si="51">B121/B125</f>
        <v>0.2113161858</v>
      </c>
      <c r="C132" s="296">
        <f t="shared" si="51"/>
        <v>0.1226314286</v>
      </c>
      <c r="D132" s="296">
        <f t="shared" si="51"/>
        <v>0.1890081034</v>
      </c>
      <c r="E132" s="296">
        <f t="shared" si="51"/>
        <v>0.3199424534</v>
      </c>
      <c r="F132" s="296">
        <f t="shared" si="51"/>
        <v>0.1633140827</v>
      </c>
      <c r="G132" s="296">
        <f t="shared" si="51"/>
        <v>0.2024253428</v>
      </c>
      <c r="H132" s="296">
        <f t="shared" si="51"/>
        <v>0.2087077803</v>
      </c>
      <c r="I132" s="296">
        <f t="shared" si="51"/>
        <v>0.2583942711</v>
      </c>
      <c r="J132" s="296">
        <f t="shared" si="51"/>
        <v>0.3438588366</v>
      </c>
      <c r="K132" s="296">
        <f t="shared" si="51"/>
        <v>0.179083628</v>
      </c>
      <c r="L132" s="296">
        <f t="shared" si="51"/>
        <v>0.1090301417</v>
      </c>
      <c r="M132" s="296">
        <f t="shared" si="51"/>
        <v>0.263296183</v>
      </c>
      <c r="N132" s="296">
        <f t="shared" si="51"/>
        <v>0.2485722731</v>
      </c>
    </row>
    <row r="133">
      <c r="A133" s="204"/>
      <c r="B133" s="291"/>
      <c r="C133" s="291"/>
      <c r="D133" s="291"/>
      <c r="E133" s="291"/>
      <c r="F133" s="291"/>
      <c r="G133" s="291"/>
      <c r="H133" s="291"/>
      <c r="I133" s="291"/>
      <c r="J133" s="291"/>
      <c r="K133" s="291"/>
      <c r="L133" s="291"/>
      <c r="M133" s="291"/>
      <c r="N133" s="291"/>
    </row>
    <row r="134">
      <c r="A134" s="510" t="s">
        <v>535</v>
      </c>
      <c r="B134" s="208"/>
      <c r="C134" s="208"/>
      <c r="D134" s="208"/>
      <c r="E134" s="208"/>
      <c r="F134" s="208"/>
      <c r="G134" s="208"/>
      <c r="H134" s="208"/>
      <c r="I134" s="208"/>
      <c r="J134" s="208"/>
      <c r="K134" s="208"/>
      <c r="L134" s="208"/>
      <c r="M134" s="208"/>
      <c r="N134" s="208"/>
    </row>
    <row r="135" outlineLevel="1">
      <c r="A135" s="209"/>
      <c r="B135" s="291"/>
      <c r="C135" s="291"/>
      <c r="D135" s="291"/>
      <c r="E135" s="291"/>
      <c r="F135" s="291"/>
      <c r="G135" s="291"/>
      <c r="H135" s="291"/>
      <c r="I135" s="291"/>
      <c r="J135" s="291"/>
      <c r="K135" s="291"/>
      <c r="L135" s="291"/>
      <c r="M135" s="291"/>
      <c r="N135" s="291"/>
    </row>
    <row r="136" outlineLevel="1">
      <c r="A136" s="178" t="s">
        <v>189</v>
      </c>
      <c r="B136" s="291"/>
      <c r="C136" s="291"/>
      <c r="D136" s="291"/>
      <c r="E136" s="291"/>
      <c r="F136" s="291"/>
      <c r="G136" s="291"/>
      <c r="H136" s="291"/>
      <c r="I136" s="291"/>
      <c r="J136" s="291"/>
      <c r="K136" s="291"/>
      <c r="L136" s="291"/>
      <c r="M136" s="291"/>
      <c r="N136" s="291"/>
    </row>
    <row r="137" outlineLevel="1">
      <c r="A137" s="176" t="s">
        <v>190</v>
      </c>
      <c r="B137" s="211">
        <v>0.0</v>
      </c>
      <c r="C137" s="211">
        <v>0.0</v>
      </c>
      <c r="D137" s="211">
        <v>0.0</v>
      </c>
      <c r="E137" s="211">
        <v>0.0</v>
      </c>
      <c r="F137" s="211">
        <v>0.0</v>
      </c>
      <c r="G137" s="211">
        <v>0.0</v>
      </c>
      <c r="H137" s="211">
        <v>0.0</v>
      </c>
      <c r="I137" s="211">
        <v>0.0</v>
      </c>
      <c r="J137" s="211">
        <v>0.0</v>
      </c>
      <c r="K137" s="211">
        <v>0.0</v>
      </c>
      <c r="L137" s="211">
        <v>0.0</v>
      </c>
      <c r="M137" s="211">
        <v>0.0</v>
      </c>
      <c r="N137" s="211">
        <v>0.0</v>
      </c>
    </row>
    <row r="138" outlineLevel="1">
      <c r="A138" s="176" t="s">
        <v>191</v>
      </c>
      <c r="B138" s="211">
        <v>0.0</v>
      </c>
      <c r="C138" s="211">
        <v>0.0</v>
      </c>
      <c r="D138" s="211">
        <v>0.0</v>
      </c>
      <c r="E138" s="211">
        <v>0.0</v>
      </c>
      <c r="F138" s="211">
        <v>0.0</v>
      </c>
      <c r="G138" s="211">
        <v>0.0</v>
      </c>
      <c r="H138" s="211">
        <v>0.0</v>
      </c>
      <c r="I138" s="211">
        <v>0.0</v>
      </c>
      <c r="J138" s="211">
        <v>0.0</v>
      </c>
      <c r="K138" s="211">
        <v>0.0</v>
      </c>
      <c r="L138" s="211">
        <v>0.0</v>
      </c>
      <c r="M138" s="211">
        <v>0.0</v>
      </c>
      <c r="N138" s="211">
        <v>0.0</v>
      </c>
    </row>
    <row r="139" outlineLevel="1">
      <c r="A139" s="176" t="s">
        <v>192</v>
      </c>
      <c r="B139" s="211">
        <v>0.0</v>
      </c>
      <c r="C139" s="211">
        <v>0.0</v>
      </c>
      <c r="D139" s="211">
        <v>0.0</v>
      </c>
      <c r="E139" s="211">
        <v>0.0</v>
      </c>
      <c r="F139" s="211">
        <v>0.0</v>
      </c>
      <c r="G139" s="211">
        <v>0.0</v>
      </c>
      <c r="H139" s="211">
        <v>0.0</v>
      </c>
      <c r="I139" s="211">
        <v>0.0</v>
      </c>
      <c r="J139" s="211">
        <v>0.0</v>
      </c>
      <c r="K139" s="211">
        <v>0.0</v>
      </c>
      <c r="L139" s="211">
        <v>0.0</v>
      </c>
      <c r="M139" s="211">
        <v>0.0</v>
      </c>
      <c r="N139" s="211">
        <v>0.0</v>
      </c>
    </row>
    <row r="140" outlineLevel="1">
      <c r="A140" s="215" t="s">
        <v>193</v>
      </c>
      <c r="B140" s="217">
        <f t="shared" ref="B140:N140" si="52">SUM(B137:B139)</f>
        <v>0</v>
      </c>
      <c r="C140" s="217">
        <f t="shared" si="52"/>
        <v>0</v>
      </c>
      <c r="D140" s="217">
        <f t="shared" si="52"/>
        <v>0</v>
      </c>
      <c r="E140" s="217">
        <f t="shared" si="52"/>
        <v>0</v>
      </c>
      <c r="F140" s="217">
        <f t="shared" si="52"/>
        <v>0</v>
      </c>
      <c r="G140" s="217">
        <f t="shared" si="52"/>
        <v>0</v>
      </c>
      <c r="H140" s="217">
        <f t="shared" si="52"/>
        <v>0</v>
      </c>
      <c r="I140" s="217">
        <f t="shared" si="52"/>
        <v>0</v>
      </c>
      <c r="J140" s="217">
        <f t="shared" si="52"/>
        <v>0</v>
      </c>
      <c r="K140" s="217">
        <f t="shared" si="52"/>
        <v>0</v>
      </c>
      <c r="L140" s="217">
        <f t="shared" si="52"/>
        <v>0</v>
      </c>
      <c r="M140" s="217">
        <f t="shared" si="52"/>
        <v>0</v>
      </c>
      <c r="N140" s="217">
        <f t="shared" si="52"/>
        <v>0</v>
      </c>
    </row>
    <row r="141" outlineLevel="1">
      <c r="A141" s="176"/>
      <c r="B141" s="210"/>
      <c r="C141" s="210"/>
      <c r="D141" s="210"/>
      <c r="E141" s="210"/>
      <c r="F141" s="210"/>
      <c r="G141" s="210"/>
      <c r="H141" s="210"/>
      <c r="I141" s="210"/>
      <c r="J141" s="210"/>
      <c r="K141" s="210"/>
      <c r="L141" s="210"/>
      <c r="M141" s="210"/>
      <c r="N141" s="210"/>
    </row>
    <row r="142" outlineLevel="1">
      <c r="A142" s="178" t="s">
        <v>194</v>
      </c>
      <c r="B142" s="210"/>
      <c r="C142" s="210"/>
      <c r="D142" s="210"/>
      <c r="E142" s="210"/>
      <c r="F142" s="210"/>
      <c r="G142" s="210"/>
      <c r="H142" s="210"/>
      <c r="I142" s="210"/>
      <c r="J142" s="210"/>
      <c r="K142" s="210"/>
      <c r="L142" s="210"/>
      <c r="M142" s="210"/>
      <c r="N142" s="210"/>
    </row>
    <row r="143" outlineLevel="1">
      <c r="A143" s="176" t="s">
        <v>195</v>
      </c>
      <c r="B143" s="211">
        <v>0.0</v>
      </c>
      <c r="C143" s="211">
        <v>0.0</v>
      </c>
      <c r="D143" s="211">
        <v>0.0</v>
      </c>
      <c r="E143" s="211">
        <v>0.0</v>
      </c>
      <c r="F143" s="211">
        <v>0.0</v>
      </c>
      <c r="G143" s="211">
        <v>0.0</v>
      </c>
      <c r="H143" s="211">
        <v>0.0</v>
      </c>
      <c r="I143" s="211">
        <v>0.0</v>
      </c>
      <c r="J143" s="211">
        <v>0.0</v>
      </c>
      <c r="K143" s="211">
        <v>0.0</v>
      </c>
      <c r="L143" s="211">
        <v>0.0</v>
      </c>
      <c r="M143" s="211">
        <v>0.0</v>
      </c>
      <c r="N143" s="211">
        <v>0.0</v>
      </c>
    </row>
    <row r="144" outlineLevel="1">
      <c r="A144" s="176" t="s">
        <v>196</v>
      </c>
      <c r="B144" s="211">
        <v>0.02</v>
      </c>
      <c r="C144" s="211">
        <v>0.02</v>
      </c>
      <c r="D144" s="211">
        <v>0.02</v>
      </c>
      <c r="E144" s="211">
        <v>0.02</v>
      </c>
      <c r="F144" s="211">
        <v>0.02</v>
      </c>
      <c r="G144" s="211">
        <v>0.02</v>
      </c>
      <c r="H144" s="211">
        <v>0.02</v>
      </c>
      <c r="I144" s="211">
        <v>0.02</v>
      </c>
      <c r="J144" s="211">
        <v>0.02</v>
      </c>
      <c r="K144" s="211">
        <v>0.02</v>
      </c>
      <c r="L144" s="211">
        <v>0.02</v>
      </c>
      <c r="M144" s="211">
        <v>0.02</v>
      </c>
      <c r="N144" s="211">
        <v>0.02</v>
      </c>
    </row>
    <row r="145" outlineLevel="1">
      <c r="A145" s="215" t="s">
        <v>197</v>
      </c>
      <c r="B145" s="217">
        <f t="shared" ref="B145:N145" si="53">sum(B142:B144)</f>
        <v>0.02</v>
      </c>
      <c r="C145" s="217">
        <f t="shared" si="53"/>
        <v>0.02</v>
      </c>
      <c r="D145" s="217">
        <f t="shared" si="53"/>
        <v>0.02</v>
      </c>
      <c r="E145" s="217">
        <f t="shared" si="53"/>
        <v>0.02</v>
      </c>
      <c r="F145" s="217">
        <f t="shared" si="53"/>
        <v>0.02</v>
      </c>
      <c r="G145" s="217">
        <f t="shared" si="53"/>
        <v>0.02</v>
      </c>
      <c r="H145" s="217">
        <f t="shared" si="53"/>
        <v>0.02</v>
      </c>
      <c r="I145" s="217">
        <f t="shared" si="53"/>
        <v>0.02</v>
      </c>
      <c r="J145" s="217">
        <f t="shared" si="53"/>
        <v>0.02</v>
      </c>
      <c r="K145" s="217">
        <f t="shared" si="53"/>
        <v>0.02</v>
      </c>
      <c r="L145" s="217">
        <f t="shared" si="53"/>
        <v>0.02</v>
      </c>
      <c r="M145" s="217">
        <f t="shared" si="53"/>
        <v>0.02</v>
      </c>
      <c r="N145" s="217">
        <f t="shared" si="53"/>
        <v>0.02</v>
      </c>
    </row>
    <row r="146" outlineLevel="1">
      <c r="A146" s="176"/>
      <c r="B146" s="210"/>
      <c r="C146" s="210"/>
      <c r="D146" s="210"/>
      <c r="E146" s="210"/>
      <c r="F146" s="210"/>
      <c r="G146" s="210"/>
      <c r="H146" s="210"/>
      <c r="I146" s="210"/>
      <c r="J146" s="210"/>
      <c r="K146" s="210"/>
      <c r="L146" s="210"/>
      <c r="M146" s="210"/>
      <c r="N146" s="210"/>
    </row>
    <row r="147" outlineLevel="1">
      <c r="A147" s="178" t="s">
        <v>198</v>
      </c>
      <c r="B147" s="210"/>
      <c r="C147" s="210"/>
      <c r="D147" s="210"/>
      <c r="E147" s="210"/>
      <c r="F147" s="210"/>
      <c r="G147" s="210"/>
      <c r="H147" s="210"/>
      <c r="I147" s="210"/>
      <c r="J147" s="210"/>
      <c r="K147" s="210"/>
      <c r="L147" s="210"/>
      <c r="M147" s="210"/>
      <c r="N147" s="210"/>
    </row>
    <row r="148" outlineLevel="1">
      <c r="A148" s="176" t="s">
        <v>199</v>
      </c>
      <c r="B148" s="111">
        <v>0.01</v>
      </c>
      <c r="C148" s="111">
        <v>0.01</v>
      </c>
      <c r="D148" s="111">
        <v>0.01</v>
      </c>
      <c r="E148" s="111">
        <v>0.01</v>
      </c>
      <c r="F148" s="111">
        <v>0.01</v>
      </c>
      <c r="G148" s="111">
        <v>0.01</v>
      </c>
      <c r="H148" s="111">
        <v>0.01</v>
      </c>
      <c r="I148" s="111">
        <v>0.01</v>
      </c>
      <c r="J148" s="111">
        <v>0.01</v>
      </c>
      <c r="K148" s="111">
        <v>0.01</v>
      </c>
      <c r="L148" s="111">
        <v>0.01</v>
      </c>
      <c r="M148" s="111">
        <v>0.01</v>
      </c>
      <c r="N148" s="111">
        <v>0.01</v>
      </c>
    </row>
    <row r="149" outlineLevel="1">
      <c r="A149" s="176" t="s">
        <v>200</v>
      </c>
      <c r="B149" s="211">
        <v>0.0</v>
      </c>
      <c r="C149" s="211">
        <v>0.0</v>
      </c>
      <c r="D149" s="211">
        <v>0.0</v>
      </c>
      <c r="E149" s="211">
        <v>0.0</v>
      </c>
      <c r="F149" s="211">
        <v>0.0</v>
      </c>
      <c r="G149" s="211">
        <v>0.0</v>
      </c>
      <c r="H149" s="211">
        <v>0.0</v>
      </c>
      <c r="I149" s="211">
        <v>0.0</v>
      </c>
      <c r="J149" s="211">
        <v>0.0</v>
      </c>
      <c r="K149" s="211">
        <v>0.0</v>
      </c>
      <c r="L149" s="211">
        <v>0.0</v>
      </c>
      <c r="M149" s="211">
        <v>0.0</v>
      </c>
      <c r="N149" s="211">
        <v>0.0</v>
      </c>
    </row>
    <row r="150" outlineLevel="1">
      <c r="A150" s="176" t="s">
        <v>201</v>
      </c>
      <c r="B150" s="211">
        <v>0.05</v>
      </c>
      <c r="C150" s="211">
        <v>0.05</v>
      </c>
      <c r="D150" s="211">
        <v>0.05</v>
      </c>
      <c r="E150" s="211">
        <v>0.05</v>
      </c>
      <c r="F150" s="211">
        <v>0.05</v>
      </c>
      <c r="G150" s="211">
        <v>0.05</v>
      </c>
      <c r="H150" s="211">
        <v>0.05</v>
      </c>
      <c r="I150" s="211">
        <v>0.05</v>
      </c>
      <c r="J150" s="211">
        <v>0.05</v>
      </c>
      <c r="K150" s="211">
        <v>0.05</v>
      </c>
      <c r="L150" s="211">
        <v>0.05</v>
      </c>
      <c r="M150" s="211">
        <v>0.05</v>
      </c>
      <c r="N150" s="211">
        <v>0.05</v>
      </c>
    </row>
    <row r="151" outlineLevel="1">
      <c r="A151" s="219" t="s">
        <v>202</v>
      </c>
      <c r="B151" s="217">
        <f t="shared" ref="B151:N151" si="54">sum(B148:B150)</f>
        <v>0.06</v>
      </c>
      <c r="C151" s="217">
        <f t="shared" si="54"/>
        <v>0.06</v>
      </c>
      <c r="D151" s="217">
        <f t="shared" si="54"/>
        <v>0.06</v>
      </c>
      <c r="E151" s="217">
        <f t="shared" si="54"/>
        <v>0.06</v>
      </c>
      <c r="F151" s="217">
        <f t="shared" si="54"/>
        <v>0.06</v>
      </c>
      <c r="G151" s="217">
        <f t="shared" si="54"/>
        <v>0.06</v>
      </c>
      <c r="H151" s="217">
        <f t="shared" si="54"/>
        <v>0.06</v>
      </c>
      <c r="I151" s="217">
        <f t="shared" si="54"/>
        <v>0.06</v>
      </c>
      <c r="J151" s="217">
        <f t="shared" si="54"/>
        <v>0.06</v>
      </c>
      <c r="K151" s="217">
        <f t="shared" si="54"/>
        <v>0.06</v>
      </c>
      <c r="L151" s="217">
        <f t="shared" si="54"/>
        <v>0.06</v>
      </c>
      <c r="M151" s="217">
        <f t="shared" si="54"/>
        <v>0.06</v>
      </c>
      <c r="N151" s="217">
        <f t="shared" si="54"/>
        <v>0.06</v>
      </c>
    </row>
    <row r="152" outlineLevel="1">
      <c r="A152" s="176"/>
      <c r="B152" s="210"/>
      <c r="C152" s="210"/>
      <c r="D152" s="210"/>
      <c r="E152" s="210"/>
      <c r="F152" s="210"/>
      <c r="G152" s="210"/>
      <c r="H152" s="210"/>
      <c r="I152" s="210"/>
      <c r="J152" s="210"/>
      <c r="K152" s="210"/>
      <c r="L152" s="210"/>
      <c r="M152" s="210"/>
      <c r="N152" s="210"/>
    </row>
    <row r="153" outlineLevel="1">
      <c r="A153" s="71" t="s">
        <v>203</v>
      </c>
      <c r="B153" s="218">
        <f t="shared" ref="B153:N153" si="55">1-sum(B140,B145,B151)</f>
        <v>0.92</v>
      </c>
      <c r="C153" s="218">
        <f t="shared" si="55"/>
        <v>0.92</v>
      </c>
      <c r="D153" s="218">
        <f t="shared" si="55"/>
        <v>0.92</v>
      </c>
      <c r="E153" s="218">
        <f t="shared" si="55"/>
        <v>0.92</v>
      </c>
      <c r="F153" s="218">
        <f t="shared" si="55"/>
        <v>0.92</v>
      </c>
      <c r="G153" s="218">
        <f t="shared" si="55"/>
        <v>0.92</v>
      </c>
      <c r="H153" s="218">
        <f t="shared" si="55"/>
        <v>0.92</v>
      </c>
      <c r="I153" s="218">
        <f t="shared" si="55"/>
        <v>0.92</v>
      </c>
      <c r="J153" s="218">
        <f t="shared" si="55"/>
        <v>0.92</v>
      </c>
      <c r="K153" s="218">
        <f t="shared" si="55"/>
        <v>0.92</v>
      </c>
      <c r="L153" s="218">
        <f t="shared" si="55"/>
        <v>0.92</v>
      </c>
      <c r="M153" s="218">
        <f t="shared" si="55"/>
        <v>0.92</v>
      </c>
      <c r="N153" s="218">
        <f t="shared" si="55"/>
        <v>0.92</v>
      </c>
    </row>
    <row r="154">
      <c r="A154" s="494"/>
      <c r="B154" s="224"/>
      <c r="C154" s="224"/>
      <c r="D154" s="224"/>
      <c r="E154" s="224"/>
      <c r="F154" s="224"/>
      <c r="G154" s="224"/>
      <c r="H154" s="224"/>
      <c r="I154" s="224"/>
      <c r="J154" s="224"/>
      <c r="K154" s="224"/>
      <c r="L154" s="224"/>
      <c r="M154" s="224"/>
      <c r="N154" s="224"/>
    </row>
    <row r="155">
      <c r="A155" s="510" t="s">
        <v>204</v>
      </c>
      <c r="B155" s="397"/>
      <c r="C155" s="397"/>
      <c r="D155" s="397"/>
      <c r="E155" s="397"/>
      <c r="F155" s="397"/>
      <c r="G155" s="397"/>
      <c r="H155" s="397"/>
      <c r="I155" s="397"/>
      <c r="J155" s="397"/>
      <c r="K155" s="397"/>
      <c r="L155" s="397"/>
      <c r="M155" s="397"/>
      <c r="N155" s="397"/>
    </row>
    <row r="156">
      <c r="A156" s="55" t="s">
        <v>536</v>
      </c>
      <c r="B156" s="168">
        <f t="shared" ref="B156:N156" si="56">B89*B153</f>
        <v>67.4794962</v>
      </c>
      <c r="C156" s="168">
        <f t="shared" si="56"/>
        <v>49.62954113</v>
      </c>
      <c r="D156" s="168">
        <f t="shared" si="56"/>
        <v>36.22434716</v>
      </c>
      <c r="E156" s="168">
        <f t="shared" si="56"/>
        <v>65.65378351</v>
      </c>
      <c r="F156" s="168">
        <f t="shared" si="56"/>
        <v>44.14590444</v>
      </c>
      <c r="G156" s="168">
        <f t="shared" si="56"/>
        <v>49.07498668</v>
      </c>
      <c r="H156" s="168">
        <f t="shared" si="56"/>
        <v>35.04673008</v>
      </c>
      <c r="I156" s="168">
        <f t="shared" si="56"/>
        <v>70.06777995</v>
      </c>
      <c r="J156" s="168">
        <f t="shared" si="56"/>
        <v>35.52007952</v>
      </c>
      <c r="K156" s="168">
        <f t="shared" si="56"/>
        <v>19.57900784</v>
      </c>
      <c r="L156" s="168">
        <f t="shared" si="56"/>
        <v>31.54297897</v>
      </c>
      <c r="M156" s="168">
        <f t="shared" si="56"/>
        <v>50.93714489</v>
      </c>
      <c r="N156" s="168">
        <f t="shared" si="56"/>
        <v>22.99167598</v>
      </c>
    </row>
    <row r="157">
      <c r="A157" s="91" t="s">
        <v>537</v>
      </c>
      <c r="B157" s="248">
        <f t="shared" ref="B157:N157" si="57">B14/B156</f>
        <v>1670.320577</v>
      </c>
      <c r="C157" s="248">
        <f t="shared" si="57"/>
        <v>2341.719696</v>
      </c>
      <c r="D157" s="248">
        <f t="shared" si="57"/>
        <v>3208.297267</v>
      </c>
      <c r="E157" s="248">
        <f t="shared" si="57"/>
        <v>1770.171767</v>
      </c>
      <c r="F157" s="248">
        <f t="shared" si="57"/>
        <v>2632.599229</v>
      </c>
      <c r="G157" s="248">
        <f t="shared" si="57"/>
        <v>2368.181468</v>
      </c>
      <c r="H157" s="248">
        <f t="shared" si="57"/>
        <v>3316.100354</v>
      </c>
      <c r="I157" s="248">
        <f t="shared" si="57"/>
        <v>1658.657861</v>
      </c>
      <c r="J157" s="248">
        <f t="shared" si="57"/>
        <v>3220.871487</v>
      </c>
      <c r="K157" s="248">
        <f t="shared" si="57"/>
        <v>5710.803214</v>
      </c>
      <c r="L157" s="248">
        <f t="shared" si="57"/>
        <v>3684.44826</v>
      </c>
      <c r="M157" s="248">
        <f t="shared" si="57"/>
        <v>2281.60558</v>
      </c>
      <c r="N157" s="248">
        <f t="shared" si="57"/>
        <v>4863.145297</v>
      </c>
    </row>
    <row r="158">
      <c r="A158" s="55"/>
      <c r="B158" s="84"/>
      <c r="C158" s="84"/>
      <c r="D158" s="84"/>
      <c r="E158" s="84"/>
      <c r="F158" s="84"/>
      <c r="G158" s="84"/>
      <c r="H158" s="84"/>
      <c r="I158" s="84"/>
      <c r="J158" s="84"/>
      <c r="K158" s="84"/>
      <c r="L158" s="84"/>
      <c r="M158" s="84"/>
      <c r="N158" s="84"/>
    </row>
    <row r="159">
      <c r="A159" s="55" t="s">
        <v>213</v>
      </c>
      <c r="B159" s="168">
        <f t="shared" ref="B159:N159" si="58">sum(B72,B86,B121)*B153</f>
        <v>9597.135292</v>
      </c>
      <c r="C159" s="168">
        <f t="shared" si="58"/>
        <v>6473.192828</v>
      </c>
      <c r="D159" s="168">
        <f t="shared" si="58"/>
        <v>4971.937986</v>
      </c>
      <c r="E159" s="168">
        <f t="shared" si="58"/>
        <v>10935.41533</v>
      </c>
      <c r="F159" s="168">
        <f t="shared" si="58"/>
        <v>5562.684247</v>
      </c>
      <c r="G159" s="168">
        <f t="shared" si="58"/>
        <v>6794.191602</v>
      </c>
      <c r="H159" s="168">
        <f t="shared" si="58"/>
        <v>4844.197064</v>
      </c>
      <c r="I159" s="168">
        <f t="shared" si="58"/>
        <v>10808.36333</v>
      </c>
      <c r="J159" s="168">
        <f t="shared" si="58"/>
        <v>5759.75169</v>
      </c>
      <c r="K159" s="168">
        <f t="shared" si="58"/>
        <v>2676.285748</v>
      </c>
      <c r="L159" s="168">
        <f t="shared" si="58"/>
        <v>3837.931097</v>
      </c>
      <c r="M159" s="168">
        <f t="shared" si="58"/>
        <v>7096.530536</v>
      </c>
      <c r="N159" s="168">
        <f t="shared" si="58"/>
        <v>3318.198729</v>
      </c>
    </row>
    <row r="160">
      <c r="A160" s="55" t="s">
        <v>183</v>
      </c>
      <c r="B160" s="523">
        <f t="shared" ref="B160:N160" si="59">B159/B14</f>
        <v>0.08514711831</v>
      </c>
      <c r="C160" s="523">
        <f t="shared" si="59"/>
        <v>0.05569848411</v>
      </c>
      <c r="D160" s="523">
        <f t="shared" si="59"/>
        <v>0.04278096085</v>
      </c>
      <c r="E160" s="523">
        <f t="shared" si="59"/>
        <v>0.09409360623</v>
      </c>
      <c r="F160" s="523">
        <f t="shared" si="59"/>
        <v>0.0478640276</v>
      </c>
      <c r="G160" s="523">
        <f t="shared" si="59"/>
        <v>0.05846051294</v>
      </c>
      <c r="H160" s="523">
        <f t="shared" si="59"/>
        <v>0.04168181613</v>
      </c>
      <c r="I160" s="523">
        <f t="shared" si="59"/>
        <v>0.09300038932</v>
      </c>
      <c r="J160" s="523">
        <f t="shared" si="59"/>
        <v>0.05034501037</v>
      </c>
      <c r="K160" s="523">
        <f t="shared" si="59"/>
        <v>0.02393561584</v>
      </c>
      <c r="L160" s="523">
        <f t="shared" si="59"/>
        <v>0.03302341672</v>
      </c>
      <c r="M160" s="523">
        <f t="shared" si="59"/>
        <v>0.06106198345</v>
      </c>
      <c r="N160" s="523">
        <f t="shared" si="59"/>
        <v>0.02967662556</v>
      </c>
    </row>
    <row r="161">
      <c r="A161" s="91" t="s">
        <v>209</v>
      </c>
      <c r="B161" s="222">
        <f t="array" ref="B161">B160/index(GiveDirectly!$B:$B,match("Units of value generated per philanthropic dollar spent, after accounting for all adjustments",GiveDirectly!$A:$A,0))</f>
        <v>25.38269692</v>
      </c>
      <c r="C161" s="222">
        <f t="array" ref="C161">C160/index(GiveDirectly!$B:$B,match("Units of value generated per philanthropic dollar spent, after accounting for all adjustments",GiveDirectly!$A:$A,0))</f>
        <v>16.60394115</v>
      </c>
      <c r="D161" s="222">
        <f t="array" ref="D161">D160/index(GiveDirectly!$B:$B,match("Units of value generated per philanthropic dollar spent, after accounting for all adjustments",GiveDirectly!$A:$A,0))</f>
        <v>12.75317574</v>
      </c>
      <c r="E161" s="222">
        <f t="array" ref="E161">E160/index(GiveDirectly!$B:$B,match("Units of value generated per philanthropic dollar spent, after accounting for all adjustments",GiveDirectly!$A:$A,0))</f>
        <v>28.0496808</v>
      </c>
      <c r="F161" s="222">
        <f t="array" ref="F161">F160/index(GiveDirectly!$B:$B,match("Units of value generated per philanthropic dollar spent, after accounting for all adjustments",GiveDirectly!$A:$A,0))</f>
        <v>14.26845829</v>
      </c>
      <c r="G161" s="222">
        <f t="array" ref="G161">G160/index(GiveDirectly!$B:$B,match("Units of value generated per philanthropic dollar spent, after accounting for all adjustments",GiveDirectly!$A:$A,0))</f>
        <v>17.427313</v>
      </c>
      <c r="H161" s="222">
        <f t="array" ref="H161">H160/index(GiveDirectly!$B:$B,match("Units of value generated per philanthropic dollar spent, after accounting for all adjustments",GiveDirectly!$A:$A,0))</f>
        <v>12.4255163</v>
      </c>
      <c r="I161" s="222">
        <f t="array" ref="I161">I160/index(GiveDirectly!$B:$B,match("Units of value generated per philanthropic dollar spent, after accounting for all adjustments",GiveDirectly!$A:$A,0))</f>
        <v>27.72378846</v>
      </c>
      <c r="J161" s="222">
        <f t="array" ref="J161">J160/index(GiveDirectly!$B:$B,match("Units of value generated per philanthropic dollar spent, after accounting for all adjustments",GiveDirectly!$A:$A,0))</f>
        <v>15.00804919</v>
      </c>
      <c r="K161" s="222">
        <f t="array" ref="K161">K160/index(GiveDirectly!$B:$B,match("Units of value generated per philanthropic dollar spent, after accounting for all adjustments",GiveDirectly!$A:$A,0))</f>
        <v>7.135302926</v>
      </c>
      <c r="L161" s="222">
        <f t="array" ref="L161">L160/index(GiveDirectly!$B:$B,match("Units of value generated per philanthropic dollar spent, after accounting for all adjustments",GiveDirectly!$A:$A,0))</f>
        <v>9.844412759</v>
      </c>
      <c r="M161" s="222">
        <f t="array" ref="M161">M160/index(GiveDirectly!$B:$B,match("Units of value generated per philanthropic dollar spent, after accounting for all adjustments",GiveDirectly!$A:$A,0))</f>
        <v>18.20282178</v>
      </c>
      <c r="N161" s="222">
        <f t="array" ref="N161">N160/index(GiveDirectly!$B:$B,match("Units of value generated per philanthropic dollar spent, after accounting for all adjustments",GiveDirectly!$A:$A,0))</f>
        <v>8.846720913</v>
      </c>
    </row>
    <row r="162">
      <c r="A162" s="494"/>
      <c r="B162" s="84"/>
      <c r="C162" s="84"/>
      <c r="D162" s="84"/>
      <c r="E162" s="84"/>
      <c r="F162" s="84"/>
      <c r="G162" s="84"/>
      <c r="H162" s="84"/>
      <c r="I162" s="84"/>
      <c r="J162" s="84"/>
      <c r="K162" s="84"/>
      <c r="L162" s="84"/>
      <c r="M162" s="84"/>
      <c r="N162" s="84"/>
    </row>
    <row r="163">
      <c r="A163" s="510" t="s">
        <v>538</v>
      </c>
      <c r="B163" s="208"/>
      <c r="C163" s="208"/>
      <c r="D163" s="208"/>
      <c r="E163" s="208"/>
      <c r="F163" s="208"/>
      <c r="G163" s="208"/>
      <c r="H163" s="208"/>
      <c r="I163" s="208"/>
      <c r="J163" s="208"/>
      <c r="K163" s="208"/>
      <c r="L163" s="208"/>
      <c r="M163" s="208"/>
      <c r="N163" s="208"/>
    </row>
    <row r="164" outlineLevel="1">
      <c r="A164" s="209" t="s">
        <v>211</v>
      </c>
      <c r="B164" s="224"/>
      <c r="C164" s="224"/>
      <c r="D164" s="224"/>
      <c r="E164" s="224"/>
      <c r="F164" s="224"/>
      <c r="G164" s="224"/>
      <c r="H164" s="224"/>
      <c r="I164" s="224"/>
      <c r="J164" s="224"/>
      <c r="K164" s="224"/>
      <c r="L164" s="224"/>
      <c r="M164" s="224"/>
      <c r="N164" s="224"/>
    </row>
    <row r="165" outlineLevel="1">
      <c r="A165" s="77" t="str">
        <f>IFERROR(__xludf.DUMMYFUNCTION("filter('Supplemental intervention-level'!C:C,'Supplemental intervention-level'!A:A=""SMC"",'Supplemental intervention-level'!D:D=""Explicitly modeled"")"),"Malaria child mortality")</f>
        <v>Malaria child mortality</v>
      </c>
      <c r="B165" s="224"/>
      <c r="C165" s="224"/>
      <c r="D165" s="224"/>
      <c r="E165" s="224"/>
      <c r="F165" s="224"/>
      <c r="G165" s="224"/>
      <c r="H165" s="224"/>
      <c r="I165" s="224"/>
      <c r="J165" s="224"/>
      <c r="K165" s="224"/>
      <c r="L165" s="224"/>
      <c r="M165" s="224"/>
      <c r="N165" s="224"/>
    </row>
    <row r="166" outlineLevel="1">
      <c r="A166" s="71" t="str">
        <f>IFERROR(__xludf.DUMMYFUNCTION("""COMPUTED_VALUE"""),"Developmental effects")</f>
        <v>Developmental effects</v>
      </c>
      <c r="B166" s="224"/>
      <c r="C166" s="224"/>
      <c r="D166" s="224"/>
      <c r="E166" s="224"/>
      <c r="F166" s="224"/>
      <c r="G166" s="224"/>
      <c r="H166" s="224"/>
      <c r="I166" s="224"/>
      <c r="J166" s="224"/>
      <c r="K166" s="224"/>
      <c r="L166" s="224"/>
      <c r="M166" s="224"/>
      <c r="N166" s="224"/>
    </row>
    <row r="167" outlineLevel="1">
      <c r="A167" s="225" t="str">
        <f>IFERROR(__xludf.DUMMYFUNCTION("""COMPUTED_VALUE"""),"Malaria adult mortality")</f>
        <v>Malaria adult mortality</v>
      </c>
      <c r="B167" s="224"/>
      <c r="C167" s="224"/>
      <c r="D167" s="224"/>
      <c r="E167" s="224"/>
      <c r="F167" s="224"/>
      <c r="G167" s="224"/>
      <c r="H167" s="224"/>
      <c r="I167" s="224"/>
      <c r="J167" s="224"/>
      <c r="K167" s="224"/>
      <c r="L167" s="224"/>
      <c r="M167" s="224"/>
      <c r="N167" s="224"/>
    </row>
    <row r="168" outlineLevel="1">
      <c r="A168" s="225"/>
      <c r="B168" s="224"/>
      <c r="C168" s="224"/>
      <c r="D168" s="224"/>
      <c r="E168" s="224"/>
      <c r="F168" s="224"/>
      <c r="G168" s="224"/>
      <c r="H168" s="224"/>
      <c r="I168" s="224"/>
      <c r="J168" s="224"/>
      <c r="K168" s="224"/>
      <c r="L168" s="224"/>
      <c r="M168" s="224"/>
      <c r="N168" s="224"/>
    </row>
    <row r="169" outlineLevel="1">
      <c r="A169" s="209" t="s">
        <v>27</v>
      </c>
      <c r="B169" s="224"/>
      <c r="C169" s="224"/>
      <c r="D169" s="224"/>
      <c r="E169" s="224"/>
      <c r="F169" s="224"/>
      <c r="G169" s="224"/>
      <c r="H169" s="224"/>
      <c r="I169" s="224"/>
      <c r="J169" s="224"/>
      <c r="K169" s="224"/>
      <c r="L169" s="224"/>
      <c r="M169" s="224"/>
      <c r="N169" s="224"/>
    </row>
    <row r="170" outlineLevel="1">
      <c r="A170" s="116" t="str">
        <f>IFERROR(__xludf.DUMMYFUNCTION("filter('Supplemental intervention-level'!C:C,'Supplemental intervention-level'!A:A=""SMC"",'Supplemental intervention-level'!D:D=""Not explicitly modeled"")"),"Malaria morbidity")</f>
        <v>Malaria morbidity</v>
      </c>
      <c r="B170" s="226">
        <f t="array" ref="B170">iferror(if(isblank($A170),"",index('Supplemental intervention-level'!$M:$M,match(1,('Supplemental intervention-level'!$C:$C=$A170)*('Supplemental intervention-level'!$A:$A="SMC"),0))),"Not specified")</f>
        <v>0.09</v>
      </c>
      <c r="C170" s="226">
        <f t="array" ref="C170">iferror(if(isblank($A170),"",index('Supplemental intervention-level'!$M:$M,match(1,('Supplemental intervention-level'!$C:$C=$A170)*('Supplemental intervention-level'!$A:$A="SMC"),0))),"Not specified")</f>
        <v>0.09</v>
      </c>
      <c r="D170" s="226">
        <f t="array" ref="D170">iferror(if(isblank($A170),"",index('Supplemental intervention-level'!$M:$M,match(1,('Supplemental intervention-level'!$C:$C=$A170)*('Supplemental intervention-level'!$A:$A="SMC"),0))),"Not specified")</f>
        <v>0.09</v>
      </c>
      <c r="E170" s="226">
        <f t="array" ref="E170">iferror(if(isblank($A170),"",index('Supplemental intervention-level'!$M:$M,match(1,('Supplemental intervention-level'!$C:$C=$A170)*('Supplemental intervention-level'!$A:$A="SMC"),0))),"Not specified")</f>
        <v>0.09</v>
      </c>
      <c r="F170" s="226">
        <f t="array" ref="F170">iferror(if(isblank($A170),"",index('Supplemental intervention-level'!$M:$M,match(1,('Supplemental intervention-level'!$C:$C=$A170)*('Supplemental intervention-level'!$A:$A="SMC"),0))),"Not specified")</f>
        <v>0.09</v>
      </c>
      <c r="G170" s="226">
        <f t="array" ref="G170">iferror(if(isblank($A170),"",index('Supplemental intervention-level'!$M:$M,match(1,('Supplemental intervention-level'!$C:$C=$A170)*('Supplemental intervention-level'!$A:$A="SMC"),0))),"Not specified")</f>
        <v>0.09</v>
      </c>
      <c r="H170" s="226">
        <f t="array" ref="H170">iferror(if(isblank($A170),"",index('Supplemental intervention-level'!$M:$M,match(1,('Supplemental intervention-level'!$C:$C=$A170)*('Supplemental intervention-level'!$A:$A="SMC"),0))),"Not specified")</f>
        <v>0.09</v>
      </c>
      <c r="I170" s="226">
        <f t="array" ref="I170">iferror(if(isblank($A170),"",index('Supplemental intervention-level'!$M:$M,match(1,('Supplemental intervention-level'!$C:$C=$A170)*('Supplemental intervention-level'!$A:$A="SMC"),0))),"Not specified")</f>
        <v>0.09</v>
      </c>
      <c r="J170" s="226">
        <f t="array" ref="J170">iferror(if(isblank($A170),"",index('Supplemental intervention-level'!$M:$M,match(1,('Supplemental intervention-level'!$C:$C=$A170)*('Supplemental intervention-level'!$A:$A="SMC"),0))),"Not specified")</f>
        <v>0.09</v>
      </c>
      <c r="K170" s="226">
        <f t="array" ref="K170">iferror(if(isblank($A170),"",index('Supplemental intervention-level'!$M:$M,match(1,('Supplemental intervention-level'!$C:$C=$A170)*('Supplemental intervention-level'!$A:$A="SMC"),0))),"Not specified")</f>
        <v>0.09</v>
      </c>
      <c r="L170" s="226">
        <f t="array" ref="L170">iferror(if(isblank($A170),"",index('Supplemental intervention-level'!$M:$M,match(1,('Supplemental intervention-level'!$C:$C=$A170)*('Supplemental intervention-level'!$A:$A="SMC"),0))),"Not specified")</f>
        <v>0.09</v>
      </c>
      <c r="M170" s="226">
        <f t="array" ref="M170">iferror(if(isblank($A170),"",index('Supplemental intervention-level'!$M:$M,match(1,('Supplemental intervention-level'!$C:$C=$A170)*('Supplemental intervention-level'!$A:$A="SMC"),0))),"Not specified")</f>
        <v>0.09</v>
      </c>
      <c r="N170" s="226">
        <f t="array" ref="N170">iferror(if(isblank($A170),"",index('Supplemental intervention-level'!$M:$M,match(1,('Supplemental intervention-level'!$C:$C=$A170)*('Supplemental intervention-level'!$A:$A="SMC"),0))),"Not specified")</f>
        <v>0.09</v>
      </c>
    </row>
    <row r="171" outlineLevel="1">
      <c r="A171" s="116" t="str">
        <f>IFERROR(__xludf.DUMMYFUNCTION("""COMPUTED_VALUE"""),"Short-term anemia effects")</f>
        <v>Short-term anemia effects</v>
      </c>
      <c r="B171" s="226">
        <f t="array" ref="B171">iferror(if(isblank($A171),"",index('Supplemental intervention-level'!$M:$M,match(1,('Supplemental intervention-level'!$C:$C=$A171)*('Supplemental intervention-level'!$A:$A="SMC"),0))),"Not specified")</f>
        <v>0.09</v>
      </c>
      <c r="C171" s="226">
        <f t="array" ref="C171">iferror(if(isblank($A171),"",index('Supplemental intervention-level'!$M:$M,match(1,('Supplemental intervention-level'!$C:$C=$A171)*('Supplemental intervention-level'!$A:$A="SMC"),0))),"Not specified")</f>
        <v>0.09</v>
      </c>
      <c r="D171" s="226">
        <f t="array" ref="D171">iferror(if(isblank($A171),"",index('Supplemental intervention-level'!$M:$M,match(1,('Supplemental intervention-level'!$C:$C=$A171)*('Supplemental intervention-level'!$A:$A="SMC"),0))),"Not specified")</f>
        <v>0.09</v>
      </c>
      <c r="E171" s="226">
        <f t="array" ref="E171">iferror(if(isblank($A171),"",index('Supplemental intervention-level'!$M:$M,match(1,('Supplemental intervention-level'!$C:$C=$A171)*('Supplemental intervention-level'!$A:$A="SMC"),0))),"Not specified")</f>
        <v>0.09</v>
      </c>
      <c r="F171" s="226">
        <f t="array" ref="F171">iferror(if(isblank($A171),"",index('Supplemental intervention-level'!$M:$M,match(1,('Supplemental intervention-level'!$C:$C=$A171)*('Supplemental intervention-level'!$A:$A="SMC"),0))),"Not specified")</f>
        <v>0.09</v>
      </c>
      <c r="G171" s="226">
        <f t="array" ref="G171">iferror(if(isblank($A171),"",index('Supplemental intervention-level'!$M:$M,match(1,('Supplemental intervention-level'!$C:$C=$A171)*('Supplemental intervention-level'!$A:$A="SMC"),0))),"Not specified")</f>
        <v>0.09</v>
      </c>
      <c r="H171" s="226">
        <f t="array" ref="H171">iferror(if(isblank($A171),"",index('Supplemental intervention-level'!$M:$M,match(1,('Supplemental intervention-level'!$C:$C=$A171)*('Supplemental intervention-level'!$A:$A="SMC"),0))),"Not specified")</f>
        <v>0.09</v>
      </c>
      <c r="I171" s="226">
        <f t="array" ref="I171">iferror(if(isblank($A171),"",index('Supplemental intervention-level'!$M:$M,match(1,('Supplemental intervention-level'!$C:$C=$A171)*('Supplemental intervention-level'!$A:$A="SMC"),0))),"Not specified")</f>
        <v>0.09</v>
      </c>
      <c r="J171" s="226">
        <f t="array" ref="J171">iferror(if(isblank($A171),"",index('Supplemental intervention-level'!$M:$M,match(1,('Supplemental intervention-level'!$C:$C=$A171)*('Supplemental intervention-level'!$A:$A="SMC"),0))),"Not specified")</f>
        <v>0.09</v>
      </c>
      <c r="K171" s="226">
        <f t="array" ref="K171">iferror(if(isblank($A171),"",index('Supplemental intervention-level'!$M:$M,match(1,('Supplemental intervention-level'!$C:$C=$A171)*('Supplemental intervention-level'!$A:$A="SMC"),0))),"Not specified")</f>
        <v>0.09</v>
      </c>
      <c r="L171" s="226">
        <f t="array" ref="L171">iferror(if(isblank($A171),"",index('Supplemental intervention-level'!$M:$M,match(1,('Supplemental intervention-level'!$C:$C=$A171)*('Supplemental intervention-level'!$A:$A="SMC"),0))),"Not specified")</f>
        <v>0.09</v>
      </c>
      <c r="M171" s="226">
        <f t="array" ref="M171">iferror(if(isblank($A171),"",index('Supplemental intervention-level'!$M:$M,match(1,('Supplemental intervention-level'!$C:$C=$A171)*('Supplemental intervention-level'!$A:$A="SMC"),0))),"Not specified")</f>
        <v>0.09</v>
      </c>
      <c r="N171" s="226">
        <f t="array" ref="N171">iferror(if(isblank($A171),"",index('Supplemental intervention-level'!$M:$M,match(1,('Supplemental intervention-level'!$C:$C=$A171)*('Supplemental intervention-level'!$A:$A="SMC"),0))),"Not specified")</f>
        <v>0.09</v>
      </c>
    </row>
    <row r="172" outlineLevel="1">
      <c r="A172" s="116" t="str">
        <f>IFERROR(__xludf.DUMMYFUNCTION("""COMPUTED_VALUE"""),"Investment of income increases")</f>
        <v>Investment of income increases</v>
      </c>
      <c r="B172" s="226">
        <f t="array" ref="B172">iferror(if(isblank($A172),"",index('Supplemental intervention-level'!$M:$M,match(1,('Supplemental intervention-level'!$C:$C=$A172)*('Supplemental intervention-level'!$A:$A="SMC"),0))),"Not specified")</f>
        <v>0.05</v>
      </c>
      <c r="C172" s="226">
        <f t="array" ref="C172">iferror(if(isblank($A172),"",index('Supplemental intervention-level'!$M:$M,match(1,('Supplemental intervention-level'!$C:$C=$A172)*('Supplemental intervention-level'!$A:$A="SMC"),0))),"Not specified")</f>
        <v>0.05</v>
      </c>
      <c r="D172" s="226">
        <f t="array" ref="D172">iferror(if(isblank($A172),"",index('Supplemental intervention-level'!$M:$M,match(1,('Supplemental intervention-level'!$C:$C=$A172)*('Supplemental intervention-level'!$A:$A="SMC"),0))),"Not specified")</f>
        <v>0.05</v>
      </c>
      <c r="E172" s="226">
        <f t="array" ref="E172">iferror(if(isblank($A172),"",index('Supplemental intervention-level'!$M:$M,match(1,('Supplemental intervention-level'!$C:$C=$A172)*('Supplemental intervention-level'!$A:$A="SMC"),0))),"Not specified")</f>
        <v>0.05</v>
      </c>
      <c r="F172" s="226">
        <f t="array" ref="F172">iferror(if(isblank($A172),"",index('Supplemental intervention-level'!$M:$M,match(1,('Supplemental intervention-level'!$C:$C=$A172)*('Supplemental intervention-level'!$A:$A="SMC"),0))),"Not specified")</f>
        <v>0.05</v>
      </c>
      <c r="G172" s="226">
        <f t="array" ref="G172">iferror(if(isblank($A172),"",index('Supplemental intervention-level'!$M:$M,match(1,('Supplemental intervention-level'!$C:$C=$A172)*('Supplemental intervention-level'!$A:$A="SMC"),0))),"Not specified")</f>
        <v>0.05</v>
      </c>
      <c r="H172" s="226">
        <f t="array" ref="H172">iferror(if(isblank($A172),"",index('Supplemental intervention-level'!$M:$M,match(1,('Supplemental intervention-level'!$C:$C=$A172)*('Supplemental intervention-level'!$A:$A="SMC"),0))),"Not specified")</f>
        <v>0.05</v>
      </c>
      <c r="I172" s="226">
        <f t="array" ref="I172">iferror(if(isblank($A172),"",index('Supplemental intervention-level'!$M:$M,match(1,('Supplemental intervention-level'!$C:$C=$A172)*('Supplemental intervention-level'!$A:$A="SMC"),0))),"Not specified")</f>
        <v>0.05</v>
      </c>
      <c r="J172" s="226">
        <f t="array" ref="J172">iferror(if(isblank($A172),"",index('Supplemental intervention-level'!$M:$M,match(1,('Supplemental intervention-level'!$C:$C=$A172)*('Supplemental intervention-level'!$A:$A="SMC"),0))),"Not specified")</f>
        <v>0.05</v>
      </c>
      <c r="K172" s="226">
        <f t="array" ref="K172">iferror(if(isblank($A172),"",index('Supplemental intervention-level'!$M:$M,match(1,('Supplemental intervention-level'!$C:$C=$A172)*('Supplemental intervention-level'!$A:$A="SMC"),0))),"Not specified")</f>
        <v>0.05</v>
      </c>
      <c r="L172" s="226">
        <f t="array" ref="L172">iferror(if(isblank($A172),"",index('Supplemental intervention-level'!$M:$M,match(1,('Supplemental intervention-level'!$C:$C=$A172)*('Supplemental intervention-level'!$A:$A="SMC"),0))),"Not specified")</f>
        <v>0.05</v>
      </c>
      <c r="M172" s="226">
        <f t="array" ref="M172">iferror(if(isblank($A172),"",index('Supplemental intervention-level'!$M:$M,match(1,('Supplemental intervention-level'!$C:$C=$A172)*('Supplemental intervention-level'!$A:$A="SMC"),0))),"Not specified")</f>
        <v>0.05</v>
      </c>
      <c r="N172" s="226">
        <f t="array" ref="N172">iferror(if(isblank($A172),"",index('Supplemental intervention-level'!$M:$M,match(1,('Supplemental intervention-level'!$C:$C=$A172)*('Supplemental intervention-level'!$A:$A="SMC"),0))),"Not specified")</f>
        <v>0.05</v>
      </c>
    </row>
    <row r="173" outlineLevel="1">
      <c r="A173" s="116" t="str">
        <f>IFERROR(__xludf.DUMMYFUNCTION("""COMPUTED_VALUE"""),"Rebound effects / decreased immunity development")</f>
        <v>Rebound effects / decreased immunity development</v>
      </c>
      <c r="B173" s="226">
        <f t="array" ref="B173">iferror(if(isblank($A173),"",index('Supplemental intervention-level'!$M:$M,match(1,('Supplemental intervention-level'!$C:$C=$A173)*('Supplemental intervention-level'!$A:$A="SMC"),0))),"Not specified")</f>
        <v>-0.04</v>
      </c>
      <c r="C173" s="226">
        <f t="array" ref="C173">iferror(if(isblank($A173),"",index('Supplemental intervention-level'!$M:$M,match(1,('Supplemental intervention-level'!$C:$C=$A173)*('Supplemental intervention-level'!$A:$A="SMC"),0))),"Not specified")</f>
        <v>-0.04</v>
      </c>
      <c r="D173" s="226">
        <f t="array" ref="D173">iferror(if(isblank($A173),"",index('Supplemental intervention-level'!$M:$M,match(1,('Supplemental intervention-level'!$C:$C=$A173)*('Supplemental intervention-level'!$A:$A="SMC"),0))),"Not specified")</f>
        <v>-0.04</v>
      </c>
      <c r="E173" s="226">
        <f t="array" ref="E173">iferror(if(isblank($A173),"",index('Supplemental intervention-level'!$M:$M,match(1,('Supplemental intervention-level'!$C:$C=$A173)*('Supplemental intervention-level'!$A:$A="SMC"),0))),"Not specified")</f>
        <v>-0.04</v>
      </c>
      <c r="F173" s="226">
        <f t="array" ref="F173">iferror(if(isblank($A173),"",index('Supplemental intervention-level'!$M:$M,match(1,('Supplemental intervention-level'!$C:$C=$A173)*('Supplemental intervention-level'!$A:$A="SMC"),0))),"Not specified")</f>
        <v>-0.04</v>
      </c>
      <c r="G173" s="226">
        <f t="array" ref="G173">iferror(if(isblank($A173),"",index('Supplemental intervention-level'!$M:$M,match(1,('Supplemental intervention-level'!$C:$C=$A173)*('Supplemental intervention-level'!$A:$A="SMC"),0))),"Not specified")</f>
        <v>-0.04</v>
      </c>
      <c r="H173" s="226">
        <f t="array" ref="H173">iferror(if(isblank($A173),"",index('Supplemental intervention-level'!$M:$M,match(1,('Supplemental intervention-level'!$C:$C=$A173)*('Supplemental intervention-level'!$A:$A="SMC"),0))),"Not specified")</f>
        <v>-0.04</v>
      </c>
      <c r="I173" s="226">
        <f t="array" ref="I173">iferror(if(isblank($A173),"",index('Supplemental intervention-level'!$M:$M,match(1,('Supplemental intervention-level'!$C:$C=$A173)*('Supplemental intervention-level'!$A:$A="SMC"),0))),"Not specified")</f>
        <v>-0.04</v>
      </c>
      <c r="J173" s="226">
        <f t="array" ref="J173">iferror(if(isblank($A173),"",index('Supplemental intervention-level'!$M:$M,match(1,('Supplemental intervention-level'!$C:$C=$A173)*('Supplemental intervention-level'!$A:$A="SMC"),0))),"Not specified")</f>
        <v>-0.04</v>
      </c>
      <c r="K173" s="226">
        <f t="array" ref="K173">iferror(if(isblank($A173),"",index('Supplemental intervention-level'!$M:$M,match(1,('Supplemental intervention-level'!$C:$C=$A173)*('Supplemental intervention-level'!$A:$A="SMC"),0))),"Not specified")</f>
        <v>-0.04</v>
      </c>
      <c r="L173" s="226">
        <f t="array" ref="L173">iferror(if(isblank($A173),"",index('Supplemental intervention-level'!$M:$M,match(1,('Supplemental intervention-level'!$C:$C=$A173)*('Supplemental intervention-level'!$A:$A="SMC"),0))),"Not specified")</f>
        <v>-0.04</v>
      </c>
      <c r="M173" s="226">
        <f t="array" ref="M173">iferror(if(isblank($A173),"",index('Supplemental intervention-level'!$M:$M,match(1,('Supplemental intervention-level'!$C:$C=$A173)*('Supplemental intervention-level'!$A:$A="SMC"),0))),"Not specified")</f>
        <v>-0.04</v>
      </c>
      <c r="N173" s="226">
        <f t="array" ref="N173">iferror(if(isblank($A173),"",index('Supplemental intervention-level'!$M:$M,match(1,('Supplemental intervention-level'!$C:$C=$A173)*('Supplemental intervention-level'!$A:$A="SMC"),0))),"Not specified")</f>
        <v>-0.04</v>
      </c>
    </row>
    <row r="174" outlineLevel="1">
      <c r="A174" s="116" t="str">
        <f>IFERROR(__xludf.DUMMYFUNCTION("""COMPUTED_VALUE"""),"Drug resistance")</f>
        <v>Drug resistance</v>
      </c>
      <c r="B174" s="226">
        <f t="array" ref="B174">iferror(if(isblank($A174),"",index('Supplemental intervention-level'!$M:$M,match(1,('Supplemental intervention-level'!$C:$C=$A174)*('Supplemental intervention-level'!$A:$A="SMC"),0))),"Not specified")</f>
        <v>-0.04</v>
      </c>
      <c r="C174" s="226">
        <f t="array" ref="C174">iferror(if(isblank($A174),"",index('Supplemental intervention-level'!$M:$M,match(1,('Supplemental intervention-level'!$C:$C=$A174)*('Supplemental intervention-level'!$A:$A="SMC"),0))),"Not specified")</f>
        <v>-0.04</v>
      </c>
      <c r="D174" s="226">
        <f t="array" ref="D174">iferror(if(isblank($A174),"",index('Supplemental intervention-level'!$M:$M,match(1,('Supplemental intervention-level'!$C:$C=$A174)*('Supplemental intervention-level'!$A:$A="SMC"),0))),"Not specified")</f>
        <v>-0.04</v>
      </c>
      <c r="E174" s="226">
        <f t="array" ref="E174">iferror(if(isblank($A174),"",index('Supplemental intervention-level'!$M:$M,match(1,('Supplemental intervention-level'!$C:$C=$A174)*('Supplemental intervention-level'!$A:$A="SMC"),0))),"Not specified")</f>
        <v>-0.04</v>
      </c>
      <c r="F174" s="226">
        <f t="array" ref="F174">iferror(if(isblank($A174),"",index('Supplemental intervention-level'!$M:$M,match(1,('Supplemental intervention-level'!$C:$C=$A174)*('Supplemental intervention-level'!$A:$A="SMC"),0))),"Not specified")</f>
        <v>-0.04</v>
      </c>
      <c r="G174" s="226">
        <f t="array" ref="G174">iferror(if(isblank($A174),"",index('Supplemental intervention-level'!$M:$M,match(1,('Supplemental intervention-level'!$C:$C=$A174)*('Supplemental intervention-level'!$A:$A="SMC"),0))),"Not specified")</f>
        <v>-0.04</v>
      </c>
      <c r="H174" s="226">
        <f t="array" ref="H174">iferror(if(isblank($A174),"",index('Supplemental intervention-level'!$M:$M,match(1,('Supplemental intervention-level'!$C:$C=$A174)*('Supplemental intervention-level'!$A:$A="SMC"),0))),"Not specified")</f>
        <v>-0.04</v>
      </c>
      <c r="I174" s="226">
        <f t="array" ref="I174">iferror(if(isblank($A174),"",index('Supplemental intervention-level'!$M:$M,match(1,('Supplemental intervention-level'!$C:$C=$A174)*('Supplemental intervention-level'!$A:$A="SMC"),0))),"Not specified")</f>
        <v>-0.04</v>
      </c>
      <c r="J174" s="226">
        <f t="array" ref="J174">iferror(if(isblank($A174),"",index('Supplemental intervention-level'!$M:$M,match(1,('Supplemental intervention-level'!$C:$C=$A174)*('Supplemental intervention-level'!$A:$A="SMC"),0))),"Not specified")</f>
        <v>-0.04</v>
      </c>
      <c r="K174" s="226">
        <f t="array" ref="K174">iferror(if(isblank($A174),"",index('Supplemental intervention-level'!$M:$M,match(1,('Supplemental intervention-level'!$C:$C=$A174)*('Supplemental intervention-level'!$A:$A="SMC"),0))),"Not specified")</f>
        <v>-0.04</v>
      </c>
      <c r="L174" s="226">
        <f t="array" ref="L174">iferror(if(isblank($A174),"",index('Supplemental intervention-level'!$M:$M,match(1,('Supplemental intervention-level'!$C:$C=$A174)*('Supplemental intervention-level'!$A:$A="SMC"),0))),"Not specified")</f>
        <v>-0.04</v>
      </c>
      <c r="M174" s="226">
        <f t="array" ref="M174">iferror(if(isblank($A174),"",index('Supplemental intervention-level'!$M:$M,match(1,('Supplemental intervention-level'!$C:$C=$A174)*('Supplemental intervention-level'!$A:$A="SMC"),0))),"Not specified")</f>
        <v>-0.04</v>
      </c>
      <c r="N174" s="226">
        <f t="array" ref="N174">iferror(if(isblank($A174),"",index('Supplemental intervention-level'!$M:$M,match(1,('Supplemental intervention-level'!$C:$C=$A174)*('Supplemental intervention-level'!$A:$A="SMC"),0))),"Not specified")</f>
        <v>-0.04</v>
      </c>
    </row>
    <row r="175" outlineLevel="1">
      <c r="A175" s="55" t="str">
        <f>IFERROR(__xludf.DUMMYFUNCTION("""COMPUTED_VALUE"""),"Effect on fertility")</f>
        <v>Effect on fertility</v>
      </c>
      <c r="B175" s="226" t="str">
        <f t="array" ref="B175">iferror(if(isblank($A175),"",index('Supplemental intervention-level'!$M:$M,match(1,('Supplemental intervention-level'!$C:$C=$A175)*('Supplemental intervention-level'!$A:$A="SMC"),0))),"Not specified")</f>
        <v>Not specified</v>
      </c>
      <c r="C175" s="226" t="str">
        <f t="array" ref="C175">iferror(if(isblank($A175),"",index('Supplemental intervention-level'!$M:$M,match(1,('Supplemental intervention-level'!$C:$C=$A175)*('Supplemental intervention-level'!$A:$A="SMC"),0))),"Not specified")</f>
        <v>Not specified</v>
      </c>
      <c r="D175" s="226" t="str">
        <f t="array" ref="D175">iferror(if(isblank($A175),"",index('Supplemental intervention-level'!$M:$M,match(1,('Supplemental intervention-level'!$C:$C=$A175)*('Supplemental intervention-level'!$A:$A="SMC"),0))),"Not specified")</f>
        <v>Not specified</v>
      </c>
      <c r="E175" s="226" t="str">
        <f t="array" ref="E175">iferror(if(isblank($A175),"",index('Supplemental intervention-level'!$M:$M,match(1,('Supplemental intervention-level'!$C:$C=$A175)*('Supplemental intervention-level'!$A:$A="SMC"),0))),"Not specified")</f>
        <v>Not specified</v>
      </c>
      <c r="F175" s="226" t="str">
        <f t="array" ref="F175">iferror(if(isblank($A175),"",index('Supplemental intervention-level'!$M:$M,match(1,('Supplemental intervention-level'!$C:$C=$A175)*('Supplemental intervention-level'!$A:$A="SMC"),0))),"Not specified")</f>
        <v>Not specified</v>
      </c>
      <c r="G175" s="226" t="str">
        <f t="array" ref="G175">iferror(if(isblank($A175),"",index('Supplemental intervention-level'!$M:$M,match(1,('Supplemental intervention-level'!$C:$C=$A175)*('Supplemental intervention-level'!$A:$A="SMC"),0))),"Not specified")</f>
        <v>Not specified</v>
      </c>
      <c r="H175" s="226" t="str">
        <f t="array" ref="H175">iferror(if(isblank($A175),"",index('Supplemental intervention-level'!$M:$M,match(1,('Supplemental intervention-level'!$C:$C=$A175)*('Supplemental intervention-level'!$A:$A="SMC"),0))),"Not specified")</f>
        <v>Not specified</v>
      </c>
      <c r="I175" s="226" t="str">
        <f t="array" ref="I175">iferror(if(isblank($A175),"",index('Supplemental intervention-level'!$M:$M,match(1,('Supplemental intervention-level'!$C:$C=$A175)*('Supplemental intervention-level'!$A:$A="SMC"),0))),"Not specified")</f>
        <v>Not specified</v>
      </c>
      <c r="J175" s="226" t="str">
        <f t="array" ref="J175">iferror(if(isblank($A175),"",index('Supplemental intervention-level'!$M:$M,match(1,('Supplemental intervention-level'!$C:$C=$A175)*('Supplemental intervention-level'!$A:$A="SMC"),0))),"Not specified")</f>
        <v>Not specified</v>
      </c>
      <c r="K175" s="226" t="str">
        <f t="array" ref="K175">iferror(if(isblank($A175),"",index('Supplemental intervention-level'!$M:$M,match(1,('Supplemental intervention-level'!$C:$C=$A175)*('Supplemental intervention-level'!$A:$A="SMC"),0))),"Not specified")</f>
        <v>Not specified</v>
      </c>
      <c r="L175" s="226" t="str">
        <f t="array" ref="L175">iferror(if(isblank($A175),"",index('Supplemental intervention-level'!$M:$M,match(1,('Supplemental intervention-level'!$C:$C=$A175)*('Supplemental intervention-level'!$A:$A="SMC"),0))),"Not specified")</f>
        <v>Not specified</v>
      </c>
      <c r="M175" s="226" t="str">
        <f t="array" ref="M175">iferror(if(isblank($A175),"",index('Supplemental intervention-level'!$M:$M,match(1,('Supplemental intervention-level'!$C:$C=$A175)*('Supplemental intervention-level'!$A:$A="SMC"),0))),"Not specified")</f>
        <v>Not specified</v>
      </c>
      <c r="N175" s="226" t="str">
        <f t="array" ref="N175">iferror(if(isblank($A175),"",index('Supplemental intervention-level'!$M:$M,match(1,('Supplemental intervention-level'!$C:$C=$A175)*('Supplemental intervention-level'!$A:$A="SMC"),0))),"Not specified")</f>
        <v>Not specified</v>
      </c>
    </row>
    <row r="176" outlineLevel="1">
      <c r="A176" s="116" t="str">
        <f>IFERROR(__xludf.DUMMYFUNCTION("""COMPUTED_VALUE"""),"Treatment costs averted from prevention")</f>
        <v>Treatment costs averted from prevention</v>
      </c>
      <c r="B176" s="226">
        <f t="array" ref="B176">iferror(if(isblank($A176),"",index('Supplemental intervention-level'!$M:$M,match(1,('Supplemental intervention-level'!$C:$C=$A176)*('Supplemental intervention-level'!$A:$A="SMC"),0))),"Not specified")</f>
        <v>0.2</v>
      </c>
      <c r="C176" s="226">
        <f t="array" ref="C176">iferror(if(isblank($A176),"",index('Supplemental intervention-level'!$M:$M,match(1,('Supplemental intervention-level'!$C:$C=$A176)*('Supplemental intervention-level'!$A:$A="SMC"),0))),"Not specified")</f>
        <v>0.2</v>
      </c>
      <c r="D176" s="226">
        <f t="array" ref="D176">iferror(if(isblank($A176),"",index('Supplemental intervention-level'!$M:$M,match(1,('Supplemental intervention-level'!$C:$C=$A176)*('Supplemental intervention-level'!$A:$A="SMC"),0))),"Not specified")</f>
        <v>0.2</v>
      </c>
      <c r="E176" s="226">
        <f t="array" ref="E176">iferror(if(isblank($A176),"",index('Supplemental intervention-level'!$M:$M,match(1,('Supplemental intervention-level'!$C:$C=$A176)*('Supplemental intervention-level'!$A:$A="SMC"),0))),"Not specified")</f>
        <v>0.2</v>
      </c>
      <c r="F176" s="226">
        <f t="array" ref="F176">iferror(if(isblank($A176),"",index('Supplemental intervention-level'!$M:$M,match(1,('Supplemental intervention-level'!$C:$C=$A176)*('Supplemental intervention-level'!$A:$A="SMC"),0))),"Not specified")</f>
        <v>0.2</v>
      </c>
      <c r="G176" s="226">
        <f t="array" ref="G176">iferror(if(isblank($A176),"",index('Supplemental intervention-level'!$M:$M,match(1,('Supplemental intervention-level'!$C:$C=$A176)*('Supplemental intervention-level'!$A:$A="SMC"),0))),"Not specified")</f>
        <v>0.2</v>
      </c>
      <c r="H176" s="226">
        <f t="array" ref="H176">iferror(if(isblank($A176),"",index('Supplemental intervention-level'!$M:$M,match(1,('Supplemental intervention-level'!$C:$C=$A176)*('Supplemental intervention-level'!$A:$A="SMC"),0))),"Not specified")</f>
        <v>0.2</v>
      </c>
      <c r="I176" s="226">
        <f t="array" ref="I176">iferror(if(isblank($A176),"",index('Supplemental intervention-level'!$M:$M,match(1,('Supplemental intervention-level'!$C:$C=$A176)*('Supplemental intervention-level'!$A:$A="SMC"),0))),"Not specified")</f>
        <v>0.2</v>
      </c>
      <c r="J176" s="226">
        <f t="array" ref="J176">iferror(if(isblank($A176),"",index('Supplemental intervention-level'!$M:$M,match(1,('Supplemental intervention-level'!$C:$C=$A176)*('Supplemental intervention-level'!$A:$A="SMC"),0))),"Not specified")</f>
        <v>0.2</v>
      </c>
      <c r="K176" s="226">
        <f t="array" ref="K176">iferror(if(isblank($A176),"",index('Supplemental intervention-level'!$M:$M,match(1,('Supplemental intervention-level'!$C:$C=$A176)*('Supplemental intervention-level'!$A:$A="SMC"),0))),"Not specified")</f>
        <v>0.2</v>
      </c>
      <c r="L176" s="226">
        <f t="array" ref="L176">iferror(if(isblank($A176),"",index('Supplemental intervention-level'!$M:$M,match(1,('Supplemental intervention-level'!$C:$C=$A176)*('Supplemental intervention-level'!$A:$A="SMC"),0))),"Not specified")</f>
        <v>0.2</v>
      </c>
      <c r="M176" s="226">
        <f t="array" ref="M176">iferror(if(isblank($A176),"",index('Supplemental intervention-level'!$M:$M,match(1,('Supplemental intervention-level'!$C:$C=$A176)*('Supplemental intervention-level'!$A:$A="SMC"),0))),"Not specified")</f>
        <v>0.2</v>
      </c>
      <c r="N176" s="226">
        <f t="array" ref="N176">iferror(if(isblank($A176),"",index('Supplemental intervention-level'!$M:$M,match(1,('Supplemental intervention-level'!$C:$C=$A176)*('Supplemental intervention-level'!$A:$A="SMC"),0))),"Not specified")</f>
        <v>0.2</v>
      </c>
    </row>
    <row r="177" outlineLevel="1">
      <c r="A177" s="116" t="str">
        <f>IFERROR(__xludf.DUMMYFUNCTION("""COMPUTED_VALUE"""),"Subnational adjustments")</f>
        <v>Subnational adjustments</v>
      </c>
      <c r="B177" s="226">
        <f t="array" ref="B177">iferror(if(isblank($A177),"",index('Supplemental intervention-level'!$M:$M,match(1,('Supplemental intervention-level'!$C:$C=$A177)*('Supplemental intervention-level'!$A:$A="SMC"),0))),"Not specified")</f>
        <v>0.032</v>
      </c>
      <c r="C177" s="226">
        <f t="array" ref="C177">iferror(if(isblank($A177),"",index('Supplemental intervention-level'!$M:$M,match(1,('Supplemental intervention-level'!$C:$C=$A177)*('Supplemental intervention-level'!$A:$A="SMC"),0))),"Not specified")</f>
        <v>0.032</v>
      </c>
      <c r="D177" s="226">
        <f t="array" ref="D177">iferror(if(isblank($A177),"",index('Supplemental intervention-level'!$M:$M,match(1,('Supplemental intervention-level'!$C:$C=$A177)*('Supplemental intervention-level'!$A:$A="SMC"),0))),"Not specified")</f>
        <v>0.032</v>
      </c>
      <c r="E177" s="226">
        <f t="array" ref="E177">iferror(if(isblank($A177),"",index('Supplemental intervention-level'!$M:$M,match(1,('Supplemental intervention-level'!$C:$C=$A177)*('Supplemental intervention-level'!$A:$A="SMC"),0))),"Not specified")</f>
        <v>0.032</v>
      </c>
      <c r="F177" s="226">
        <f t="array" ref="F177">iferror(if(isblank($A177),"",index('Supplemental intervention-level'!$M:$M,match(1,('Supplemental intervention-level'!$C:$C=$A177)*('Supplemental intervention-level'!$A:$A="SMC"),0))),"Not specified")</f>
        <v>0.032</v>
      </c>
      <c r="G177" s="226">
        <f t="array" ref="G177">iferror(if(isblank($A177),"",index('Supplemental intervention-level'!$M:$M,match(1,('Supplemental intervention-level'!$C:$C=$A177)*('Supplemental intervention-level'!$A:$A="SMC"),0))),"Not specified")</f>
        <v>0.032</v>
      </c>
      <c r="H177" s="226">
        <f t="array" ref="H177">iferror(if(isblank($A177),"",index('Supplemental intervention-level'!$M:$M,match(1,('Supplemental intervention-level'!$C:$C=$A177)*('Supplemental intervention-level'!$A:$A="SMC"),0))),"Not specified")</f>
        <v>0.032</v>
      </c>
      <c r="I177" s="226">
        <f t="array" ref="I177">iferror(if(isblank($A177),"",index('Supplemental intervention-level'!$M:$M,match(1,('Supplemental intervention-level'!$C:$C=$A177)*('Supplemental intervention-level'!$A:$A="SMC"),0))),"Not specified")</f>
        <v>0.032</v>
      </c>
      <c r="J177" s="226">
        <f t="array" ref="J177">iferror(if(isblank($A177),"",index('Supplemental intervention-level'!$M:$M,match(1,('Supplemental intervention-level'!$C:$C=$A177)*('Supplemental intervention-level'!$A:$A="SMC"),0))),"Not specified")</f>
        <v>0.032</v>
      </c>
      <c r="K177" s="226">
        <f t="array" ref="K177">iferror(if(isblank($A177),"",index('Supplemental intervention-level'!$M:$M,match(1,('Supplemental intervention-level'!$C:$C=$A177)*('Supplemental intervention-level'!$A:$A="SMC"),0))),"Not specified")</f>
        <v>0.032</v>
      </c>
      <c r="L177" s="226">
        <f t="array" ref="L177">iferror(if(isblank($A177),"",index('Supplemental intervention-level'!$M:$M,match(1,('Supplemental intervention-level'!$C:$C=$A177)*('Supplemental intervention-level'!$A:$A="SMC"),0))),"Not specified")</f>
        <v>0.032</v>
      </c>
      <c r="M177" s="226">
        <f t="array" ref="M177">iferror(if(isblank($A177),"",index('Supplemental intervention-level'!$M:$M,match(1,('Supplemental intervention-level'!$C:$C=$A177)*('Supplemental intervention-level'!$A:$A="SMC"),0))),"Not specified")</f>
        <v>0.032</v>
      </c>
      <c r="N177" s="226">
        <f t="array" ref="N177">iferror(if(isblank($A177),"",index('Supplemental intervention-level'!$M:$M,match(1,('Supplemental intervention-level'!$C:$C=$A177)*('Supplemental intervention-level'!$A:$A="SMC"),0))),"Not specified")</f>
        <v>0.032</v>
      </c>
    </row>
    <row r="178" outlineLevel="1">
      <c r="A178" s="116" t="str">
        <f>IFERROR(__xludf.DUMMYFUNCTION("""COMPUTED_VALUE"""),"Marginal funding goes to lower priority areas")</f>
        <v>Marginal funding goes to lower priority areas</v>
      </c>
      <c r="B178" s="127">
        <v>-0.15</v>
      </c>
      <c r="C178" s="127">
        <v>0.0</v>
      </c>
      <c r="D178" s="127">
        <v>0.0</v>
      </c>
      <c r="E178" s="127">
        <v>0.0</v>
      </c>
      <c r="F178" s="127">
        <v>0.0</v>
      </c>
      <c r="G178" s="127">
        <v>0.0</v>
      </c>
      <c r="H178" s="127">
        <v>0.0</v>
      </c>
      <c r="I178" s="127">
        <v>0.0</v>
      </c>
      <c r="J178" s="127">
        <v>-0.05</v>
      </c>
      <c r="K178" s="127">
        <v>-0.1</v>
      </c>
      <c r="L178" s="127">
        <v>0.0</v>
      </c>
      <c r="M178" s="127">
        <v>0.0</v>
      </c>
      <c r="N178" s="127">
        <v>0.0</v>
      </c>
    </row>
    <row r="179" outlineLevel="1">
      <c r="A179" s="116" t="str">
        <f>IFERROR(__xludf.DUMMYFUNCTION("""COMPUTED_VALUE"""),"Counterfactual mortality rates")</f>
        <v>Counterfactual mortality rates</v>
      </c>
      <c r="B179" s="226">
        <f t="array" ref="B179">iferror(if(isblank($A179),"",index('Supplemental intervention-level'!$M:$M,match(1,('Supplemental intervention-level'!$C:$C=$A179)*('Supplemental intervention-level'!$A:$A="SMC"),0))),"Not specified")</f>
        <v>-0.016</v>
      </c>
      <c r="C179" s="226">
        <f t="array" ref="C179">iferror(if(isblank($A179),"",index('Supplemental intervention-level'!$M:$M,match(1,('Supplemental intervention-level'!$C:$C=$A179)*('Supplemental intervention-level'!$A:$A="SMC"),0))),"Not specified")</f>
        <v>-0.016</v>
      </c>
      <c r="D179" s="226">
        <f t="array" ref="D179">iferror(if(isblank($A179),"",index('Supplemental intervention-level'!$M:$M,match(1,('Supplemental intervention-level'!$C:$C=$A179)*('Supplemental intervention-level'!$A:$A="SMC"),0))),"Not specified")</f>
        <v>-0.016</v>
      </c>
      <c r="E179" s="226">
        <f t="array" ref="E179">iferror(if(isblank($A179),"",index('Supplemental intervention-level'!$M:$M,match(1,('Supplemental intervention-level'!$C:$C=$A179)*('Supplemental intervention-level'!$A:$A="SMC"),0))),"Not specified")</f>
        <v>-0.016</v>
      </c>
      <c r="F179" s="226">
        <f t="array" ref="F179">iferror(if(isblank($A179),"",index('Supplemental intervention-level'!$M:$M,match(1,('Supplemental intervention-level'!$C:$C=$A179)*('Supplemental intervention-level'!$A:$A="SMC"),0))),"Not specified")</f>
        <v>-0.016</v>
      </c>
      <c r="G179" s="226">
        <f t="array" ref="G179">iferror(if(isblank($A179),"",index('Supplemental intervention-level'!$M:$M,match(1,('Supplemental intervention-level'!$C:$C=$A179)*('Supplemental intervention-level'!$A:$A="SMC"),0))),"Not specified")</f>
        <v>-0.016</v>
      </c>
      <c r="H179" s="226">
        <f t="array" ref="H179">iferror(if(isblank($A179),"",index('Supplemental intervention-level'!$M:$M,match(1,('Supplemental intervention-level'!$C:$C=$A179)*('Supplemental intervention-level'!$A:$A="SMC"),0))),"Not specified")</f>
        <v>-0.016</v>
      </c>
      <c r="I179" s="226">
        <f t="array" ref="I179">iferror(if(isblank($A179),"",index('Supplemental intervention-level'!$M:$M,match(1,('Supplemental intervention-level'!$C:$C=$A179)*('Supplemental intervention-level'!$A:$A="SMC"),0))),"Not specified")</f>
        <v>-0.016</v>
      </c>
      <c r="J179" s="226">
        <f t="array" ref="J179">iferror(if(isblank($A179),"",index('Supplemental intervention-level'!$M:$M,match(1,('Supplemental intervention-level'!$C:$C=$A179)*('Supplemental intervention-level'!$A:$A="SMC"),0))),"Not specified")</f>
        <v>-0.016</v>
      </c>
      <c r="K179" s="226">
        <f t="array" ref="K179">iferror(if(isblank($A179),"",index('Supplemental intervention-level'!$M:$M,match(1,('Supplemental intervention-level'!$C:$C=$A179)*('Supplemental intervention-level'!$A:$A="SMC"),0))),"Not specified")</f>
        <v>-0.016</v>
      </c>
      <c r="L179" s="226">
        <f t="array" ref="L179">iferror(if(isblank($A179),"",index('Supplemental intervention-level'!$M:$M,match(1,('Supplemental intervention-level'!$C:$C=$A179)*('Supplemental intervention-level'!$A:$A="SMC"),0))),"Not specified")</f>
        <v>-0.016</v>
      </c>
      <c r="M179" s="226">
        <f t="array" ref="M179">iferror(if(isblank($A179),"",index('Supplemental intervention-level'!$M:$M,match(1,('Supplemental intervention-level'!$C:$C=$A179)*('Supplemental intervention-level'!$A:$A="SMC"),0))),"Not specified")</f>
        <v>-0.016</v>
      </c>
      <c r="N179" s="226">
        <f t="array" ref="N179">iferror(if(isblank($A179),"",index('Supplemental intervention-level'!$M:$M,match(1,('Supplemental intervention-level'!$C:$C=$A179)*('Supplemental intervention-level'!$A:$A="SMC"),0))),"Not specified")</f>
        <v>-0.016</v>
      </c>
    </row>
    <row r="180" outlineLevel="1">
      <c r="A180" s="55" t="str">
        <f>IFERROR(__xludf.DUMMYFUNCTION("""COMPUTED_VALUE"""),"Serious adverse events due to side effects of treatment")</f>
        <v>Serious adverse events due to side effects of treatment</v>
      </c>
      <c r="B180" s="226">
        <f t="array" ref="B180">iferror(if(isblank($A180),"",index('Supplemental intervention-level'!$M:$M,match(1,('Supplemental intervention-level'!$C:$C=$A180)*('Supplemental intervention-level'!$A:$A="SMC"),0))),"Not specified")</f>
        <v>-0.006</v>
      </c>
      <c r="C180" s="226">
        <f t="array" ref="C180">iferror(if(isblank($A180),"",index('Supplemental intervention-level'!$M:$M,match(1,('Supplemental intervention-level'!$C:$C=$A180)*('Supplemental intervention-level'!$A:$A="SMC"),0))),"Not specified")</f>
        <v>-0.006</v>
      </c>
      <c r="D180" s="226">
        <f t="array" ref="D180">iferror(if(isblank($A180),"",index('Supplemental intervention-level'!$M:$M,match(1,('Supplemental intervention-level'!$C:$C=$A180)*('Supplemental intervention-level'!$A:$A="SMC"),0))),"Not specified")</f>
        <v>-0.006</v>
      </c>
      <c r="E180" s="226">
        <f t="array" ref="E180">iferror(if(isblank($A180),"",index('Supplemental intervention-level'!$M:$M,match(1,('Supplemental intervention-level'!$C:$C=$A180)*('Supplemental intervention-level'!$A:$A="SMC"),0))),"Not specified")</f>
        <v>-0.006</v>
      </c>
      <c r="F180" s="226">
        <f t="array" ref="F180">iferror(if(isblank($A180),"",index('Supplemental intervention-level'!$M:$M,match(1,('Supplemental intervention-level'!$C:$C=$A180)*('Supplemental intervention-level'!$A:$A="SMC"),0))),"Not specified")</f>
        <v>-0.006</v>
      </c>
      <c r="G180" s="226">
        <f t="array" ref="G180">iferror(if(isblank($A180),"",index('Supplemental intervention-level'!$M:$M,match(1,('Supplemental intervention-level'!$C:$C=$A180)*('Supplemental intervention-level'!$A:$A="SMC"),0))),"Not specified")</f>
        <v>-0.006</v>
      </c>
      <c r="H180" s="226">
        <f t="array" ref="H180">iferror(if(isblank($A180),"",index('Supplemental intervention-level'!$M:$M,match(1,('Supplemental intervention-level'!$C:$C=$A180)*('Supplemental intervention-level'!$A:$A="SMC"),0))),"Not specified")</f>
        <v>-0.006</v>
      </c>
      <c r="I180" s="226">
        <f t="array" ref="I180">iferror(if(isblank($A180),"",index('Supplemental intervention-level'!$M:$M,match(1,('Supplemental intervention-level'!$C:$C=$A180)*('Supplemental intervention-level'!$A:$A="SMC"),0))),"Not specified")</f>
        <v>-0.006</v>
      </c>
      <c r="J180" s="226">
        <f t="array" ref="J180">iferror(if(isblank($A180),"",index('Supplemental intervention-level'!$M:$M,match(1,('Supplemental intervention-level'!$C:$C=$A180)*('Supplemental intervention-level'!$A:$A="SMC"),0))),"Not specified")</f>
        <v>-0.006</v>
      </c>
      <c r="K180" s="226">
        <f t="array" ref="K180">iferror(if(isblank($A180),"",index('Supplemental intervention-level'!$M:$M,match(1,('Supplemental intervention-level'!$C:$C=$A180)*('Supplemental intervention-level'!$A:$A="SMC"),0))),"Not specified")</f>
        <v>-0.006</v>
      </c>
      <c r="L180" s="226">
        <f t="array" ref="L180">iferror(if(isblank($A180),"",index('Supplemental intervention-level'!$M:$M,match(1,('Supplemental intervention-level'!$C:$C=$A180)*('Supplemental intervention-level'!$A:$A="SMC"),0))),"Not specified")</f>
        <v>-0.006</v>
      </c>
      <c r="M180" s="226">
        <f t="array" ref="M180">iferror(if(isblank($A180),"",index('Supplemental intervention-level'!$M:$M,match(1,('Supplemental intervention-level'!$C:$C=$A180)*('Supplemental intervention-level'!$A:$A="SMC"),0))),"Not specified")</f>
        <v>-0.006</v>
      </c>
      <c r="N180" s="226">
        <f t="array" ref="N180">iferror(if(isblank($A180),"",index('Supplemental intervention-level'!$M:$M,match(1,('Supplemental intervention-level'!$C:$C=$A180)*('Supplemental intervention-level'!$A:$A="SMC"),0))),"Not specified")</f>
        <v>-0.006</v>
      </c>
    </row>
    <row r="181" outlineLevel="1">
      <c r="A181" s="55" t="str">
        <f>IFERROR(__xludf.DUMMYFUNCTION("""COMPUTED_VALUE"""),"Failure to ingest first day of treatment of SMC")</f>
        <v>Failure to ingest first day of treatment of SMC</v>
      </c>
      <c r="B181" s="226">
        <f t="array" ref="B181">iferror(if(isblank($A181),"",index('Supplemental intervention-level'!$M:$M,match(1,('Supplemental intervention-level'!$C:$C=$A181)*('Supplemental intervention-level'!$A:$A="SMC"),0))),"Not specified")</f>
        <v>-0.035</v>
      </c>
      <c r="C181" s="226">
        <f t="array" ref="C181">iferror(if(isblank($A181),"",index('Supplemental intervention-level'!$M:$M,match(1,('Supplemental intervention-level'!$C:$C=$A181)*('Supplemental intervention-level'!$A:$A="SMC"),0))),"Not specified")</f>
        <v>-0.035</v>
      </c>
      <c r="D181" s="226">
        <f t="array" ref="D181">iferror(if(isblank($A181),"",index('Supplemental intervention-level'!$M:$M,match(1,('Supplemental intervention-level'!$C:$C=$A181)*('Supplemental intervention-level'!$A:$A="SMC"),0))),"Not specified")</f>
        <v>-0.035</v>
      </c>
      <c r="E181" s="226">
        <f t="array" ref="E181">iferror(if(isblank($A181),"",index('Supplemental intervention-level'!$M:$M,match(1,('Supplemental intervention-level'!$C:$C=$A181)*('Supplemental intervention-level'!$A:$A="SMC"),0))),"Not specified")</f>
        <v>-0.035</v>
      </c>
      <c r="F181" s="226">
        <f t="array" ref="F181">iferror(if(isblank($A181),"",index('Supplemental intervention-level'!$M:$M,match(1,('Supplemental intervention-level'!$C:$C=$A181)*('Supplemental intervention-level'!$A:$A="SMC"),0))),"Not specified")</f>
        <v>-0.035</v>
      </c>
      <c r="G181" s="226">
        <f t="array" ref="G181">iferror(if(isblank($A181),"",index('Supplemental intervention-level'!$M:$M,match(1,('Supplemental intervention-level'!$C:$C=$A181)*('Supplemental intervention-level'!$A:$A="SMC"),0))),"Not specified")</f>
        <v>-0.035</v>
      </c>
      <c r="H181" s="226">
        <f t="array" ref="H181">iferror(if(isblank($A181),"",index('Supplemental intervention-level'!$M:$M,match(1,('Supplemental intervention-level'!$C:$C=$A181)*('Supplemental intervention-level'!$A:$A="SMC"),0))),"Not specified")</f>
        <v>-0.035</v>
      </c>
      <c r="I181" s="226">
        <f t="array" ref="I181">iferror(if(isblank($A181),"",index('Supplemental intervention-level'!$M:$M,match(1,('Supplemental intervention-level'!$C:$C=$A181)*('Supplemental intervention-level'!$A:$A="SMC"),0))),"Not specified")</f>
        <v>-0.035</v>
      </c>
      <c r="J181" s="226">
        <f t="array" ref="J181">iferror(if(isblank($A181),"",index('Supplemental intervention-level'!$M:$M,match(1,('Supplemental intervention-level'!$C:$C=$A181)*('Supplemental intervention-level'!$A:$A="SMC"),0))),"Not specified")</f>
        <v>-0.035</v>
      </c>
      <c r="K181" s="226">
        <f t="array" ref="K181">iferror(if(isblank($A181),"",index('Supplemental intervention-level'!$M:$M,match(1,('Supplemental intervention-level'!$C:$C=$A181)*('Supplemental intervention-level'!$A:$A="SMC"),0))),"Not specified")</f>
        <v>-0.035</v>
      </c>
      <c r="L181" s="226">
        <f t="array" ref="L181">iferror(if(isblank($A181),"",index('Supplemental intervention-level'!$M:$M,match(1,('Supplemental intervention-level'!$C:$C=$A181)*('Supplemental intervention-level'!$A:$A="SMC"),0))),"Not specified")</f>
        <v>-0.035</v>
      </c>
      <c r="M181" s="226">
        <f t="array" ref="M181">iferror(if(isblank($A181),"",index('Supplemental intervention-level'!$M:$M,match(1,('Supplemental intervention-level'!$C:$C=$A181)*('Supplemental intervention-level'!$A:$A="SMC"),0))),"Not specified")</f>
        <v>-0.035</v>
      </c>
      <c r="N181" s="226">
        <f t="array" ref="N181">iferror(if(isblank($A181),"",index('Supplemental intervention-level'!$M:$M,match(1,('Supplemental intervention-level'!$C:$C=$A181)*('Supplemental intervention-level'!$A:$A="SMC"),0))),"Not specified")</f>
        <v>-0.035</v>
      </c>
    </row>
    <row r="182" outlineLevel="1">
      <c r="A182" s="91" t="s">
        <v>539</v>
      </c>
      <c r="B182" s="524">
        <v>0.0</v>
      </c>
      <c r="C182" s="524">
        <v>-0.05</v>
      </c>
      <c r="D182" s="524">
        <v>-0.05</v>
      </c>
      <c r="E182" s="524">
        <v>-0.05</v>
      </c>
      <c r="F182" s="524">
        <v>-0.05</v>
      </c>
      <c r="G182" s="524">
        <v>-0.05</v>
      </c>
      <c r="H182" s="524">
        <v>-0.05</v>
      </c>
      <c r="I182" s="524">
        <v>-0.05</v>
      </c>
      <c r="J182" s="524">
        <v>0.0</v>
      </c>
      <c r="K182" s="524">
        <v>0.0</v>
      </c>
      <c r="L182" s="524">
        <v>0.0</v>
      </c>
      <c r="M182" s="524">
        <v>0.0</v>
      </c>
      <c r="N182" s="524">
        <v>0.0</v>
      </c>
    </row>
    <row r="183" outlineLevel="1">
      <c r="A183" s="55"/>
      <c r="B183" s="228"/>
      <c r="C183" s="228"/>
      <c r="D183" s="228"/>
      <c r="E183" s="228"/>
      <c r="F183" s="228"/>
      <c r="G183" s="228"/>
      <c r="H183" s="228"/>
      <c r="I183" s="228"/>
      <c r="J183" s="228"/>
      <c r="K183" s="228"/>
      <c r="L183" s="228"/>
      <c r="M183" s="228"/>
      <c r="N183" s="228"/>
    </row>
    <row r="184" outlineLevel="1">
      <c r="A184" s="225" t="s">
        <v>203</v>
      </c>
      <c r="B184" s="218">
        <f t="shared" ref="B184:N184" si="60">1+sum(B167:B183)</f>
        <v>1.175</v>
      </c>
      <c r="C184" s="218">
        <f t="shared" si="60"/>
        <v>1.275</v>
      </c>
      <c r="D184" s="218">
        <f t="shared" si="60"/>
        <v>1.275</v>
      </c>
      <c r="E184" s="218">
        <f t="shared" si="60"/>
        <v>1.275</v>
      </c>
      <c r="F184" s="218">
        <f t="shared" si="60"/>
        <v>1.275</v>
      </c>
      <c r="G184" s="218">
        <f t="shared" si="60"/>
        <v>1.275</v>
      </c>
      <c r="H184" s="218">
        <f t="shared" si="60"/>
        <v>1.275</v>
      </c>
      <c r="I184" s="218">
        <f t="shared" si="60"/>
        <v>1.275</v>
      </c>
      <c r="J184" s="218">
        <f t="shared" si="60"/>
        <v>1.275</v>
      </c>
      <c r="K184" s="218">
        <f t="shared" si="60"/>
        <v>1.225</v>
      </c>
      <c r="L184" s="218">
        <f t="shared" si="60"/>
        <v>1.325</v>
      </c>
      <c r="M184" s="218">
        <f t="shared" si="60"/>
        <v>1.325</v>
      </c>
      <c r="N184" s="218">
        <f t="shared" si="60"/>
        <v>1.325</v>
      </c>
    </row>
    <row r="185">
      <c r="A185" s="195"/>
      <c r="B185" s="291"/>
      <c r="C185" s="291"/>
      <c r="D185" s="291"/>
      <c r="E185" s="291"/>
      <c r="F185" s="291"/>
      <c r="G185" s="291"/>
      <c r="H185" s="291"/>
      <c r="I185" s="291"/>
      <c r="J185" s="291"/>
      <c r="K185" s="291"/>
      <c r="L185" s="291"/>
      <c r="M185" s="291"/>
      <c r="N185" s="291"/>
    </row>
    <row r="186">
      <c r="A186" s="510" t="s">
        <v>212</v>
      </c>
      <c r="B186" s="397"/>
      <c r="C186" s="397"/>
      <c r="D186" s="397"/>
      <c r="E186" s="397"/>
      <c r="F186" s="397"/>
      <c r="G186" s="397"/>
      <c r="H186" s="397"/>
      <c r="I186" s="397"/>
      <c r="J186" s="397"/>
      <c r="K186" s="397"/>
      <c r="L186" s="397"/>
      <c r="M186" s="397"/>
      <c r="N186" s="397"/>
    </row>
    <row r="187">
      <c r="A187" s="201"/>
      <c r="B187" s="291"/>
      <c r="C187" s="291"/>
      <c r="D187" s="291"/>
      <c r="E187" s="291"/>
      <c r="F187" s="291"/>
      <c r="G187" s="291"/>
      <c r="H187" s="291"/>
      <c r="I187" s="291"/>
      <c r="J187" s="291"/>
      <c r="K187" s="291"/>
      <c r="L187" s="291"/>
      <c r="M187" s="291"/>
      <c r="N187" s="291"/>
    </row>
    <row r="188">
      <c r="A188" s="400" t="s">
        <v>540</v>
      </c>
      <c r="B188" s="118">
        <f t="shared" ref="B188:N188" si="61">B159*B184</f>
        <v>11276.63397</v>
      </c>
      <c r="C188" s="118">
        <f t="shared" si="61"/>
        <v>8253.320855</v>
      </c>
      <c r="D188" s="118">
        <f t="shared" si="61"/>
        <v>6339.220932</v>
      </c>
      <c r="E188" s="118">
        <f t="shared" si="61"/>
        <v>13942.65454</v>
      </c>
      <c r="F188" s="118">
        <f t="shared" si="61"/>
        <v>7092.422415</v>
      </c>
      <c r="G188" s="118">
        <f t="shared" si="61"/>
        <v>8662.594293</v>
      </c>
      <c r="H188" s="118">
        <f t="shared" si="61"/>
        <v>6176.351257</v>
      </c>
      <c r="I188" s="118">
        <f t="shared" si="61"/>
        <v>13780.66324</v>
      </c>
      <c r="J188" s="118">
        <f t="shared" si="61"/>
        <v>7343.683405</v>
      </c>
      <c r="K188" s="118">
        <f t="shared" si="61"/>
        <v>3278.450042</v>
      </c>
      <c r="L188" s="118">
        <f t="shared" si="61"/>
        <v>5085.258704</v>
      </c>
      <c r="M188" s="118">
        <f t="shared" si="61"/>
        <v>9402.90296</v>
      </c>
      <c r="N188" s="118">
        <f t="shared" si="61"/>
        <v>4396.613316</v>
      </c>
    </row>
    <row r="189">
      <c r="A189" s="520" t="s">
        <v>374</v>
      </c>
      <c r="B189" s="188">
        <f t="shared" ref="B189:N189" si="62">B188/B14</f>
        <v>0.100047864</v>
      </c>
      <c r="C189" s="188">
        <f t="shared" si="62"/>
        <v>0.07101556725</v>
      </c>
      <c r="D189" s="188">
        <f t="shared" si="62"/>
        <v>0.05454572508</v>
      </c>
      <c r="E189" s="188">
        <f t="shared" si="62"/>
        <v>0.1199693479</v>
      </c>
      <c r="F189" s="188">
        <f t="shared" si="62"/>
        <v>0.06102663519</v>
      </c>
      <c r="G189" s="188">
        <f t="shared" si="62"/>
        <v>0.07453715399</v>
      </c>
      <c r="H189" s="188">
        <f t="shared" si="62"/>
        <v>0.05314431557</v>
      </c>
      <c r="I189" s="188">
        <f t="shared" si="62"/>
        <v>0.1185754964</v>
      </c>
      <c r="J189" s="188">
        <f t="shared" si="62"/>
        <v>0.06418988822</v>
      </c>
      <c r="K189" s="188">
        <f t="shared" si="62"/>
        <v>0.0293211294</v>
      </c>
      <c r="L189" s="188">
        <f t="shared" si="62"/>
        <v>0.04375602715</v>
      </c>
      <c r="M189" s="188">
        <f t="shared" si="62"/>
        <v>0.08090712808</v>
      </c>
      <c r="N189" s="188">
        <f t="shared" si="62"/>
        <v>0.03932152887</v>
      </c>
    </row>
    <row r="190">
      <c r="A190" s="398"/>
      <c r="B190" s="84"/>
      <c r="C190" s="84"/>
      <c r="D190" s="84"/>
      <c r="E190" s="84"/>
      <c r="F190" s="84"/>
      <c r="G190" s="84"/>
      <c r="H190" s="84"/>
      <c r="I190" s="84"/>
      <c r="J190" s="84"/>
      <c r="K190" s="84"/>
      <c r="L190" s="84"/>
      <c r="M190" s="84"/>
      <c r="N190" s="84"/>
    </row>
    <row r="191">
      <c r="A191" s="221" t="s">
        <v>214</v>
      </c>
      <c r="B191" s="222">
        <f t="array" ref="B191">B189/index(GiveDirectly!$B:$B,match("Units of value generated per philanthropic dollar spent, after accounting for all adjustments",GiveDirectly!$A:$A,0))</f>
        <v>29.82466888</v>
      </c>
      <c r="C191" s="222">
        <f t="array" ref="C191">C189/index(GiveDirectly!$B:$B,match("Units of value generated per philanthropic dollar spent, after accounting for all adjustments",GiveDirectly!$A:$A,0))</f>
        <v>21.17002496</v>
      </c>
      <c r="D191" s="222">
        <f t="array" ref="D191">D189/index(GiveDirectly!$B:$B,match("Units of value generated per philanthropic dollar spent, after accounting for all adjustments",GiveDirectly!$A:$A,0))</f>
        <v>16.26029906</v>
      </c>
      <c r="E191" s="222">
        <f t="array" ref="E191">E189/index(GiveDirectly!$B:$B,match("Units of value generated per philanthropic dollar spent, after accounting for all adjustments",GiveDirectly!$A:$A,0))</f>
        <v>35.76334302</v>
      </c>
      <c r="F191" s="222">
        <f t="array" ref="F191">F189/index(GiveDirectly!$B:$B,match("Units of value generated per philanthropic dollar spent, after accounting for all adjustments",GiveDirectly!$A:$A,0))</f>
        <v>18.19228432</v>
      </c>
      <c r="G191" s="222">
        <f t="array" ref="G191">G189/index(GiveDirectly!$B:$B,match("Units of value generated per philanthropic dollar spent, after accounting for all adjustments",GiveDirectly!$A:$A,0))</f>
        <v>22.21982407</v>
      </c>
      <c r="H191" s="222">
        <f t="array" ref="H191">H189/index(GiveDirectly!$B:$B,match("Units of value generated per philanthropic dollar spent, after accounting for all adjustments",GiveDirectly!$A:$A,0))</f>
        <v>15.84253328</v>
      </c>
      <c r="I191" s="222">
        <f t="array" ref="I191">I189/index(GiveDirectly!$B:$B,match("Units of value generated per philanthropic dollar spent, after accounting for all adjustments",GiveDirectly!$A:$A,0))</f>
        <v>35.34783028</v>
      </c>
      <c r="J191" s="222">
        <f t="array" ref="J191">J189/index(GiveDirectly!$B:$B,match("Units of value generated per philanthropic dollar spent, after accounting for all adjustments",GiveDirectly!$A:$A,0))</f>
        <v>19.13526271</v>
      </c>
      <c r="K191" s="222">
        <f t="array" ref="K191">K189/index(GiveDirectly!$B:$B,match("Units of value generated per philanthropic dollar spent, after accounting for all adjustments",GiveDirectly!$A:$A,0))</f>
        <v>8.740746085</v>
      </c>
      <c r="L191" s="222">
        <f t="array" ref="L191">L189/index(GiveDirectly!$B:$B,match("Units of value generated per philanthropic dollar spent, after accounting for all adjustments",GiveDirectly!$A:$A,0))</f>
        <v>13.04384691</v>
      </c>
      <c r="M191" s="222">
        <f t="array" ref="M191">M189/index(GiveDirectly!$B:$B,match("Units of value generated per philanthropic dollar spent, after accounting for all adjustments",GiveDirectly!$A:$A,0))</f>
        <v>24.11873886</v>
      </c>
      <c r="N191" s="222">
        <f t="array" ref="N191">N189/index(GiveDirectly!$B:$B,match("Units of value generated per philanthropic dollar spent, after accounting for all adjustments",GiveDirectly!$A:$A,0))</f>
        <v>11.72190521</v>
      </c>
    </row>
    <row r="192">
      <c r="A192" s="195"/>
      <c r="B192" s="291"/>
      <c r="C192" s="291"/>
      <c r="D192" s="291"/>
      <c r="E192" s="291"/>
      <c r="F192" s="291"/>
      <c r="G192" s="291"/>
      <c r="H192" s="291"/>
      <c r="I192" s="291"/>
      <c r="J192" s="291"/>
      <c r="K192" s="291"/>
      <c r="L192" s="291"/>
      <c r="M192" s="291"/>
      <c r="N192" s="291"/>
    </row>
    <row r="193">
      <c r="A193" s="160" t="s">
        <v>215</v>
      </c>
      <c r="B193" s="397"/>
      <c r="C193" s="397"/>
      <c r="D193" s="397"/>
      <c r="E193" s="397"/>
      <c r="F193" s="397"/>
      <c r="G193" s="397"/>
      <c r="H193" s="397"/>
      <c r="I193" s="397"/>
      <c r="J193" s="397"/>
      <c r="K193" s="397"/>
      <c r="L193" s="397"/>
      <c r="M193" s="397"/>
      <c r="N193" s="397"/>
    </row>
    <row r="194" outlineLevel="1">
      <c r="A194" s="195"/>
      <c r="B194" s="291"/>
      <c r="C194" s="291"/>
      <c r="D194" s="291"/>
      <c r="E194" s="291"/>
      <c r="F194" s="291"/>
      <c r="G194" s="291"/>
      <c r="H194" s="291"/>
      <c r="I194" s="291"/>
      <c r="J194" s="291"/>
      <c r="K194" s="291"/>
      <c r="L194" s="291"/>
      <c r="M194" s="291"/>
      <c r="N194" s="291"/>
    </row>
    <row r="195" outlineLevel="1">
      <c r="A195" s="418" t="s">
        <v>316</v>
      </c>
      <c r="B195" s="291"/>
      <c r="C195" s="291"/>
      <c r="D195" s="291"/>
      <c r="E195" s="291"/>
      <c r="F195" s="291"/>
      <c r="G195" s="291"/>
      <c r="H195" s="291"/>
      <c r="I195" s="291"/>
      <c r="J195" s="291"/>
      <c r="K195" s="291"/>
      <c r="L195" s="291"/>
      <c r="M195" s="291"/>
      <c r="N195" s="291"/>
    </row>
    <row r="196" outlineLevel="1">
      <c r="A196" s="367" t="s">
        <v>19</v>
      </c>
      <c r="B196" s="394">
        <f t="shared" ref="B196:N196" si="63">B17*B7</f>
        <v>5.637187663</v>
      </c>
      <c r="C196" s="394">
        <f t="shared" si="63"/>
        <v>4.827287614</v>
      </c>
      <c r="D196" s="394">
        <f t="shared" si="63"/>
        <v>4.827287614</v>
      </c>
      <c r="E196" s="394">
        <f t="shared" si="63"/>
        <v>4.827287614</v>
      </c>
      <c r="F196" s="394">
        <f t="shared" si="63"/>
        <v>6.034109517</v>
      </c>
      <c r="G196" s="394">
        <f t="shared" si="63"/>
        <v>6.034109517</v>
      </c>
      <c r="H196" s="394">
        <f t="shared" si="63"/>
        <v>6.034109517</v>
      </c>
      <c r="I196" s="394">
        <f t="shared" si="63"/>
        <v>4.827287614</v>
      </c>
      <c r="J196" s="394">
        <f t="shared" si="63"/>
        <v>5.227261083</v>
      </c>
      <c r="K196" s="394">
        <f t="shared" si="63"/>
        <v>6.475448975</v>
      </c>
      <c r="L196" s="394">
        <f t="shared" si="63"/>
        <v>6.034109517</v>
      </c>
      <c r="M196" s="394">
        <f t="shared" si="63"/>
        <v>6.034109517</v>
      </c>
      <c r="N196" s="394">
        <f t="shared" si="63"/>
        <v>6.475448975</v>
      </c>
    </row>
    <row r="197" outlineLevel="1">
      <c r="A197" s="367" t="s">
        <v>317</v>
      </c>
      <c r="B197" s="394">
        <f t="shared" ref="B197:N197" si="64">B17*B8</f>
        <v>0.05164248879</v>
      </c>
      <c r="C197" s="394">
        <f t="shared" si="64"/>
        <v>0.2154490716</v>
      </c>
      <c r="D197" s="394">
        <f t="shared" si="64"/>
        <v>0.2154490716</v>
      </c>
      <c r="E197" s="394">
        <f t="shared" si="64"/>
        <v>0.2154490716</v>
      </c>
      <c r="F197" s="394">
        <f t="shared" si="64"/>
        <v>0.2693113395</v>
      </c>
      <c r="G197" s="394">
        <f t="shared" si="64"/>
        <v>0.2693113395</v>
      </c>
      <c r="H197" s="394">
        <f t="shared" si="64"/>
        <v>0.2693113395</v>
      </c>
      <c r="I197" s="394">
        <f t="shared" si="64"/>
        <v>0.2154490716</v>
      </c>
      <c r="J197" s="394">
        <f t="shared" si="64"/>
        <v>0.1463087463</v>
      </c>
      <c r="K197" s="394">
        <f t="shared" si="64"/>
        <v>0</v>
      </c>
      <c r="L197" s="394">
        <f t="shared" si="64"/>
        <v>0.2693113395</v>
      </c>
      <c r="M197" s="394">
        <f t="shared" si="64"/>
        <v>0.2693113395</v>
      </c>
      <c r="N197" s="394">
        <f t="shared" si="64"/>
        <v>0</v>
      </c>
    </row>
    <row r="198" outlineLevel="1">
      <c r="A198" s="367" t="s">
        <v>541</v>
      </c>
      <c r="B198" s="394">
        <f t="shared" ref="B198:N198" si="65">B17*B9</f>
        <v>0.6649788485</v>
      </c>
      <c r="C198" s="394">
        <f t="shared" si="65"/>
        <v>0.5674633147</v>
      </c>
      <c r="D198" s="394">
        <f t="shared" si="65"/>
        <v>0.5674633147</v>
      </c>
      <c r="E198" s="394">
        <f t="shared" si="65"/>
        <v>0.5674633147</v>
      </c>
      <c r="F198" s="394">
        <f t="shared" si="65"/>
        <v>0.7093291434</v>
      </c>
      <c r="G198" s="394">
        <f t="shared" si="65"/>
        <v>0.7093291434</v>
      </c>
      <c r="H198" s="394">
        <f t="shared" si="65"/>
        <v>0.7093291434</v>
      </c>
      <c r="I198" s="394">
        <f t="shared" si="65"/>
        <v>0.5674633147</v>
      </c>
      <c r="J198" s="394">
        <f t="shared" si="65"/>
        <v>0.6067101705</v>
      </c>
      <c r="K198" s="394">
        <f t="shared" si="65"/>
        <v>0.764871025</v>
      </c>
      <c r="L198" s="394">
        <f t="shared" si="65"/>
        <v>0.7093291434</v>
      </c>
      <c r="M198" s="394">
        <f t="shared" si="65"/>
        <v>0.7093291434</v>
      </c>
      <c r="N198" s="394">
        <f t="shared" si="65"/>
        <v>0.764871025</v>
      </c>
    </row>
    <row r="199" outlineLevel="1">
      <c r="A199" s="421" t="s">
        <v>321</v>
      </c>
      <c r="B199" s="467">
        <f t="shared" ref="B199:N199" si="66">sum(B196:B198)</f>
        <v>6.353809</v>
      </c>
      <c r="C199" s="467">
        <f t="shared" si="66"/>
        <v>5.6102</v>
      </c>
      <c r="D199" s="467">
        <f t="shared" si="66"/>
        <v>5.6102</v>
      </c>
      <c r="E199" s="467">
        <f t="shared" si="66"/>
        <v>5.6102</v>
      </c>
      <c r="F199" s="467">
        <f t="shared" si="66"/>
        <v>7.01275</v>
      </c>
      <c r="G199" s="467">
        <f t="shared" si="66"/>
        <v>7.01275</v>
      </c>
      <c r="H199" s="467">
        <f t="shared" si="66"/>
        <v>7.01275</v>
      </c>
      <c r="I199" s="467">
        <f t="shared" si="66"/>
        <v>5.6102</v>
      </c>
      <c r="J199" s="467">
        <f t="shared" si="66"/>
        <v>5.98028</v>
      </c>
      <c r="K199" s="467">
        <f t="shared" si="66"/>
        <v>7.24032</v>
      </c>
      <c r="L199" s="467">
        <f t="shared" si="66"/>
        <v>7.01275</v>
      </c>
      <c r="M199" s="467">
        <f t="shared" si="66"/>
        <v>7.01275</v>
      </c>
      <c r="N199" s="467">
        <f t="shared" si="66"/>
        <v>7.24032</v>
      </c>
    </row>
    <row r="200" outlineLevel="1">
      <c r="A200" s="425" t="s">
        <v>322</v>
      </c>
      <c r="B200" s="525">
        <f t="shared" ref="B200:N200" si="67">B199-B17</f>
        <v>0</v>
      </c>
      <c r="C200" s="525">
        <f t="shared" si="67"/>
        <v>0</v>
      </c>
      <c r="D200" s="525">
        <f t="shared" si="67"/>
        <v>0</v>
      </c>
      <c r="E200" s="525">
        <f t="shared" si="67"/>
        <v>0</v>
      </c>
      <c r="F200" s="525">
        <f t="shared" si="67"/>
        <v>0</v>
      </c>
      <c r="G200" s="525">
        <f t="shared" si="67"/>
        <v>0</v>
      </c>
      <c r="H200" s="525">
        <f t="shared" si="67"/>
        <v>0</v>
      </c>
      <c r="I200" s="525">
        <f t="shared" si="67"/>
        <v>0</v>
      </c>
      <c r="J200" s="525">
        <f t="shared" si="67"/>
        <v>0</v>
      </c>
      <c r="K200" s="525">
        <f t="shared" si="67"/>
        <v>0</v>
      </c>
      <c r="L200" s="525">
        <f t="shared" si="67"/>
        <v>0</v>
      </c>
      <c r="M200" s="525">
        <f t="shared" si="67"/>
        <v>0</v>
      </c>
      <c r="N200" s="525">
        <f t="shared" si="67"/>
        <v>0</v>
      </c>
    </row>
    <row r="201" outlineLevel="1">
      <c r="A201" s="195"/>
      <c r="B201" s="291"/>
      <c r="C201" s="291"/>
      <c r="D201" s="291"/>
      <c r="E201" s="291"/>
      <c r="F201" s="291"/>
      <c r="G201" s="291"/>
      <c r="H201" s="291"/>
      <c r="I201" s="291"/>
      <c r="J201" s="291"/>
      <c r="K201" s="291"/>
      <c r="L201" s="291"/>
      <c r="M201" s="291"/>
      <c r="N201" s="291"/>
    </row>
    <row r="202" outlineLevel="1">
      <c r="A202" s="186" t="s">
        <v>323</v>
      </c>
      <c r="B202" s="291"/>
      <c r="C202" s="291"/>
      <c r="D202" s="291"/>
      <c r="E202" s="291"/>
      <c r="F202" s="291"/>
      <c r="G202" s="291"/>
      <c r="H202" s="291"/>
      <c r="I202" s="291"/>
      <c r="J202" s="291"/>
      <c r="K202" s="291"/>
      <c r="L202" s="291"/>
      <c r="M202" s="291"/>
      <c r="N202" s="291"/>
    </row>
    <row r="203" outlineLevel="1">
      <c r="A203" s="183" t="s">
        <v>19</v>
      </c>
      <c r="B203" s="428">
        <f t="shared" ref="B203:N203" si="68">B13</f>
        <v>100000</v>
      </c>
      <c r="C203" s="428">
        <f t="shared" si="68"/>
        <v>100000</v>
      </c>
      <c r="D203" s="428">
        <f t="shared" si="68"/>
        <v>100000</v>
      </c>
      <c r="E203" s="428">
        <f t="shared" si="68"/>
        <v>100000</v>
      </c>
      <c r="F203" s="428">
        <f t="shared" si="68"/>
        <v>100000</v>
      </c>
      <c r="G203" s="428">
        <f t="shared" si="68"/>
        <v>100000</v>
      </c>
      <c r="H203" s="428">
        <f t="shared" si="68"/>
        <v>100000</v>
      </c>
      <c r="I203" s="428">
        <f t="shared" si="68"/>
        <v>100000</v>
      </c>
      <c r="J203" s="428">
        <f t="shared" si="68"/>
        <v>100000</v>
      </c>
      <c r="K203" s="428">
        <f t="shared" si="68"/>
        <v>100000</v>
      </c>
      <c r="L203" s="428">
        <f t="shared" si="68"/>
        <v>100000</v>
      </c>
      <c r="M203" s="428">
        <f t="shared" si="68"/>
        <v>100000</v>
      </c>
      <c r="N203" s="428">
        <f t="shared" si="68"/>
        <v>100000</v>
      </c>
    </row>
    <row r="204" outlineLevel="1">
      <c r="A204" s="183" t="s">
        <v>317</v>
      </c>
      <c r="B204" s="429">
        <f t="shared" ref="B204:N204" si="69">B197/B196*B203</f>
        <v>916.1037716</v>
      </c>
      <c r="C204" s="429">
        <f t="shared" si="69"/>
        <v>4463.149679</v>
      </c>
      <c r="D204" s="429">
        <f t="shared" si="69"/>
        <v>4463.149679</v>
      </c>
      <c r="E204" s="429">
        <f t="shared" si="69"/>
        <v>4463.149679</v>
      </c>
      <c r="F204" s="429">
        <f t="shared" si="69"/>
        <v>4463.149679</v>
      </c>
      <c r="G204" s="429">
        <f t="shared" si="69"/>
        <v>4463.149679</v>
      </c>
      <c r="H204" s="429">
        <f t="shared" si="69"/>
        <v>4463.149679</v>
      </c>
      <c r="I204" s="429">
        <f t="shared" si="69"/>
        <v>4463.149679</v>
      </c>
      <c r="J204" s="429">
        <f t="shared" si="69"/>
        <v>2798.956163</v>
      </c>
      <c r="K204" s="429">
        <f t="shared" si="69"/>
        <v>0</v>
      </c>
      <c r="L204" s="429">
        <f t="shared" si="69"/>
        <v>4463.149679</v>
      </c>
      <c r="M204" s="429">
        <f t="shared" si="69"/>
        <v>4463.149679</v>
      </c>
      <c r="N204" s="429">
        <f t="shared" si="69"/>
        <v>0</v>
      </c>
    </row>
    <row r="205" outlineLevel="1">
      <c r="A205" s="183" t="s">
        <v>541</v>
      </c>
      <c r="B205" s="429">
        <f t="shared" ref="B205:N205" si="70">B198/B196*B203</f>
        <v>11796.28723</v>
      </c>
      <c r="C205" s="429">
        <f t="shared" si="70"/>
        <v>11755.32432</v>
      </c>
      <c r="D205" s="429">
        <f t="shared" si="70"/>
        <v>11755.32432</v>
      </c>
      <c r="E205" s="429">
        <f t="shared" si="70"/>
        <v>11755.32432</v>
      </c>
      <c r="F205" s="429">
        <f t="shared" si="70"/>
        <v>11755.32432</v>
      </c>
      <c r="G205" s="429">
        <f t="shared" si="70"/>
        <v>11755.32432</v>
      </c>
      <c r="H205" s="429">
        <f t="shared" si="70"/>
        <v>11755.32432</v>
      </c>
      <c r="I205" s="429">
        <f t="shared" si="70"/>
        <v>11755.32432</v>
      </c>
      <c r="J205" s="429">
        <f t="shared" si="70"/>
        <v>11606.6552</v>
      </c>
      <c r="K205" s="429">
        <f t="shared" si="70"/>
        <v>11811.86089</v>
      </c>
      <c r="L205" s="429">
        <f t="shared" si="70"/>
        <v>11755.32432</v>
      </c>
      <c r="M205" s="429">
        <f t="shared" si="70"/>
        <v>11755.32432</v>
      </c>
      <c r="N205" s="429">
        <f t="shared" si="70"/>
        <v>11811.86089</v>
      </c>
    </row>
    <row r="206" outlineLevel="1">
      <c r="A206" s="432" t="s">
        <v>324</v>
      </c>
      <c r="B206" s="433">
        <f t="shared" ref="B206:N206" si="71">sum(B203:B205)</f>
        <v>112712.391</v>
      </c>
      <c r="C206" s="433">
        <f t="shared" si="71"/>
        <v>116218.474</v>
      </c>
      <c r="D206" s="433">
        <f t="shared" si="71"/>
        <v>116218.474</v>
      </c>
      <c r="E206" s="433">
        <f t="shared" si="71"/>
        <v>116218.474</v>
      </c>
      <c r="F206" s="433">
        <f t="shared" si="71"/>
        <v>116218.474</v>
      </c>
      <c r="G206" s="433">
        <f t="shared" si="71"/>
        <v>116218.474</v>
      </c>
      <c r="H206" s="433">
        <f t="shared" si="71"/>
        <v>116218.474</v>
      </c>
      <c r="I206" s="433">
        <f t="shared" si="71"/>
        <v>116218.474</v>
      </c>
      <c r="J206" s="433">
        <f t="shared" si="71"/>
        <v>114405.6114</v>
      </c>
      <c r="K206" s="433">
        <f t="shared" si="71"/>
        <v>111811.8609</v>
      </c>
      <c r="L206" s="433">
        <f t="shared" si="71"/>
        <v>116218.474</v>
      </c>
      <c r="M206" s="433">
        <f t="shared" si="71"/>
        <v>116218.474</v>
      </c>
      <c r="N206" s="433">
        <f t="shared" si="71"/>
        <v>111811.8609</v>
      </c>
    </row>
    <row r="207" outlineLevel="1">
      <c r="A207" s="195"/>
      <c r="B207" s="355"/>
      <c r="C207" s="291"/>
      <c r="D207" s="291"/>
      <c r="E207" s="291"/>
      <c r="F207" s="291"/>
      <c r="G207" s="291"/>
      <c r="H207" s="291"/>
      <c r="I207" s="291"/>
      <c r="J207" s="291"/>
      <c r="K207" s="291"/>
      <c r="L207" s="291"/>
      <c r="M207" s="291"/>
      <c r="N207" s="291"/>
    </row>
    <row r="208" outlineLevel="1">
      <c r="A208" s="365" t="s">
        <v>328</v>
      </c>
      <c r="B208" s="355"/>
      <c r="C208" s="242"/>
      <c r="D208" s="242"/>
      <c r="E208" s="242"/>
      <c r="F208" s="242"/>
      <c r="G208" s="242"/>
      <c r="H208" s="242"/>
      <c r="I208" s="242"/>
      <c r="J208" s="242"/>
      <c r="K208" s="242"/>
      <c r="L208" s="242"/>
      <c r="M208" s="242"/>
      <c r="N208" s="242"/>
    </row>
    <row r="209" outlineLevel="1">
      <c r="A209" s="142" t="s">
        <v>541</v>
      </c>
      <c r="B209" s="526">
        <f>'Value of counterfactual spendin'!$B$42</f>
        <v>0.005071038557</v>
      </c>
      <c r="C209" s="526">
        <f>'Value of counterfactual spendin'!$B$42</f>
        <v>0.005071038557</v>
      </c>
      <c r="D209" s="526">
        <f>'Value of counterfactual spendin'!$B$42</f>
        <v>0.005071038557</v>
      </c>
      <c r="E209" s="526">
        <f>'Value of counterfactual spendin'!$B$42</f>
        <v>0.005071038557</v>
      </c>
      <c r="F209" s="526">
        <f>'Value of counterfactual spendin'!$B$42</f>
        <v>0.005071038557</v>
      </c>
      <c r="G209" s="526">
        <f>'Value of counterfactual spendin'!$B$42</f>
        <v>0.005071038557</v>
      </c>
      <c r="H209" s="526">
        <f>'Value of counterfactual spendin'!$B$42</f>
        <v>0.005071038557</v>
      </c>
      <c r="I209" s="526">
        <f>'Value of counterfactual spendin'!$B$42</f>
        <v>0.005071038557</v>
      </c>
      <c r="J209" s="526">
        <f>'Value of counterfactual spendin'!$B$42</f>
        <v>0.005071038557</v>
      </c>
      <c r="K209" s="526">
        <f>'Value of counterfactual spendin'!$B$42</f>
        <v>0.005071038557</v>
      </c>
      <c r="L209" s="526">
        <f>'Value of counterfactual spendin'!$B$42</f>
        <v>0.005071038557</v>
      </c>
      <c r="M209" s="526">
        <f>'Value of counterfactual spendin'!$B$42</f>
        <v>0.005071038557</v>
      </c>
      <c r="N209" s="526">
        <f>'Value of counterfactual spendin'!$B$42</f>
        <v>0.005071038557</v>
      </c>
    </row>
    <row r="210" outlineLevel="1">
      <c r="A210" s="142" t="s">
        <v>542</v>
      </c>
      <c r="B210" s="526">
        <f>'Value of counterfactual spendin'!$B$44</f>
        <v>0.015433</v>
      </c>
      <c r="C210" s="526">
        <f>'Value of counterfactual spendin'!$B$44</f>
        <v>0.015433</v>
      </c>
      <c r="D210" s="526">
        <f>'Value of counterfactual spendin'!$B$44</f>
        <v>0.015433</v>
      </c>
      <c r="E210" s="526">
        <f>'Value of counterfactual spendin'!$B$44</f>
        <v>0.015433</v>
      </c>
      <c r="F210" s="526">
        <f>'Value of counterfactual spendin'!$B$44</f>
        <v>0.015433</v>
      </c>
      <c r="G210" s="526">
        <f>'Value of counterfactual spendin'!$B$44</f>
        <v>0.015433</v>
      </c>
      <c r="H210" s="526">
        <f>'Value of counterfactual spendin'!$B$44</f>
        <v>0.015433</v>
      </c>
      <c r="I210" s="526">
        <f>'Value of counterfactual spendin'!$B$44</f>
        <v>0.015433</v>
      </c>
      <c r="J210" s="526">
        <f>'Value of counterfactual spendin'!$B$44</f>
        <v>0.015433</v>
      </c>
      <c r="K210" s="526">
        <f>'Value of counterfactual spendin'!$B$44</f>
        <v>0.015433</v>
      </c>
      <c r="L210" s="526">
        <f>'Value of counterfactual spendin'!$B$44</f>
        <v>0.015433</v>
      </c>
      <c r="M210" s="526">
        <f>'Value of counterfactual spendin'!$B$44</f>
        <v>0.015433</v>
      </c>
      <c r="N210" s="526">
        <f>'Value of counterfactual spendin'!$B$44</f>
        <v>0.015433</v>
      </c>
    </row>
    <row r="211" outlineLevel="1">
      <c r="A211" s="142"/>
      <c r="B211" s="242"/>
      <c r="C211" s="242"/>
      <c r="D211" s="242"/>
      <c r="E211" s="242"/>
      <c r="F211" s="242"/>
      <c r="G211" s="242"/>
      <c r="H211" s="242"/>
      <c r="I211" s="242"/>
      <c r="J211" s="242"/>
      <c r="K211" s="242"/>
      <c r="L211" s="242"/>
      <c r="M211" s="242"/>
      <c r="N211" s="242"/>
    </row>
    <row r="212" outlineLevel="1">
      <c r="A212" s="233" t="s">
        <v>216</v>
      </c>
      <c r="B212" s="242"/>
      <c r="C212" s="242"/>
      <c r="D212" s="242"/>
      <c r="E212" s="242"/>
      <c r="F212" s="242"/>
      <c r="G212" s="242"/>
      <c r="H212" s="242"/>
      <c r="I212" s="242"/>
      <c r="J212" s="242"/>
      <c r="K212" s="242"/>
      <c r="L212" s="242"/>
      <c r="M212" s="242"/>
      <c r="N212" s="242"/>
    </row>
    <row r="213" outlineLevel="1">
      <c r="A213" s="142" t="s">
        <v>217</v>
      </c>
      <c r="B213" s="92">
        <v>0.0</v>
      </c>
      <c r="C213" s="92">
        <v>0.05</v>
      </c>
      <c r="D213" s="92">
        <v>0.05</v>
      </c>
      <c r="E213" s="92">
        <v>0.05</v>
      </c>
      <c r="F213" s="92">
        <v>0.05</v>
      </c>
      <c r="G213" s="92">
        <v>0.05</v>
      </c>
      <c r="H213" s="92">
        <v>0.05</v>
      </c>
      <c r="I213" s="92">
        <v>0.05</v>
      </c>
      <c r="J213" s="92">
        <v>0.0</v>
      </c>
      <c r="K213" s="92">
        <v>0.0</v>
      </c>
      <c r="L213" s="92">
        <v>0.0</v>
      </c>
      <c r="M213" s="92">
        <v>0.0</v>
      </c>
      <c r="N213" s="92">
        <v>0.0</v>
      </c>
    </row>
    <row r="214" outlineLevel="1">
      <c r="A214" s="356" t="s">
        <v>218</v>
      </c>
      <c r="B214" s="92">
        <v>0.5</v>
      </c>
      <c r="C214" s="92">
        <v>0.2</v>
      </c>
      <c r="D214" s="92">
        <v>0.1</v>
      </c>
      <c r="E214" s="92">
        <v>0.2</v>
      </c>
      <c r="F214" s="92">
        <v>0.1</v>
      </c>
      <c r="G214" s="92">
        <v>0.2</v>
      </c>
      <c r="H214" s="92">
        <v>0.2</v>
      </c>
      <c r="I214" s="92">
        <v>0.2</v>
      </c>
      <c r="J214" s="92">
        <v>0.65</v>
      </c>
      <c r="K214" s="92">
        <v>0.45</v>
      </c>
      <c r="L214" s="92">
        <v>0.1</v>
      </c>
      <c r="M214" s="92">
        <v>0.2</v>
      </c>
      <c r="N214" s="92">
        <v>0.2</v>
      </c>
    </row>
    <row r="215" outlineLevel="1">
      <c r="A215" s="142" t="s">
        <v>333</v>
      </c>
      <c r="B215" s="127">
        <v>0.0</v>
      </c>
      <c r="C215" s="127">
        <v>0.0</v>
      </c>
      <c r="D215" s="127">
        <v>0.0</v>
      </c>
      <c r="E215" s="127">
        <v>0.0</v>
      </c>
      <c r="F215" s="127">
        <v>0.0</v>
      </c>
      <c r="G215" s="127">
        <v>0.0</v>
      </c>
      <c r="H215" s="127">
        <v>0.0</v>
      </c>
      <c r="I215" s="127">
        <v>0.0</v>
      </c>
      <c r="J215" s="127">
        <v>0.0</v>
      </c>
      <c r="K215" s="127">
        <v>0.0</v>
      </c>
      <c r="L215" s="127">
        <v>0.0</v>
      </c>
      <c r="M215" s="127">
        <v>0.0</v>
      </c>
      <c r="N215" s="127">
        <v>0.0</v>
      </c>
    </row>
    <row r="216" outlineLevel="1">
      <c r="A216" s="142" t="s">
        <v>220</v>
      </c>
      <c r="B216" s="127">
        <f t="shared" ref="B216:N216" si="72">1-sum(B213:B215)</f>
        <v>0.5</v>
      </c>
      <c r="C216" s="127">
        <f t="shared" si="72"/>
        <v>0.75</v>
      </c>
      <c r="D216" s="127">
        <f t="shared" si="72"/>
        <v>0.85</v>
      </c>
      <c r="E216" s="127">
        <f t="shared" si="72"/>
        <v>0.75</v>
      </c>
      <c r="F216" s="127">
        <f t="shared" si="72"/>
        <v>0.85</v>
      </c>
      <c r="G216" s="127">
        <f t="shared" si="72"/>
        <v>0.75</v>
      </c>
      <c r="H216" s="127">
        <f t="shared" si="72"/>
        <v>0.75</v>
      </c>
      <c r="I216" s="127">
        <f t="shared" si="72"/>
        <v>0.75</v>
      </c>
      <c r="J216" s="127">
        <f t="shared" si="72"/>
        <v>0.35</v>
      </c>
      <c r="K216" s="127">
        <f t="shared" si="72"/>
        <v>0.55</v>
      </c>
      <c r="L216" s="127">
        <f t="shared" si="72"/>
        <v>0.9</v>
      </c>
      <c r="M216" s="127">
        <f t="shared" si="72"/>
        <v>0.8</v>
      </c>
      <c r="N216" s="127">
        <f t="shared" si="72"/>
        <v>0.8</v>
      </c>
    </row>
    <row r="217" outlineLevel="1">
      <c r="A217" s="142"/>
      <c r="B217" s="242"/>
      <c r="C217" s="242"/>
      <c r="D217" s="242"/>
      <c r="E217" s="242"/>
      <c r="F217" s="242"/>
      <c r="G217" s="242"/>
      <c r="H217" s="242"/>
      <c r="I217" s="242"/>
      <c r="J217" s="242"/>
      <c r="K217" s="242"/>
      <c r="L217" s="242"/>
      <c r="M217" s="242"/>
      <c r="N217" s="242"/>
    </row>
    <row r="218" outlineLevel="1">
      <c r="A218" s="372" t="s">
        <v>543</v>
      </c>
      <c r="B218" s="242"/>
      <c r="C218" s="242"/>
      <c r="D218" s="242"/>
      <c r="E218" s="242"/>
      <c r="F218" s="242"/>
      <c r="G218" s="242"/>
      <c r="H218" s="242"/>
      <c r="I218" s="242"/>
      <c r="J218" s="242"/>
      <c r="K218" s="242"/>
      <c r="L218" s="242"/>
      <c r="M218" s="242"/>
      <c r="N218" s="242"/>
    </row>
    <row r="219" outlineLevel="1">
      <c r="A219" s="356" t="s">
        <v>217</v>
      </c>
      <c r="B219" s="427">
        <f t="shared" ref="B219:N219" si="73">SUM(B203:B204)</f>
        <v>100916.1038</v>
      </c>
      <c r="C219" s="427">
        <f t="shared" si="73"/>
        <v>104463.1497</v>
      </c>
      <c r="D219" s="427">
        <f t="shared" si="73"/>
        <v>104463.1497</v>
      </c>
      <c r="E219" s="427">
        <f t="shared" si="73"/>
        <v>104463.1497</v>
      </c>
      <c r="F219" s="427">
        <f t="shared" si="73"/>
        <v>104463.1497</v>
      </c>
      <c r="G219" s="427">
        <f t="shared" si="73"/>
        <v>104463.1497</v>
      </c>
      <c r="H219" s="427">
        <f t="shared" si="73"/>
        <v>104463.1497</v>
      </c>
      <c r="I219" s="427">
        <f t="shared" si="73"/>
        <v>104463.1497</v>
      </c>
      <c r="J219" s="427">
        <f t="shared" si="73"/>
        <v>102798.9562</v>
      </c>
      <c r="K219" s="427">
        <f t="shared" si="73"/>
        <v>100000</v>
      </c>
      <c r="L219" s="427">
        <f t="shared" si="73"/>
        <v>104463.1497</v>
      </c>
      <c r="M219" s="427">
        <f t="shared" si="73"/>
        <v>104463.1497</v>
      </c>
      <c r="N219" s="427">
        <f t="shared" si="73"/>
        <v>100000</v>
      </c>
    </row>
    <row r="220" outlineLevel="1">
      <c r="A220" s="356" t="s">
        <v>544</v>
      </c>
      <c r="B220" s="427">
        <f t="shared" ref="B220:N220" si="74">SUM(B203,B204)</f>
        <v>100916.1038</v>
      </c>
      <c r="C220" s="427">
        <f t="shared" si="74"/>
        <v>104463.1497</v>
      </c>
      <c r="D220" s="427">
        <f t="shared" si="74"/>
        <v>104463.1497</v>
      </c>
      <c r="E220" s="427">
        <f t="shared" si="74"/>
        <v>104463.1497</v>
      </c>
      <c r="F220" s="427">
        <f t="shared" si="74"/>
        <v>104463.1497</v>
      </c>
      <c r="G220" s="427">
        <f t="shared" si="74"/>
        <v>104463.1497</v>
      </c>
      <c r="H220" s="427">
        <f t="shared" si="74"/>
        <v>104463.1497</v>
      </c>
      <c r="I220" s="427">
        <f t="shared" si="74"/>
        <v>104463.1497</v>
      </c>
      <c r="J220" s="427">
        <f t="shared" si="74"/>
        <v>102798.9562</v>
      </c>
      <c r="K220" s="427">
        <f t="shared" si="74"/>
        <v>100000</v>
      </c>
      <c r="L220" s="427">
        <f t="shared" si="74"/>
        <v>104463.1497</v>
      </c>
      <c r="M220" s="427">
        <f t="shared" si="74"/>
        <v>104463.1497</v>
      </c>
      <c r="N220" s="427">
        <f t="shared" si="74"/>
        <v>100000</v>
      </c>
    </row>
    <row r="221" outlineLevel="1">
      <c r="A221" s="356" t="s">
        <v>333</v>
      </c>
      <c r="B221" s="370">
        <v>0.0</v>
      </c>
      <c r="C221" s="370">
        <v>0.0</v>
      </c>
      <c r="D221" s="370">
        <v>0.0</v>
      </c>
      <c r="E221" s="370">
        <v>0.0</v>
      </c>
      <c r="F221" s="370">
        <v>0.0</v>
      </c>
      <c r="G221" s="370">
        <v>0.0</v>
      </c>
      <c r="H221" s="370">
        <v>0.0</v>
      </c>
      <c r="I221" s="370">
        <v>0.0</v>
      </c>
      <c r="J221" s="370">
        <v>0.0</v>
      </c>
      <c r="K221" s="370">
        <v>0.0</v>
      </c>
      <c r="L221" s="370">
        <v>0.0</v>
      </c>
      <c r="M221" s="370">
        <v>0.0</v>
      </c>
      <c r="N221" s="370">
        <v>0.0</v>
      </c>
    </row>
    <row r="222" outlineLevel="1">
      <c r="A222" s="356" t="s">
        <v>220</v>
      </c>
      <c r="B222" s="427">
        <f t="shared" ref="B222:N222" si="75">-B205</f>
        <v>-11796.28723</v>
      </c>
      <c r="C222" s="427">
        <f t="shared" si="75"/>
        <v>-11755.32432</v>
      </c>
      <c r="D222" s="427">
        <f t="shared" si="75"/>
        <v>-11755.32432</v>
      </c>
      <c r="E222" s="427">
        <f t="shared" si="75"/>
        <v>-11755.32432</v>
      </c>
      <c r="F222" s="427">
        <f t="shared" si="75"/>
        <v>-11755.32432</v>
      </c>
      <c r="G222" s="427">
        <f t="shared" si="75"/>
        <v>-11755.32432</v>
      </c>
      <c r="H222" s="427">
        <f t="shared" si="75"/>
        <v>-11755.32432</v>
      </c>
      <c r="I222" s="427">
        <f t="shared" si="75"/>
        <v>-11755.32432</v>
      </c>
      <c r="J222" s="427">
        <f t="shared" si="75"/>
        <v>-11606.6552</v>
      </c>
      <c r="K222" s="427">
        <f t="shared" si="75"/>
        <v>-11811.86089</v>
      </c>
      <c r="L222" s="427">
        <f t="shared" si="75"/>
        <v>-11755.32432</v>
      </c>
      <c r="M222" s="427">
        <f t="shared" si="75"/>
        <v>-11755.32432</v>
      </c>
      <c r="N222" s="427">
        <f t="shared" si="75"/>
        <v>-11811.86089</v>
      </c>
    </row>
    <row r="223" outlineLevel="1">
      <c r="A223" s="142"/>
      <c r="B223" s="242"/>
      <c r="C223" s="242"/>
      <c r="D223" s="242"/>
      <c r="E223" s="242"/>
      <c r="F223" s="242"/>
      <c r="G223" s="242"/>
      <c r="H223" s="242"/>
      <c r="I223" s="242"/>
      <c r="J223" s="242"/>
      <c r="K223" s="242"/>
      <c r="L223" s="242"/>
      <c r="M223" s="242"/>
      <c r="N223" s="242"/>
    </row>
    <row r="224" outlineLevel="1">
      <c r="A224" s="142"/>
      <c r="B224" s="242"/>
      <c r="C224" s="242"/>
      <c r="D224" s="242"/>
      <c r="E224" s="242"/>
      <c r="F224" s="242"/>
      <c r="G224" s="242"/>
      <c r="H224" s="242"/>
      <c r="I224" s="242"/>
      <c r="J224" s="242"/>
      <c r="K224" s="242"/>
      <c r="L224" s="242"/>
      <c r="M224" s="242"/>
      <c r="N224" s="242"/>
    </row>
    <row r="225" outlineLevel="1">
      <c r="A225" s="371" t="s">
        <v>545</v>
      </c>
      <c r="B225" s="242"/>
      <c r="C225" s="242"/>
      <c r="D225" s="242"/>
      <c r="E225" s="242"/>
      <c r="F225" s="242"/>
      <c r="G225" s="242"/>
      <c r="H225" s="242"/>
      <c r="I225" s="242"/>
      <c r="J225" s="242"/>
      <c r="K225" s="242"/>
      <c r="L225" s="242"/>
      <c r="M225" s="242"/>
      <c r="N225" s="242"/>
    </row>
    <row r="226" outlineLevel="1">
      <c r="A226" s="356" t="s">
        <v>217</v>
      </c>
      <c r="B226" s="168">
        <f t="shared" ref="B226:N226" si="76">B219*B$189</f>
        <v>10096.44063</v>
      </c>
      <c r="C226" s="168">
        <f t="shared" si="76"/>
        <v>7418.509831</v>
      </c>
      <c r="D226" s="168">
        <f t="shared" si="76"/>
        <v>5698.018243</v>
      </c>
      <c r="E226" s="168">
        <f t="shared" si="76"/>
        <v>12532.37595</v>
      </c>
      <c r="F226" s="168">
        <f t="shared" si="76"/>
        <v>6375.034526</v>
      </c>
      <c r="G226" s="168">
        <f t="shared" si="76"/>
        <v>7786.385874</v>
      </c>
      <c r="H226" s="168">
        <f t="shared" si="76"/>
        <v>5551.622592</v>
      </c>
      <c r="I226" s="168">
        <f t="shared" si="76"/>
        <v>12386.76983</v>
      </c>
      <c r="J226" s="168">
        <f t="shared" si="76"/>
        <v>6598.653505</v>
      </c>
      <c r="K226" s="168">
        <f t="shared" si="76"/>
        <v>2932.11294</v>
      </c>
      <c r="L226" s="168">
        <f t="shared" si="76"/>
        <v>4570.892414</v>
      </c>
      <c r="M226" s="168">
        <f t="shared" si="76"/>
        <v>8451.81343</v>
      </c>
      <c r="N226" s="168">
        <f t="shared" si="76"/>
        <v>3932.152887</v>
      </c>
    </row>
    <row r="227" outlineLevel="1">
      <c r="A227" s="356" t="s">
        <v>544</v>
      </c>
      <c r="B227" s="168">
        <f t="shared" ref="B227:N227" si="77">B220*B$189</f>
        <v>10096.44063</v>
      </c>
      <c r="C227" s="168">
        <f t="shared" si="77"/>
        <v>7418.509831</v>
      </c>
      <c r="D227" s="168">
        <f t="shared" si="77"/>
        <v>5698.018243</v>
      </c>
      <c r="E227" s="168">
        <f t="shared" si="77"/>
        <v>12532.37595</v>
      </c>
      <c r="F227" s="168">
        <f t="shared" si="77"/>
        <v>6375.034526</v>
      </c>
      <c r="G227" s="168">
        <f t="shared" si="77"/>
        <v>7786.385874</v>
      </c>
      <c r="H227" s="168">
        <f t="shared" si="77"/>
        <v>5551.622592</v>
      </c>
      <c r="I227" s="168">
        <f t="shared" si="77"/>
        <v>12386.76983</v>
      </c>
      <c r="J227" s="168">
        <f t="shared" si="77"/>
        <v>6598.653505</v>
      </c>
      <c r="K227" s="168">
        <f t="shared" si="77"/>
        <v>2932.11294</v>
      </c>
      <c r="L227" s="168">
        <f t="shared" si="77"/>
        <v>4570.892414</v>
      </c>
      <c r="M227" s="168">
        <f t="shared" si="77"/>
        <v>8451.81343</v>
      </c>
      <c r="N227" s="168">
        <f t="shared" si="77"/>
        <v>3932.152887</v>
      </c>
    </row>
    <row r="228" outlineLevel="1">
      <c r="A228" s="356" t="s">
        <v>333</v>
      </c>
      <c r="B228" s="168">
        <f t="shared" ref="B228:N228" si="78">B221*B$189</f>
        <v>0</v>
      </c>
      <c r="C228" s="168">
        <f t="shared" si="78"/>
        <v>0</v>
      </c>
      <c r="D228" s="168">
        <f t="shared" si="78"/>
        <v>0</v>
      </c>
      <c r="E228" s="168">
        <f t="shared" si="78"/>
        <v>0</v>
      </c>
      <c r="F228" s="168">
        <f t="shared" si="78"/>
        <v>0</v>
      </c>
      <c r="G228" s="168">
        <f t="shared" si="78"/>
        <v>0</v>
      </c>
      <c r="H228" s="168">
        <f t="shared" si="78"/>
        <v>0</v>
      </c>
      <c r="I228" s="168">
        <f t="shared" si="78"/>
        <v>0</v>
      </c>
      <c r="J228" s="168">
        <f t="shared" si="78"/>
        <v>0</v>
      </c>
      <c r="K228" s="168">
        <f t="shared" si="78"/>
        <v>0</v>
      </c>
      <c r="L228" s="168">
        <f t="shared" si="78"/>
        <v>0</v>
      </c>
      <c r="M228" s="168">
        <f t="shared" si="78"/>
        <v>0</v>
      </c>
      <c r="N228" s="168">
        <f t="shared" si="78"/>
        <v>0</v>
      </c>
    </row>
    <row r="229" outlineLevel="1">
      <c r="A229" s="356" t="s">
        <v>220</v>
      </c>
      <c r="B229" s="168">
        <f t="shared" ref="B229:N229" si="79">B222*B$189</f>
        <v>-1180.193341</v>
      </c>
      <c r="C229" s="168">
        <f t="shared" si="79"/>
        <v>-834.8110245</v>
      </c>
      <c r="D229" s="168">
        <f t="shared" si="79"/>
        <v>-641.2026884</v>
      </c>
      <c r="E229" s="168">
        <f t="shared" si="79"/>
        <v>-1410.278593</v>
      </c>
      <c r="F229" s="168">
        <f t="shared" si="79"/>
        <v>-717.3878887</v>
      </c>
      <c r="G229" s="168">
        <f t="shared" si="79"/>
        <v>-876.2084189</v>
      </c>
      <c r="H229" s="168">
        <f t="shared" si="79"/>
        <v>-624.7286651</v>
      </c>
      <c r="I229" s="168">
        <f t="shared" si="79"/>
        <v>-1393.893416</v>
      </c>
      <c r="J229" s="168">
        <f t="shared" si="79"/>
        <v>-745.0299001</v>
      </c>
      <c r="K229" s="168">
        <f t="shared" si="79"/>
        <v>-346.3371016</v>
      </c>
      <c r="L229" s="168">
        <f t="shared" si="79"/>
        <v>-514.36629</v>
      </c>
      <c r="M229" s="168">
        <f t="shared" si="79"/>
        <v>-951.0895301</v>
      </c>
      <c r="N229" s="168">
        <f t="shared" si="79"/>
        <v>-464.460429</v>
      </c>
    </row>
    <row r="230" outlineLevel="1">
      <c r="A230" s="142"/>
      <c r="B230" s="242"/>
      <c r="C230" s="242"/>
      <c r="D230" s="242"/>
      <c r="E230" s="242"/>
      <c r="F230" s="242"/>
      <c r="G230" s="242"/>
      <c r="H230" s="242"/>
      <c r="I230" s="242"/>
      <c r="J230" s="242"/>
      <c r="K230" s="242"/>
      <c r="L230" s="242"/>
      <c r="M230" s="242"/>
      <c r="N230" s="242"/>
    </row>
    <row r="231" outlineLevel="1">
      <c r="A231" s="371" t="s">
        <v>340</v>
      </c>
      <c r="B231" s="242"/>
      <c r="C231" s="242"/>
      <c r="D231" s="242"/>
      <c r="E231" s="242"/>
      <c r="F231" s="242"/>
      <c r="G231" s="242"/>
      <c r="H231" s="242"/>
      <c r="I231" s="242"/>
      <c r="J231" s="242"/>
      <c r="K231" s="242"/>
      <c r="L231" s="242"/>
      <c r="M231" s="242"/>
      <c r="N231" s="242"/>
    </row>
    <row r="232" outlineLevel="1">
      <c r="A232" s="356" t="s">
        <v>217</v>
      </c>
      <c r="B232" s="168">
        <f>-B219*B$209</f>
        <v>-511.7494532</v>
      </c>
      <c r="C232" s="168">
        <f t="shared" ref="C232:N232" si="80">-C219*C209</f>
        <v>-529.7366598</v>
      </c>
      <c r="D232" s="168">
        <f t="shared" si="80"/>
        <v>-529.7366598</v>
      </c>
      <c r="E232" s="168">
        <f t="shared" si="80"/>
        <v>-529.7366598</v>
      </c>
      <c r="F232" s="168">
        <f t="shared" si="80"/>
        <v>-529.7366598</v>
      </c>
      <c r="G232" s="168">
        <f t="shared" si="80"/>
        <v>-529.7366598</v>
      </c>
      <c r="H232" s="168">
        <f t="shared" si="80"/>
        <v>-529.7366598</v>
      </c>
      <c r="I232" s="168">
        <f t="shared" si="80"/>
        <v>-529.7366598</v>
      </c>
      <c r="J232" s="168">
        <f t="shared" si="80"/>
        <v>-521.2974703</v>
      </c>
      <c r="K232" s="168">
        <f t="shared" si="80"/>
        <v>-507.1038557</v>
      </c>
      <c r="L232" s="168">
        <f t="shared" si="80"/>
        <v>-529.7366598</v>
      </c>
      <c r="M232" s="168">
        <f t="shared" si="80"/>
        <v>-529.7366598</v>
      </c>
      <c r="N232" s="168">
        <f t="shared" si="80"/>
        <v>-507.1038557</v>
      </c>
    </row>
    <row r="233" outlineLevel="1">
      <c r="A233" s="356" t="s">
        <v>544</v>
      </c>
      <c r="B233" s="168">
        <f t="shared" ref="B233:N233" si="81">-B220*B$210</f>
        <v>-1557.43823</v>
      </c>
      <c r="C233" s="168">
        <f t="shared" si="81"/>
        <v>-1612.179789</v>
      </c>
      <c r="D233" s="168">
        <f t="shared" si="81"/>
        <v>-1612.179789</v>
      </c>
      <c r="E233" s="168">
        <f t="shared" si="81"/>
        <v>-1612.179789</v>
      </c>
      <c r="F233" s="168">
        <f t="shared" si="81"/>
        <v>-1612.179789</v>
      </c>
      <c r="G233" s="168">
        <f t="shared" si="81"/>
        <v>-1612.179789</v>
      </c>
      <c r="H233" s="168">
        <f t="shared" si="81"/>
        <v>-1612.179789</v>
      </c>
      <c r="I233" s="168">
        <f t="shared" si="81"/>
        <v>-1612.179789</v>
      </c>
      <c r="J233" s="168">
        <f t="shared" si="81"/>
        <v>-1586.49629</v>
      </c>
      <c r="K233" s="168">
        <f t="shared" si="81"/>
        <v>-1543.3</v>
      </c>
      <c r="L233" s="168">
        <f t="shared" si="81"/>
        <v>-1612.179789</v>
      </c>
      <c r="M233" s="168">
        <f t="shared" si="81"/>
        <v>-1612.179789</v>
      </c>
      <c r="N233" s="168">
        <f t="shared" si="81"/>
        <v>-1543.3</v>
      </c>
    </row>
    <row r="234" outlineLevel="1">
      <c r="A234" s="356" t="s">
        <v>333</v>
      </c>
      <c r="B234" s="168">
        <f t="shared" ref="B234:N234" si="82">-B221*B$209</f>
        <v>0</v>
      </c>
      <c r="C234" s="168">
        <f t="shared" si="82"/>
        <v>0</v>
      </c>
      <c r="D234" s="168">
        <f t="shared" si="82"/>
        <v>0</v>
      </c>
      <c r="E234" s="168">
        <f t="shared" si="82"/>
        <v>0</v>
      </c>
      <c r="F234" s="168">
        <f t="shared" si="82"/>
        <v>0</v>
      </c>
      <c r="G234" s="168">
        <f t="shared" si="82"/>
        <v>0</v>
      </c>
      <c r="H234" s="168">
        <f t="shared" si="82"/>
        <v>0</v>
      </c>
      <c r="I234" s="168">
        <f t="shared" si="82"/>
        <v>0</v>
      </c>
      <c r="J234" s="168">
        <f t="shared" si="82"/>
        <v>0</v>
      </c>
      <c r="K234" s="168">
        <f t="shared" si="82"/>
        <v>0</v>
      </c>
      <c r="L234" s="168">
        <f t="shared" si="82"/>
        <v>0</v>
      </c>
      <c r="M234" s="168">
        <f t="shared" si="82"/>
        <v>0</v>
      </c>
      <c r="N234" s="168">
        <f t="shared" si="82"/>
        <v>0</v>
      </c>
    </row>
    <row r="235" outlineLevel="1">
      <c r="A235" s="356" t="s">
        <v>220</v>
      </c>
      <c r="B235" s="168">
        <f t="shared" ref="B235:N235" si="83">-B222*B$209</f>
        <v>59.81942737</v>
      </c>
      <c r="C235" s="168">
        <f t="shared" si="83"/>
        <v>59.61170286</v>
      </c>
      <c r="D235" s="168">
        <f t="shared" si="83"/>
        <v>59.61170286</v>
      </c>
      <c r="E235" s="168">
        <f t="shared" si="83"/>
        <v>59.61170286</v>
      </c>
      <c r="F235" s="168">
        <f t="shared" si="83"/>
        <v>59.61170286</v>
      </c>
      <c r="G235" s="168">
        <f t="shared" si="83"/>
        <v>59.61170286</v>
      </c>
      <c r="H235" s="168">
        <f t="shared" si="83"/>
        <v>59.61170286</v>
      </c>
      <c r="I235" s="168">
        <f t="shared" si="83"/>
        <v>59.61170286</v>
      </c>
      <c r="J235" s="168">
        <f t="shared" si="83"/>
        <v>58.85779605</v>
      </c>
      <c r="K235" s="168">
        <f t="shared" si="83"/>
        <v>59.898402</v>
      </c>
      <c r="L235" s="168">
        <f t="shared" si="83"/>
        <v>59.61170286</v>
      </c>
      <c r="M235" s="168">
        <f t="shared" si="83"/>
        <v>59.61170286</v>
      </c>
      <c r="N235" s="168">
        <f t="shared" si="83"/>
        <v>59.898402</v>
      </c>
    </row>
    <row r="236" outlineLevel="1">
      <c r="A236" s="142"/>
      <c r="B236" s="242"/>
      <c r="C236" s="242"/>
      <c r="D236" s="242"/>
      <c r="E236" s="242"/>
      <c r="F236" s="242"/>
      <c r="G236" s="242"/>
      <c r="H236" s="242"/>
      <c r="I236" s="242"/>
      <c r="J236" s="242"/>
      <c r="K236" s="242"/>
      <c r="L236" s="242"/>
      <c r="M236" s="242"/>
      <c r="N236" s="242"/>
    </row>
    <row r="237" outlineLevel="1">
      <c r="A237" s="372" t="s">
        <v>341</v>
      </c>
      <c r="B237" s="242"/>
      <c r="C237" s="242"/>
      <c r="D237" s="242"/>
      <c r="E237" s="242"/>
      <c r="F237" s="242"/>
      <c r="G237" s="242"/>
      <c r="H237" s="242"/>
      <c r="I237" s="242"/>
      <c r="J237" s="242"/>
      <c r="K237" s="242"/>
      <c r="L237" s="242"/>
      <c r="M237" s="242"/>
      <c r="N237" s="242"/>
    </row>
    <row r="238" outlineLevel="1">
      <c r="A238" s="356" t="s">
        <v>217</v>
      </c>
      <c r="B238" s="168">
        <f t="shared" ref="B238:N238" si="84">B226+B232</f>
        <v>9584.691174</v>
      </c>
      <c r="C238" s="168">
        <f t="shared" si="84"/>
        <v>6888.773171</v>
      </c>
      <c r="D238" s="168">
        <f t="shared" si="84"/>
        <v>5168.281583</v>
      </c>
      <c r="E238" s="168">
        <f t="shared" si="84"/>
        <v>12002.63929</v>
      </c>
      <c r="F238" s="168">
        <f t="shared" si="84"/>
        <v>5845.297867</v>
      </c>
      <c r="G238" s="168">
        <f t="shared" si="84"/>
        <v>7256.649215</v>
      </c>
      <c r="H238" s="168">
        <f t="shared" si="84"/>
        <v>5021.885932</v>
      </c>
      <c r="I238" s="168">
        <f t="shared" si="84"/>
        <v>11857.03317</v>
      </c>
      <c r="J238" s="168">
        <f t="shared" si="84"/>
        <v>6077.356035</v>
      </c>
      <c r="K238" s="168">
        <f t="shared" si="84"/>
        <v>2425.009084</v>
      </c>
      <c r="L238" s="168">
        <f t="shared" si="84"/>
        <v>4041.155754</v>
      </c>
      <c r="M238" s="168">
        <f t="shared" si="84"/>
        <v>7922.076771</v>
      </c>
      <c r="N238" s="168">
        <f t="shared" si="84"/>
        <v>3425.049031</v>
      </c>
    </row>
    <row r="239" outlineLevel="1">
      <c r="A239" s="356" t="s">
        <v>544</v>
      </c>
      <c r="B239" s="168">
        <f t="shared" ref="B239:N239" si="85">B227+B233</f>
        <v>8539.002397</v>
      </c>
      <c r="C239" s="168">
        <f t="shared" si="85"/>
        <v>5806.330042</v>
      </c>
      <c r="D239" s="168">
        <f t="shared" si="85"/>
        <v>4085.838454</v>
      </c>
      <c r="E239" s="168">
        <f t="shared" si="85"/>
        <v>10920.19616</v>
      </c>
      <c r="F239" s="168">
        <f t="shared" si="85"/>
        <v>4762.854737</v>
      </c>
      <c r="G239" s="168">
        <f t="shared" si="85"/>
        <v>6174.206085</v>
      </c>
      <c r="H239" s="168">
        <f t="shared" si="85"/>
        <v>3939.442803</v>
      </c>
      <c r="I239" s="168">
        <f t="shared" si="85"/>
        <v>10774.59004</v>
      </c>
      <c r="J239" s="168">
        <f t="shared" si="85"/>
        <v>5012.157214</v>
      </c>
      <c r="K239" s="168">
        <f t="shared" si="85"/>
        <v>1388.81294</v>
      </c>
      <c r="L239" s="168">
        <f t="shared" si="85"/>
        <v>2958.712625</v>
      </c>
      <c r="M239" s="168">
        <f t="shared" si="85"/>
        <v>6839.633641</v>
      </c>
      <c r="N239" s="168">
        <f t="shared" si="85"/>
        <v>2388.852887</v>
      </c>
    </row>
    <row r="240" outlineLevel="1">
      <c r="A240" s="356" t="s">
        <v>333</v>
      </c>
      <c r="B240" s="168">
        <f t="shared" ref="B240:N240" si="86">B228+B234</f>
        <v>0</v>
      </c>
      <c r="C240" s="168">
        <f t="shared" si="86"/>
        <v>0</v>
      </c>
      <c r="D240" s="168">
        <f t="shared" si="86"/>
        <v>0</v>
      </c>
      <c r="E240" s="168">
        <f t="shared" si="86"/>
        <v>0</v>
      </c>
      <c r="F240" s="168">
        <f t="shared" si="86"/>
        <v>0</v>
      </c>
      <c r="G240" s="168">
        <f t="shared" si="86"/>
        <v>0</v>
      </c>
      <c r="H240" s="168">
        <f t="shared" si="86"/>
        <v>0</v>
      </c>
      <c r="I240" s="168">
        <f t="shared" si="86"/>
        <v>0</v>
      </c>
      <c r="J240" s="168">
        <f t="shared" si="86"/>
        <v>0</v>
      </c>
      <c r="K240" s="168">
        <f t="shared" si="86"/>
        <v>0</v>
      </c>
      <c r="L240" s="168">
        <f t="shared" si="86"/>
        <v>0</v>
      </c>
      <c r="M240" s="168">
        <f t="shared" si="86"/>
        <v>0</v>
      </c>
      <c r="N240" s="168">
        <f t="shared" si="86"/>
        <v>0</v>
      </c>
    </row>
    <row r="241" outlineLevel="1">
      <c r="A241" s="356" t="s">
        <v>220</v>
      </c>
      <c r="B241" s="168">
        <f t="shared" ref="B241:N241" si="87">B229+B235</f>
        <v>-1120.373913</v>
      </c>
      <c r="C241" s="168">
        <f t="shared" si="87"/>
        <v>-775.1993217</v>
      </c>
      <c r="D241" s="168">
        <f t="shared" si="87"/>
        <v>-581.5909855</v>
      </c>
      <c r="E241" s="168">
        <f t="shared" si="87"/>
        <v>-1350.66689</v>
      </c>
      <c r="F241" s="168">
        <f t="shared" si="87"/>
        <v>-657.7761858</v>
      </c>
      <c r="G241" s="168">
        <f t="shared" si="87"/>
        <v>-816.596716</v>
      </c>
      <c r="H241" s="168">
        <f t="shared" si="87"/>
        <v>-565.1169622</v>
      </c>
      <c r="I241" s="168">
        <f t="shared" si="87"/>
        <v>-1334.281713</v>
      </c>
      <c r="J241" s="168">
        <f t="shared" si="87"/>
        <v>-686.172104</v>
      </c>
      <c r="K241" s="168">
        <f t="shared" si="87"/>
        <v>-286.4386996</v>
      </c>
      <c r="L241" s="168">
        <f t="shared" si="87"/>
        <v>-454.7545871</v>
      </c>
      <c r="M241" s="168">
        <f t="shared" si="87"/>
        <v>-891.4778272</v>
      </c>
      <c r="N241" s="168">
        <f t="shared" si="87"/>
        <v>-404.562027</v>
      </c>
    </row>
    <row r="242" outlineLevel="1">
      <c r="A242" s="142"/>
      <c r="B242" s="84"/>
      <c r="C242" s="84"/>
      <c r="D242" s="84"/>
      <c r="E242" s="84"/>
      <c r="F242" s="84"/>
      <c r="G242" s="84"/>
      <c r="H242" s="84"/>
      <c r="I242" s="84"/>
      <c r="J242" s="84"/>
      <c r="K242" s="84"/>
      <c r="L242" s="84"/>
      <c r="M242" s="84"/>
      <c r="N242" s="84"/>
    </row>
    <row r="243" outlineLevel="1">
      <c r="A243" s="372" t="s">
        <v>342</v>
      </c>
      <c r="B243" s="242"/>
      <c r="C243" s="242"/>
      <c r="D243" s="242"/>
      <c r="E243" s="242"/>
      <c r="F243" s="242"/>
      <c r="G243" s="242"/>
      <c r="H243" s="242"/>
      <c r="I243" s="242"/>
      <c r="J243" s="242"/>
      <c r="K243" s="242"/>
      <c r="L243" s="242"/>
      <c r="M243" s="242"/>
      <c r="N243" s="242"/>
    </row>
    <row r="244" outlineLevel="1">
      <c r="A244" s="356" t="s">
        <v>217</v>
      </c>
      <c r="B244" s="168">
        <f t="shared" ref="B244:N244" si="88">(B$188*B$7)-B238</f>
        <v>420.0952276</v>
      </c>
      <c r="C244" s="168">
        <f t="shared" si="88"/>
        <v>212.7835536</v>
      </c>
      <c r="D244" s="168">
        <f t="shared" si="88"/>
        <v>286.2909244</v>
      </c>
      <c r="E244" s="168">
        <f t="shared" si="88"/>
        <v>-5.704496993</v>
      </c>
      <c r="F244" s="168">
        <f t="shared" si="88"/>
        <v>257.3656525</v>
      </c>
      <c r="G244" s="168">
        <f t="shared" si="88"/>
        <v>197.0661849</v>
      </c>
      <c r="H244" s="168">
        <f t="shared" si="88"/>
        <v>292.5456248</v>
      </c>
      <c r="I244" s="168">
        <f t="shared" si="88"/>
        <v>0.5164711576</v>
      </c>
      <c r="J244" s="168">
        <f t="shared" si="88"/>
        <v>341.632787</v>
      </c>
      <c r="K244" s="168">
        <f t="shared" si="88"/>
        <v>507.1038557</v>
      </c>
      <c r="L244" s="168">
        <f t="shared" si="88"/>
        <v>334.4469612</v>
      </c>
      <c r="M244" s="168">
        <f t="shared" si="88"/>
        <v>168.6360371</v>
      </c>
      <c r="N244" s="168">
        <f t="shared" si="88"/>
        <v>507.1038557</v>
      </c>
    </row>
    <row r="245" outlineLevel="1">
      <c r="A245" s="356" t="s">
        <v>544</v>
      </c>
      <c r="B245" s="168">
        <f t="shared" ref="B245:N245" si="89">(B$188*B$7)-B239</f>
        <v>1465.784004</v>
      </c>
      <c r="C245" s="168">
        <f t="shared" si="89"/>
        <v>1295.226683</v>
      </c>
      <c r="D245" s="168">
        <f t="shared" si="89"/>
        <v>1368.734054</v>
      </c>
      <c r="E245" s="168">
        <f t="shared" si="89"/>
        <v>1076.738632</v>
      </c>
      <c r="F245" s="168">
        <f t="shared" si="89"/>
        <v>1339.808782</v>
      </c>
      <c r="G245" s="168">
        <f t="shared" si="89"/>
        <v>1279.509314</v>
      </c>
      <c r="H245" s="168">
        <f t="shared" si="89"/>
        <v>1374.988754</v>
      </c>
      <c r="I245" s="168">
        <f t="shared" si="89"/>
        <v>1082.9596</v>
      </c>
      <c r="J245" s="168">
        <f t="shared" si="89"/>
        <v>1406.831607</v>
      </c>
      <c r="K245" s="168">
        <f t="shared" si="89"/>
        <v>1543.3</v>
      </c>
      <c r="L245" s="168">
        <f t="shared" si="89"/>
        <v>1416.89009</v>
      </c>
      <c r="M245" s="168">
        <f t="shared" si="89"/>
        <v>1251.079166</v>
      </c>
      <c r="N245" s="168">
        <f t="shared" si="89"/>
        <v>1543.3</v>
      </c>
    </row>
    <row r="246" outlineLevel="1">
      <c r="A246" s="356" t="s">
        <v>333</v>
      </c>
      <c r="B246" s="168">
        <f t="shared" ref="B246:N246" si="90">(B$188*B$7)-B240</f>
        <v>10004.7864</v>
      </c>
      <c r="C246" s="168">
        <f t="shared" si="90"/>
        <v>7101.556725</v>
      </c>
      <c r="D246" s="168">
        <f t="shared" si="90"/>
        <v>5454.572508</v>
      </c>
      <c r="E246" s="168">
        <f t="shared" si="90"/>
        <v>11996.93479</v>
      </c>
      <c r="F246" s="168">
        <f t="shared" si="90"/>
        <v>6102.663519</v>
      </c>
      <c r="G246" s="168">
        <f t="shared" si="90"/>
        <v>7453.715399</v>
      </c>
      <c r="H246" s="168">
        <f t="shared" si="90"/>
        <v>5314.431557</v>
      </c>
      <c r="I246" s="168">
        <f t="shared" si="90"/>
        <v>11857.54964</v>
      </c>
      <c r="J246" s="168">
        <f t="shared" si="90"/>
        <v>6418.988822</v>
      </c>
      <c r="K246" s="168">
        <f t="shared" si="90"/>
        <v>2932.11294</v>
      </c>
      <c r="L246" s="168">
        <f t="shared" si="90"/>
        <v>4375.602715</v>
      </c>
      <c r="M246" s="168">
        <f t="shared" si="90"/>
        <v>8090.712808</v>
      </c>
      <c r="N246" s="168">
        <f t="shared" si="90"/>
        <v>3932.152887</v>
      </c>
    </row>
    <row r="247" outlineLevel="1">
      <c r="A247" s="356" t="s">
        <v>220</v>
      </c>
      <c r="B247" s="168">
        <f t="shared" ref="B247:N247" si="91">(B$188*B$7)-B241</f>
        <v>11125.16031</v>
      </c>
      <c r="C247" s="168">
        <f t="shared" si="91"/>
        <v>7876.756046</v>
      </c>
      <c r="D247" s="168">
        <f t="shared" si="91"/>
        <v>6036.163493</v>
      </c>
      <c r="E247" s="168">
        <f t="shared" si="91"/>
        <v>13347.60169</v>
      </c>
      <c r="F247" s="168">
        <f t="shared" si="91"/>
        <v>6760.439705</v>
      </c>
      <c r="G247" s="168">
        <f t="shared" si="91"/>
        <v>8270.312115</v>
      </c>
      <c r="H247" s="168">
        <f t="shared" si="91"/>
        <v>5879.548519</v>
      </c>
      <c r="I247" s="168">
        <f t="shared" si="91"/>
        <v>13191.83135</v>
      </c>
      <c r="J247" s="168">
        <f t="shared" si="91"/>
        <v>7105.160926</v>
      </c>
      <c r="K247" s="168">
        <f t="shared" si="91"/>
        <v>3218.55164</v>
      </c>
      <c r="L247" s="168">
        <f t="shared" si="91"/>
        <v>4830.357302</v>
      </c>
      <c r="M247" s="168">
        <f t="shared" si="91"/>
        <v>8982.190635</v>
      </c>
      <c r="N247" s="168">
        <f t="shared" si="91"/>
        <v>4336.714914</v>
      </c>
    </row>
    <row r="248" outlineLevel="1">
      <c r="A248" s="358" t="s">
        <v>232</v>
      </c>
      <c r="B248" s="373">
        <f t="shared" ref="B248:N248" si="92">SUMPRODUCT(B244:B247,B213:B216)</f>
        <v>6295.472159</v>
      </c>
      <c r="C248" s="373">
        <f t="shared" si="92"/>
        <v>6177.251549</v>
      </c>
      <c r="D248" s="373">
        <f t="shared" si="92"/>
        <v>5281.926921</v>
      </c>
      <c r="E248" s="373">
        <f t="shared" si="92"/>
        <v>10225.76377</v>
      </c>
      <c r="F248" s="373">
        <f t="shared" si="92"/>
        <v>5893.22291</v>
      </c>
      <c r="G248" s="373">
        <f t="shared" si="92"/>
        <v>6468.489259</v>
      </c>
      <c r="H248" s="373">
        <f t="shared" si="92"/>
        <v>4699.286421</v>
      </c>
      <c r="I248" s="373">
        <f t="shared" si="92"/>
        <v>10110.49126</v>
      </c>
      <c r="J248" s="373">
        <f t="shared" si="92"/>
        <v>3401.246869</v>
      </c>
      <c r="K248" s="373">
        <f t="shared" si="92"/>
        <v>2464.688402</v>
      </c>
      <c r="L248" s="373">
        <f t="shared" si="92"/>
        <v>4489.010581</v>
      </c>
      <c r="M248" s="373">
        <f t="shared" si="92"/>
        <v>7435.968341</v>
      </c>
      <c r="N248" s="373">
        <f t="shared" si="92"/>
        <v>3778.031931</v>
      </c>
    </row>
    <row r="249" outlineLevel="1">
      <c r="A249" s="142"/>
      <c r="B249" s="89"/>
      <c r="C249" s="89"/>
      <c r="D249" s="89"/>
      <c r="E249" s="89"/>
      <c r="F249" s="89"/>
      <c r="G249" s="89"/>
      <c r="H249" s="89"/>
      <c r="I249" s="89"/>
      <c r="J249" s="89"/>
      <c r="K249" s="89"/>
      <c r="L249" s="89"/>
      <c r="M249" s="89"/>
      <c r="N249" s="89"/>
    </row>
    <row r="250">
      <c r="A250" s="356"/>
      <c r="B250" s="232"/>
      <c r="C250" s="527"/>
      <c r="D250" s="437"/>
      <c r="E250" s="437"/>
      <c r="F250" s="437"/>
      <c r="G250" s="437"/>
      <c r="H250" s="437"/>
      <c r="I250" s="437"/>
      <c r="J250" s="437"/>
      <c r="K250" s="437"/>
      <c r="L250" s="437"/>
      <c r="M250" s="437"/>
      <c r="N250" s="437"/>
    </row>
    <row r="251">
      <c r="A251" s="510" t="s">
        <v>343</v>
      </c>
      <c r="B251" s="510"/>
      <c r="C251" s="510"/>
      <c r="D251" s="510"/>
      <c r="E251" s="510"/>
      <c r="F251" s="510"/>
      <c r="G251" s="510"/>
      <c r="H251" s="510"/>
      <c r="I251" s="510"/>
      <c r="J251" s="510"/>
      <c r="K251" s="510"/>
      <c r="L251" s="510"/>
      <c r="M251" s="510"/>
      <c r="N251" s="510"/>
    </row>
    <row r="252">
      <c r="A252" s="186"/>
      <c r="B252" s="528"/>
      <c r="C252" s="528"/>
      <c r="D252" s="528"/>
      <c r="E252" s="528"/>
      <c r="F252" s="528"/>
      <c r="G252" s="528"/>
      <c r="H252" s="528"/>
      <c r="I252" s="528"/>
      <c r="J252" s="528"/>
      <c r="K252" s="528"/>
      <c r="L252" s="528"/>
      <c r="M252" s="528"/>
      <c r="N252" s="528"/>
    </row>
    <row r="253">
      <c r="A253" s="183" t="s">
        <v>344</v>
      </c>
      <c r="B253" s="416">
        <f t="shared" ref="B253:N253" si="93">B248</f>
        <v>6295.472159</v>
      </c>
      <c r="C253" s="416">
        <f t="shared" si="93"/>
        <v>6177.251549</v>
      </c>
      <c r="D253" s="416">
        <f t="shared" si="93"/>
        <v>5281.926921</v>
      </c>
      <c r="E253" s="416">
        <f t="shared" si="93"/>
        <v>10225.76377</v>
      </c>
      <c r="F253" s="416">
        <f t="shared" si="93"/>
        <v>5893.22291</v>
      </c>
      <c r="G253" s="416">
        <f t="shared" si="93"/>
        <v>6468.489259</v>
      </c>
      <c r="H253" s="416">
        <f t="shared" si="93"/>
        <v>4699.286421</v>
      </c>
      <c r="I253" s="416">
        <f t="shared" si="93"/>
        <v>10110.49126</v>
      </c>
      <c r="J253" s="416">
        <f t="shared" si="93"/>
        <v>3401.246869</v>
      </c>
      <c r="K253" s="416">
        <f t="shared" si="93"/>
        <v>2464.688402</v>
      </c>
      <c r="L253" s="416">
        <f t="shared" si="93"/>
        <v>4489.010581</v>
      </c>
      <c r="M253" s="416">
        <f t="shared" si="93"/>
        <v>7435.968341</v>
      </c>
      <c r="N253" s="416">
        <f t="shared" si="93"/>
        <v>3778.031931</v>
      </c>
    </row>
    <row r="254">
      <c r="A254" s="520" t="s">
        <v>223</v>
      </c>
      <c r="B254" s="521">
        <f t="shared" ref="B254:N254" si="94">B253/SUM(B203:B204)</f>
        <v>0.0623832265</v>
      </c>
      <c r="C254" s="521">
        <f t="shared" si="94"/>
        <v>0.05913330747</v>
      </c>
      <c r="D254" s="521">
        <f t="shared" si="94"/>
        <v>0.05056258534</v>
      </c>
      <c r="E254" s="521">
        <f t="shared" si="94"/>
        <v>0.09788871767</v>
      </c>
      <c r="F254" s="521">
        <f t="shared" si="94"/>
        <v>0.05641437127</v>
      </c>
      <c r="G254" s="521">
        <f t="shared" si="94"/>
        <v>0.06192125432</v>
      </c>
      <c r="H254" s="521">
        <f t="shared" si="94"/>
        <v>0.04498511136</v>
      </c>
      <c r="I254" s="521">
        <f t="shared" si="94"/>
        <v>0.09678524234</v>
      </c>
      <c r="J254" s="521">
        <f t="shared" si="94"/>
        <v>0.033086395</v>
      </c>
      <c r="K254" s="521">
        <f t="shared" si="94"/>
        <v>0.02464688402</v>
      </c>
      <c r="L254" s="521">
        <f t="shared" si="94"/>
        <v>0.04297219254</v>
      </c>
      <c r="M254" s="521">
        <f t="shared" si="94"/>
        <v>0.07118269327</v>
      </c>
      <c r="N254" s="521">
        <f t="shared" si="94"/>
        <v>0.03778031931</v>
      </c>
    </row>
    <row r="255">
      <c r="A255" s="195"/>
      <c r="B255" s="291"/>
      <c r="C255" s="291"/>
      <c r="D255" s="291"/>
      <c r="E255" s="291"/>
      <c r="F255" s="291"/>
      <c r="G255" s="291"/>
      <c r="H255" s="291"/>
      <c r="I255" s="291"/>
      <c r="J255" s="291"/>
      <c r="K255" s="291"/>
      <c r="L255" s="291"/>
      <c r="M255" s="291"/>
      <c r="N255" s="291"/>
    </row>
    <row r="256">
      <c r="A256" s="238" t="s">
        <v>224</v>
      </c>
      <c r="B256" s="206">
        <f t="array" ref="B256">B254/index(GiveDirectly!$B:$B,match("Units of value generated per philanthropic dollar spent, after accounting for all adjustments",GiveDirectly!$A:$A,0))</f>
        <v>18.59668962</v>
      </c>
      <c r="C256" s="206">
        <f t="array" ref="C256">C254/index(GiveDirectly!$B:$B,match("Units of value generated per philanthropic dollar spent, after accounting for all adjustments",GiveDirectly!$A:$A,0))</f>
        <v>17.62787574</v>
      </c>
      <c r="D256" s="206">
        <f t="array" ref="D256">D254/index(GiveDirectly!$B:$B,match("Units of value generated per philanthropic dollar spent, after accounting for all adjustments",GiveDirectly!$A:$A,0))</f>
        <v>15.07290916</v>
      </c>
      <c r="E256" s="206">
        <f t="array" ref="E256">E254/index(GiveDirectly!$B:$B,match("Units of value generated per philanthropic dollar spent, after accounting for all adjustments",GiveDirectly!$A:$A,0))</f>
        <v>29.18101871</v>
      </c>
      <c r="F256" s="206">
        <f t="array" ref="F256">F254/index(GiveDirectly!$B:$B,match("Units of value generated per philanthropic dollar spent, after accounting for all adjustments",GiveDirectly!$A:$A,0))</f>
        <v>16.81734998</v>
      </c>
      <c r="G256" s="206">
        <f t="array" ref="G256">G254/index(GiveDirectly!$B:$B,match("Units of value generated per philanthropic dollar spent, after accounting for all adjustments",GiveDirectly!$A:$A,0))</f>
        <v>18.45897386</v>
      </c>
      <c r="H256" s="206">
        <f t="array" ref="H256">H254/index(GiveDirectly!$B:$B,match("Units of value generated per philanthropic dollar spent, after accounting for all adjustments",GiveDirectly!$A:$A,0))</f>
        <v>13.41024183</v>
      </c>
      <c r="I256" s="206">
        <f t="array" ref="I256">I254/index(GiveDirectly!$B:$B,match("Units of value generated per philanthropic dollar spent, after accounting for all adjustments",GiveDirectly!$A:$A,0))</f>
        <v>28.8520683</v>
      </c>
      <c r="J256" s="206">
        <f t="array" ref="J256">J254/index(GiveDirectly!$B:$B,match("Units of value generated per philanthropic dollar spent, after accounting for all adjustments",GiveDirectly!$A:$A,0))</f>
        <v>9.863186836</v>
      </c>
      <c r="K256" s="206">
        <f t="array" ref="K256">K254/index(GiveDirectly!$B:$B,match("Units of value generated per philanthropic dollar spent, after accounting for all adjustments",GiveDirectly!$A:$A,0))</f>
        <v>7.347334819</v>
      </c>
      <c r="L256" s="206">
        <f t="array" ref="L256">L254/index(GiveDirectly!$B:$B,match("Units of value generated per philanthropic dollar spent, after accounting for all adjustments",GiveDirectly!$A:$A,0))</f>
        <v>12.81018267</v>
      </c>
      <c r="M256" s="206">
        <f t="array" ref="M256">M254/index(GiveDirectly!$B:$B,match("Units of value generated per philanthropic dollar spent, after accounting for all adjustments",GiveDirectly!$A:$A,0))</f>
        <v>21.2198459</v>
      </c>
      <c r="N256" s="206">
        <f t="array" ref="N256">N254/index(GiveDirectly!$B:$B,match("Units of value generated per philanthropic dollar spent, after accounting for all adjustments",GiveDirectly!$A:$A,0))</f>
        <v>11.26246447</v>
      </c>
    </row>
    <row r="257">
      <c r="A257" s="183" t="s">
        <v>345</v>
      </c>
      <c r="B257" s="296">
        <f t="shared" ref="B257:N257" si="95">(B256-B191)/B191</f>
        <v>-0.3764661833</v>
      </c>
      <c r="C257" s="296">
        <f t="shared" si="95"/>
        <v>-0.1673190857</v>
      </c>
      <c r="D257" s="296">
        <f t="shared" si="95"/>
        <v>-0.07302386628</v>
      </c>
      <c r="E257" s="296">
        <f t="shared" si="95"/>
        <v>-0.1840522655</v>
      </c>
      <c r="F257" s="296">
        <f t="shared" si="95"/>
        <v>-0.07557788345</v>
      </c>
      <c r="G257" s="296">
        <f t="shared" si="95"/>
        <v>-0.169256525</v>
      </c>
      <c r="H257" s="296">
        <f t="shared" si="95"/>
        <v>-0.1535291991</v>
      </c>
      <c r="I257" s="296">
        <f t="shared" si="95"/>
        <v>-0.1837669224</v>
      </c>
      <c r="J257" s="296">
        <f t="shared" si="95"/>
        <v>-0.484554407</v>
      </c>
      <c r="K257" s="296">
        <f t="shared" si="95"/>
        <v>-0.1594155982</v>
      </c>
      <c r="L257" s="296">
        <f t="shared" si="95"/>
        <v>-0.01791375188</v>
      </c>
      <c r="M257" s="296">
        <f t="shared" si="95"/>
        <v>-0.1201925596</v>
      </c>
      <c r="N257" s="296">
        <f t="shared" si="95"/>
        <v>-0.03919505681</v>
      </c>
    </row>
    <row r="259">
      <c r="A259" s="510" t="s">
        <v>226</v>
      </c>
      <c r="B259" s="231"/>
      <c r="C259" s="231"/>
      <c r="D259" s="231"/>
      <c r="E259" s="231"/>
      <c r="F259" s="231"/>
      <c r="G259" s="231"/>
      <c r="H259" s="231"/>
      <c r="I259" s="231"/>
      <c r="J259" s="231"/>
      <c r="K259" s="231"/>
      <c r="L259" s="231"/>
      <c r="M259" s="231"/>
      <c r="N259" s="231"/>
    </row>
    <row r="260">
      <c r="A260" s="240" t="s">
        <v>227</v>
      </c>
      <c r="B260" s="529">
        <f t="shared" ref="B260:N260" si="96">B156</f>
        <v>67.4794962</v>
      </c>
      <c r="C260" s="529">
        <f t="shared" si="96"/>
        <v>49.62954113</v>
      </c>
      <c r="D260" s="529">
        <f t="shared" si="96"/>
        <v>36.22434716</v>
      </c>
      <c r="E260" s="529">
        <f t="shared" si="96"/>
        <v>65.65378351</v>
      </c>
      <c r="F260" s="529">
        <f t="shared" si="96"/>
        <v>44.14590444</v>
      </c>
      <c r="G260" s="529">
        <f t="shared" si="96"/>
        <v>49.07498668</v>
      </c>
      <c r="H260" s="529">
        <f t="shared" si="96"/>
        <v>35.04673008</v>
      </c>
      <c r="I260" s="529">
        <f t="shared" si="96"/>
        <v>70.06777995</v>
      </c>
      <c r="J260" s="529">
        <f t="shared" si="96"/>
        <v>35.52007952</v>
      </c>
      <c r="K260" s="529">
        <f t="shared" si="96"/>
        <v>19.57900784</v>
      </c>
      <c r="L260" s="529">
        <f t="shared" si="96"/>
        <v>31.54297897</v>
      </c>
      <c r="M260" s="529">
        <f t="shared" si="96"/>
        <v>50.93714489</v>
      </c>
      <c r="N260" s="529">
        <f t="shared" si="96"/>
        <v>22.99167598</v>
      </c>
    </row>
    <row r="261">
      <c r="A261" s="240" t="s">
        <v>228</v>
      </c>
      <c r="B261" s="218">
        <f>SUMIF('Supplemental intervention-level'!$N53:$N66,"Yes",B170:B183)</f>
        <v>-0.212</v>
      </c>
      <c r="C261" s="218">
        <f>SUMIF('Supplemental intervention-level'!$N53:$N66,"Yes",C170:C183)</f>
        <v>-0.062</v>
      </c>
      <c r="D261" s="218">
        <f>SUMIF('Supplemental intervention-level'!$N53:$N66,"Yes",D170:D183)</f>
        <v>-0.062</v>
      </c>
      <c r="E261" s="218">
        <f>SUMIF('Supplemental intervention-level'!$N53:$N66,"Yes",E170:E183)</f>
        <v>-0.062</v>
      </c>
      <c r="F261" s="218">
        <f>SUMIF('Supplemental intervention-level'!$N53:$N66,"Yes",F170:F183)</f>
        <v>-0.062</v>
      </c>
      <c r="G261" s="218">
        <f>SUMIF('Supplemental intervention-level'!$N53:$N66,"Yes",G170:G183)</f>
        <v>-0.062</v>
      </c>
      <c r="H261" s="218">
        <f>SUMIF('Supplemental intervention-level'!$N53:$N66,"Yes",H170:H183)</f>
        <v>-0.062</v>
      </c>
      <c r="I261" s="218">
        <f>SUMIF('Supplemental intervention-level'!$N53:$N66,"Yes",I170:I183)</f>
        <v>-0.062</v>
      </c>
      <c r="J261" s="218">
        <f>SUMIF('Supplemental intervention-level'!$N53:$N66,"Yes",J170:J183)</f>
        <v>-0.112</v>
      </c>
      <c r="K261" s="218">
        <f>SUMIF('Supplemental intervention-level'!$N53:$N66,"Yes",K170:K183)</f>
        <v>-0.162</v>
      </c>
      <c r="L261" s="218">
        <f>SUMIF('Supplemental intervention-level'!$N53:$N66,"Yes",L170:L183)</f>
        <v>-0.062</v>
      </c>
      <c r="M261" s="218">
        <f>SUMIF('Supplemental intervention-level'!$N53:$N66,"Yes",M170:M183)</f>
        <v>-0.062</v>
      </c>
      <c r="N261" s="218">
        <f>SUMIF('Supplemental intervention-level'!$N53:$N66,"Yes",N170:N183)</f>
        <v>-0.062</v>
      </c>
    </row>
    <row r="262">
      <c r="A262" s="240" t="s">
        <v>229</v>
      </c>
      <c r="B262" s="384">
        <f t="shared" ref="B262:N262" si="97">if(B257&lt;0,B257,0)</f>
        <v>-0.3764661833</v>
      </c>
      <c r="C262" s="384">
        <f t="shared" si="97"/>
        <v>-0.1673190857</v>
      </c>
      <c r="D262" s="384">
        <f t="shared" si="97"/>
        <v>-0.07302386628</v>
      </c>
      <c r="E262" s="384">
        <f t="shared" si="97"/>
        <v>-0.1840522655</v>
      </c>
      <c r="F262" s="384">
        <f t="shared" si="97"/>
        <v>-0.07557788345</v>
      </c>
      <c r="G262" s="384">
        <f t="shared" si="97"/>
        <v>-0.169256525</v>
      </c>
      <c r="H262" s="384">
        <f t="shared" si="97"/>
        <v>-0.1535291991</v>
      </c>
      <c r="I262" s="384">
        <f t="shared" si="97"/>
        <v>-0.1837669224</v>
      </c>
      <c r="J262" s="384">
        <f t="shared" si="97"/>
        <v>-0.484554407</v>
      </c>
      <c r="K262" s="384">
        <f t="shared" si="97"/>
        <v>-0.1594155982</v>
      </c>
      <c r="L262" s="384">
        <f t="shared" si="97"/>
        <v>-0.01791375188</v>
      </c>
      <c r="M262" s="384">
        <f t="shared" si="97"/>
        <v>-0.1201925596</v>
      </c>
      <c r="N262" s="384">
        <f t="shared" si="97"/>
        <v>-0.03919505681</v>
      </c>
    </row>
    <row r="263">
      <c r="A263" s="240" t="s">
        <v>230</v>
      </c>
      <c r="B263" s="530">
        <f t="shared" ref="B263:N263" si="98">B14/(B260*(1+B261)*(1+B262))</f>
        <v>3399.488699</v>
      </c>
      <c r="C263" s="530">
        <f t="shared" si="98"/>
        <v>2998.15071</v>
      </c>
      <c r="D263" s="530">
        <f t="shared" si="98"/>
        <v>3689.80326</v>
      </c>
      <c r="E263" s="530">
        <f t="shared" si="98"/>
        <v>2312.864715</v>
      </c>
      <c r="F263" s="530">
        <f t="shared" si="98"/>
        <v>3036.068627</v>
      </c>
      <c r="G263" s="530">
        <f t="shared" si="98"/>
        <v>3039.101473</v>
      </c>
      <c r="H263" s="530">
        <f t="shared" si="98"/>
        <v>4176.503454</v>
      </c>
      <c r="I263" s="530">
        <f t="shared" si="98"/>
        <v>2166.405664</v>
      </c>
      <c r="J263" s="530">
        <f t="shared" si="98"/>
        <v>7036.838767</v>
      </c>
      <c r="K263" s="530">
        <f t="shared" si="98"/>
        <v>8107.217975</v>
      </c>
      <c r="L263" s="530">
        <f t="shared" si="98"/>
        <v>3999.631628</v>
      </c>
      <c r="M263" s="530">
        <f t="shared" si="98"/>
        <v>2764.713298</v>
      </c>
      <c r="N263" s="530">
        <f t="shared" si="98"/>
        <v>5396.089919</v>
      </c>
    </row>
  </sheetData>
  <drawing r:id="rId2"/>
  <legacyDrawing r:id="rId3"/>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A86E8"/>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7.29" defaultRowHeight="15.0" outlineLevelRow="1"/>
  <cols>
    <col customWidth="1" min="1" max="1" width="91.14"/>
    <col customWidth="1" min="2" max="25" width="17.29"/>
  </cols>
  <sheetData>
    <row r="1">
      <c r="A1" s="531" t="s">
        <v>546</v>
      </c>
      <c r="B1" s="382" t="s">
        <v>446</v>
      </c>
      <c r="C1" s="382" t="s">
        <v>547</v>
      </c>
      <c r="D1" s="380" t="s">
        <v>548</v>
      </c>
      <c r="E1" s="380" t="s">
        <v>79</v>
      </c>
      <c r="F1" s="380" t="s">
        <v>80</v>
      </c>
      <c r="G1" s="380" t="s">
        <v>270</v>
      </c>
      <c r="H1" s="381" t="s">
        <v>348</v>
      </c>
      <c r="I1" s="380" t="s">
        <v>549</v>
      </c>
      <c r="J1" s="380" t="s">
        <v>356</v>
      </c>
      <c r="K1" s="381" t="s">
        <v>550</v>
      </c>
      <c r="L1" s="381" t="s">
        <v>551</v>
      </c>
      <c r="M1" s="381" t="s">
        <v>552</v>
      </c>
      <c r="N1" s="381" t="s">
        <v>553</v>
      </c>
      <c r="O1" s="381" t="s">
        <v>554</v>
      </c>
      <c r="P1" s="381" t="s">
        <v>555</v>
      </c>
      <c r="Q1" s="381" t="s">
        <v>556</v>
      </c>
      <c r="R1" s="381" t="s">
        <v>557</v>
      </c>
      <c r="S1" s="381" t="s">
        <v>558</v>
      </c>
      <c r="T1" s="381" t="s">
        <v>559</v>
      </c>
      <c r="U1" s="381" t="s">
        <v>560</v>
      </c>
      <c r="V1" s="381" t="s">
        <v>561</v>
      </c>
      <c r="W1" s="381" t="s">
        <v>562</v>
      </c>
      <c r="X1" s="381" t="s">
        <v>563</v>
      </c>
      <c r="Y1" s="381" t="s">
        <v>564</v>
      </c>
    </row>
    <row r="2">
      <c r="A2" s="446"/>
      <c r="B2" s="291"/>
      <c r="C2" s="291"/>
      <c r="D2" s="291"/>
      <c r="E2" s="291"/>
      <c r="F2" s="291"/>
      <c r="G2" s="291"/>
      <c r="H2" s="291"/>
      <c r="I2" s="291"/>
      <c r="J2" s="291"/>
      <c r="K2" s="291"/>
      <c r="L2" s="291"/>
      <c r="M2" s="291"/>
      <c r="N2" s="291"/>
      <c r="O2" s="291"/>
      <c r="P2" s="291"/>
      <c r="Q2" s="291"/>
      <c r="R2" s="291"/>
      <c r="S2" s="291"/>
      <c r="T2" s="291"/>
      <c r="U2" s="291"/>
      <c r="V2" s="291"/>
      <c r="W2" s="291"/>
      <c r="X2" s="291"/>
      <c r="Y2" s="291"/>
    </row>
    <row r="3">
      <c r="A3" s="532"/>
      <c r="B3" s="291"/>
      <c r="C3" s="291"/>
      <c r="D3" s="291"/>
      <c r="E3" s="291"/>
      <c r="F3" s="291"/>
      <c r="G3" s="291"/>
      <c r="H3" s="291"/>
      <c r="I3" s="291"/>
      <c r="J3" s="291"/>
      <c r="K3" s="291"/>
      <c r="L3" s="291"/>
      <c r="M3" s="291"/>
      <c r="N3" s="291"/>
      <c r="O3" s="291"/>
      <c r="P3" s="291"/>
      <c r="Q3" s="291"/>
      <c r="R3" s="291"/>
      <c r="S3" s="291"/>
      <c r="T3" s="291"/>
      <c r="U3" s="291"/>
      <c r="V3" s="291"/>
      <c r="W3" s="291"/>
      <c r="X3" s="291"/>
      <c r="Y3" s="291"/>
    </row>
    <row r="4">
      <c r="A4" s="446"/>
      <c r="B4" s="291"/>
      <c r="C4" s="291"/>
      <c r="D4" s="291"/>
      <c r="E4" s="291"/>
      <c r="F4" s="291"/>
      <c r="G4" s="291"/>
      <c r="H4" s="291"/>
      <c r="I4" s="291"/>
      <c r="J4" s="291"/>
      <c r="K4" s="291"/>
      <c r="L4" s="291"/>
      <c r="M4" s="291"/>
      <c r="N4" s="291"/>
      <c r="O4" s="291"/>
      <c r="P4" s="291"/>
      <c r="Q4" s="291"/>
      <c r="R4" s="291"/>
      <c r="S4" s="291"/>
      <c r="T4" s="291"/>
      <c r="U4" s="291"/>
      <c r="V4" s="291"/>
      <c r="W4" s="291"/>
      <c r="X4" s="291"/>
      <c r="Y4" s="291"/>
    </row>
    <row r="5">
      <c r="A5" s="86" t="s">
        <v>87</v>
      </c>
      <c r="B5" s="397"/>
      <c r="C5" s="397"/>
      <c r="D5" s="397"/>
      <c r="E5" s="397"/>
      <c r="F5" s="397"/>
      <c r="G5" s="397"/>
      <c r="H5" s="397"/>
      <c r="I5" s="397"/>
      <c r="J5" s="397"/>
      <c r="K5" s="397"/>
      <c r="L5" s="397"/>
      <c r="M5" s="397"/>
      <c r="N5" s="397"/>
      <c r="O5" s="397"/>
      <c r="P5" s="397"/>
      <c r="Q5" s="397"/>
      <c r="R5" s="397"/>
      <c r="S5" s="397"/>
      <c r="T5" s="397"/>
      <c r="U5" s="397"/>
      <c r="V5" s="397"/>
      <c r="W5" s="397"/>
      <c r="X5" s="397"/>
      <c r="Y5" s="397"/>
    </row>
    <row r="6">
      <c r="A6" s="446"/>
      <c r="B6" s="476"/>
      <c r="C6" s="533"/>
      <c r="D6" s="476"/>
      <c r="E6" s="476"/>
      <c r="F6" s="476"/>
      <c r="G6" s="291"/>
      <c r="H6" s="476"/>
      <c r="I6" s="476"/>
      <c r="J6" s="476"/>
      <c r="K6" s="476"/>
      <c r="L6" s="476"/>
      <c r="M6" s="476"/>
      <c r="N6" s="476"/>
      <c r="O6" s="476"/>
      <c r="P6" s="476"/>
      <c r="Q6" s="476"/>
      <c r="R6" s="476"/>
      <c r="S6" s="476"/>
      <c r="T6" s="476"/>
      <c r="U6" s="476"/>
      <c r="V6" s="476"/>
      <c r="W6" s="476"/>
      <c r="X6" s="476"/>
      <c r="Y6" s="476"/>
    </row>
    <row r="7">
      <c r="A7" s="55" t="s">
        <v>565</v>
      </c>
      <c r="B7" s="92">
        <v>0.4310638</v>
      </c>
      <c r="C7" s="92">
        <v>0.6403403</v>
      </c>
      <c r="D7" s="92">
        <v>0.4659904</v>
      </c>
      <c r="E7" s="92">
        <v>0.4659904</v>
      </c>
      <c r="F7" s="92">
        <v>0.5527665</v>
      </c>
      <c r="G7" s="92">
        <v>0.4659904</v>
      </c>
      <c r="H7" s="127">
        <f>SUM(0.4659904,0.1323195)</f>
        <v>0.5983099</v>
      </c>
      <c r="I7" s="92">
        <v>0.4324667</v>
      </c>
      <c r="J7" s="92">
        <v>0.3616872</v>
      </c>
      <c r="K7" s="92">
        <v>0.4659904</v>
      </c>
      <c r="L7" s="92">
        <v>0.4659904</v>
      </c>
      <c r="M7" s="92">
        <v>0.4659904</v>
      </c>
      <c r="N7" s="92">
        <v>0.4659904</v>
      </c>
      <c r="O7" s="92">
        <v>0.4659904</v>
      </c>
      <c r="P7" s="92">
        <v>0.4659904</v>
      </c>
      <c r="Q7" s="92">
        <v>0.4659904</v>
      </c>
      <c r="R7" s="92">
        <v>0.4659904</v>
      </c>
      <c r="S7" s="92">
        <v>0.4659904</v>
      </c>
      <c r="T7" s="92">
        <v>0.4659904</v>
      </c>
      <c r="U7" s="92">
        <v>0.4659904</v>
      </c>
      <c r="V7" s="92">
        <v>0.4659904</v>
      </c>
      <c r="W7" s="92">
        <v>0.4659904</v>
      </c>
      <c r="X7" s="92">
        <v>0.4659904</v>
      </c>
      <c r="Y7" s="92">
        <v>0.4659904</v>
      </c>
    </row>
    <row r="8">
      <c r="A8" s="55" t="s">
        <v>566</v>
      </c>
      <c r="B8" s="92">
        <v>0.0642112</v>
      </c>
      <c r="C8" s="92">
        <v>0.0596597</v>
      </c>
      <c r="D8" s="92">
        <v>0.0697078</v>
      </c>
      <c r="E8" s="92">
        <v>0.0697078</v>
      </c>
      <c r="F8" s="92">
        <v>0.0486625</v>
      </c>
      <c r="G8" s="92">
        <v>0.0697078</v>
      </c>
      <c r="H8" s="127">
        <v>0.0697078</v>
      </c>
      <c r="I8" s="92">
        <v>0.0845829</v>
      </c>
      <c r="J8" s="92">
        <v>0.078881</v>
      </c>
      <c r="K8" s="92">
        <v>0.0697078</v>
      </c>
      <c r="L8" s="92">
        <v>0.0697078</v>
      </c>
      <c r="M8" s="92">
        <v>0.0697078</v>
      </c>
      <c r="N8" s="92">
        <v>0.0697078</v>
      </c>
      <c r="O8" s="92">
        <v>0.0697078</v>
      </c>
      <c r="P8" s="92">
        <v>0.0697078</v>
      </c>
      <c r="Q8" s="92">
        <v>0.0697078</v>
      </c>
      <c r="R8" s="92">
        <v>0.0697078</v>
      </c>
      <c r="S8" s="92">
        <v>0.0697078</v>
      </c>
      <c r="T8" s="92">
        <v>0.0697078</v>
      </c>
      <c r="U8" s="92">
        <v>0.0697078</v>
      </c>
      <c r="V8" s="92">
        <v>0.0697078</v>
      </c>
      <c r="W8" s="92">
        <v>0.0697078</v>
      </c>
      <c r="X8" s="92">
        <v>0.0697078</v>
      </c>
      <c r="Y8" s="92">
        <v>0.0697078</v>
      </c>
    </row>
    <row r="9">
      <c r="A9" s="55" t="s">
        <v>457</v>
      </c>
      <c r="B9" s="92">
        <v>0.0565391</v>
      </c>
      <c r="C9" s="92">
        <v>0.0</v>
      </c>
      <c r="D9" s="92">
        <v>0.1323195</v>
      </c>
      <c r="E9" s="92">
        <v>0.1323195</v>
      </c>
      <c r="F9" s="92">
        <v>0.098571</v>
      </c>
      <c r="G9" s="92">
        <v>0.1323195</v>
      </c>
      <c r="H9" s="127">
        <v>0.0</v>
      </c>
      <c r="I9" s="92">
        <v>0.1829504</v>
      </c>
      <c r="J9" s="92">
        <v>0.2594317</v>
      </c>
      <c r="K9" s="92">
        <v>0.1323195</v>
      </c>
      <c r="L9" s="92">
        <v>0.1323195</v>
      </c>
      <c r="M9" s="92">
        <v>0.1323195</v>
      </c>
      <c r="N9" s="92">
        <v>0.1323195</v>
      </c>
      <c r="O9" s="92">
        <v>0.1323195</v>
      </c>
      <c r="P9" s="92">
        <v>0.1323195</v>
      </c>
      <c r="Q9" s="92">
        <v>0.1323195</v>
      </c>
      <c r="R9" s="92">
        <v>0.1323195</v>
      </c>
      <c r="S9" s="92">
        <v>0.1323195</v>
      </c>
      <c r="T9" s="92">
        <v>0.1323195</v>
      </c>
      <c r="U9" s="92">
        <v>0.1323195</v>
      </c>
      <c r="V9" s="92">
        <v>0.1323195</v>
      </c>
      <c r="W9" s="92">
        <v>0.1323195</v>
      </c>
      <c r="X9" s="92">
        <v>0.1323195</v>
      </c>
      <c r="Y9" s="92">
        <v>0.1323195</v>
      </c>
    </row>
    <row r="10">
      <c r="A10" s="55" t="s">
        <v>567</v>
      </c>
      <c r="B10" s="92">
        <v>0.1481859</v>
      </c>
      <c r="C10" s="92">
        <v>0.0</v>
      </c>
      <c r="D10" s="92">
        <v>0.0319823</v>
      </c>
      <c r="E10" s="92">
        <v>0.0319823</v>
      </c>
      <c r="F10" s="92">
        <v>0.0</v>
      </c>
      <c r="G10" s="92">
        <v>0.0319823</v>
      </c>
      <c r="H10" s="127">
        <v>0.0319823</v>
      </c>
      <c r="I10" s="92">
        <v>0.0</v>
      </c>
      <c r="J10" s="92">
        <v>0.0</v>
      </c>
      <c r="K10" s="92">
        <v>0.0319823</v>
      </c>
      <c r="L10" s="92">
        <v>0.0319823</v>
      </c>
      <c r="M10" s="92">
        <v>0.0319823</v>
      </c>
      <c r="N10" s="92">
        <v>0.0319823</v>
      </c>
      <c r="O10" s="92">
        <v>0.0319823</v>
      </c>
      <c r="P10" s="92">
        <v>0.0319823</v>
      </c>
      <c r="Q10" s="92">
        <v>0.0319823</v>
      </c>
      <c r="R10" s="92">
        <v>0.0319823</v>
      </c>
      <c r="S10" s="92">
        <v>0.0319823</v>
      </c>
      <c r="T10" s="92">
        <v>0.0319823</v>
      </c>
      <c r="U10" s="92">
        <v>0.0319823</v>
      </c>
      <c r="V10" s="92">
        <v>0.0319823</v>
      </c>
      <c r="W10" s="92">
        <v>0.0319823</v>
      </c>
      <c r="X10" s="92">
        <v>0.0319823</v>
      </c>
      <c r="Y10" s="92">
        <v>0.0319823</v>
      </c>
    </row>
    <row r="11">
      <c r="A11" s="55" t="s">
        <v>568</v>
      </c>
      <c r="B11" s="92">
        <v>0.3</v>
      </c>
      <c r="C11" s="92">
        <v>0.3</v>
      </c>
      <c r="D11" s="92">
        <v>0.3</v>
      </c>
      <c r="E11" s="92">
        <v>0.3</v>
      </c>
      <c r="F11" s="92">
        <v>0.3</v>
      </c>
      <c r="G11" s="92">
        <v>0.3</v>
      </c>
      <c r="H11" s="127">
        <v>0.3</v>
      </c>
      <c r="I11" s="92">
        <v>0.3</v>
      </c>
      <c r="J11" s="92">
        <v>0.3</v>
      </c>
      <c r="K11" s="92">
        <v>0.3</v>
      </c>
      <c r="L11" s="92">
        <v>0.3</v>
      </c>
      <c r="M11" s="92">
        <v>0.3</v>
      </c>
      <c r="N11" s="92">
        <v>0.3</v>
      </c>
      <c r="O11" s="92">
        <v>0.3</v>
      </c>
      <c r="P11" s="92">
        <v>0.3</v>
      </c>
      <c r="Q11" s="92">
        <v>0.3</v>
      </c>
      <c r="R11" s="92">
        <v>0.3</v>
      </c>
      <c r="S11" s="92">
        <v>0.3</v>
      </c>
      <c r="T11" s="92">
        <v>0.3</v>
      </c>
      <c r="U11" s="92">
        <v>0.3</v>
      </c>
      <c r="V11" s="92">
        <v>0.3</v>
      </c>
      <c r="W11" s="92">
        <v>0.3</v>
      </c>
      <c r="X11" s="92">
        <v>0.3</v>
      </c>
      <c r="Y11" s="92">
        <v>0.3</v>
      </c>
    </row>
    <row r="12">
      <c r="A12" s="446"/>
      <c r="B12" s="291"/>
      <c r="C12" s="291"/>
      <c r="D12" s="291"/>
      <c r="E12" s="291"/>
      <c r="F12" s="291"/>
      <c r="G12" s="291"/>
      <c r="H12" s="291"/>
      <c r="I12" s="291"/>
      <c r="J12" s="291"/>
      <c r="K12" s="291"/>
      <c r="L12" s="291"/>
      <c r="M12" s="291"/>
      <c r="N12" s="291"/>
      <c r="O12" s="291"/>
      <c r="P12" s="291"/>
      <c r="Q12" s="291"/>
      <c r="R12" s="291"/>
      <c r="S12" s="291"/>
      <c r="T12" s="291"/>
      <c r="U12" s="291"/>
      <c r="V12" s="291"/>
      <c r="W12" s="291"/>
      <c r="X12" s="291"/>
      <c r="Y12" s="291"/>
    </row>
    <row r="13">
      <c r="A13" s="396" t="s">
        <v>569</v>
      </c>
      <c r="B13" s="397"/>
      <c r="C13" s="397"/>
      <c r="D13" s="397"/>
      <c r="E13" s="397"/>
      <c r="F13" s="397"/>
      <c r="G13" s="397"/>
      <c r="H13" s="397"/>
      <c r="I13" s="397"/>
      <c r="J13" s="397"/>
      <c r="K13" s="397"/>
      <c r="L13" s="397"/>
      <c r="M13" s="397"/>
      <c r="N13" s="397"/>
      <c r="O13" s="397"/>
      <c r="P13" s="397"/>
      <c r="Q13" s="397"/>
      <c r="R13" s="397"/>
      <c r="S13" s="397"/>
      <c r="T13" s="397"/>
      <c r="U13" s="397"/>
      <c r="V13" s="397"/>
      <c r="W13" s="397"/>
      <c r="X13" s="397"/>
      <c r="Y13" s="397"/>
    </row>
    <row r="14">
      <c r="A14" s="398"/>
      <c r="B14" s="291"/>
      <c r="C14" s="291"/>
      <c r="D14" s="291"/>
      <c r="E14" s="291"/>
      <c r="F14" s="291"/>
      <c r="G14" s="291"/>
      <c r="H14" s="291"/>
      <c r="I14" s="291"/>
      <c r="J14" s="291"/>
      <c r="K14" s="291"/>
      <c r="L14" s="291"/>
      <c r="M14" s="291"/>
      <c r="N14" s="291"/>
      <c r="O14" s="291"/>
      <c r="P14" s="291"/>
      <c r="Q14" s="291"/>
      <c r="R14" s="291"/>
      <c r="S14" s="291"/>
      <c r="T14" s="291"/>
      <c r="U14" s="291"/>
      <c r="V14" s="291"/>
      <c r="W14" s="291"/>
      <c r="X14" s="291"/>
      <c r="Y14" s="291"/>
    </row>
    <row r="15">
      <c r="A15" s="91" t="s">
        <v>570</v>
      </c>
      <c r="B15" s="447">
        <v>100000.0</v>
      </c>
      <c r="C15" s="447">
        <v>100000.0</v>
      </c>
      <c r="D15" s="447">
        <v>100000.0</v>
      </c>
      <c r="E15" s="447">
        <v>100000.0</v>
      </c>
      <c r="F15" s="447">
        <v>100000.0</v>
      </c>
      <c r="G15" s="447">
        <v>100000.0</v>
      </c>
      <c r="H15" s="447">
        <v>100000.0</v>
      </c>
      <c r="I15" s="447">
        <v>100000.0</v>
      </c>
      <c r="J15" s="447">
        <v>100000.0</v>
      </c>
      <c r="K15" s="447">
        <v>100000.0</v>
      </c>
      <c r="L15" s="447">
        <v>100000.0</v>
      </c>
      <c r="M15" s="447">
        <v>100000.0</v>
      </c>
      <c r="N15" s="447">
        <v>100000.0</v>
      </c>
      <c r="O15" s="447">
        <v>100000.0</v>
      </c>
      <c r="P15" s="447">
        <v>100000.0</v>
      </c>
      <c r="Q15" s="447">
        <v>100000.0</v>
      </c>
      <c r="R15" s="447">
        <v>100000.0</v>
      </c>
      <c r="S15" s="447">
        <v>100000.0</v>
      </c>
      <c r="T15" s="447">
        <v>100000.0</v>
      </c>
      <c r="U15" s="447">
        <v>100000.0</v>
      </c>
      <c r="V15" s="447">
        <v>100000.0</v>
      </c>
      <c r="W15" s="447">
        <v>100000.0</v>
      </c>
      <c r="X15" s="447">
        <v>100000.0</v>
      </c>
      <c r="Y15" s="447">
        <v>100000.0</v>
      </c>
    </row>
    <row r="16">
      <c r="A16" s="344" t="s">
        <v>571</v>
      </c>
      <c r="B16" s="248">
        <f t="shared" ref="B16:Y16" si="1">B15/B7</f>
        <v>231984.2214</v>
      </c>
      <c r="C16" s="248">
        <f t="shared" si="1"/>
        <v>156166.9631</v>
      </c>
      <c r="D16" s="248">
        <f t="shared" si="1"/>
        <v>214596.6956</v>
      </c>
      <c r="E16" s="248">
        <f t="shared" si="1"/>
        <v>214596.6956</v>
      </c>
      <c r="F16" s="248">
        <f t="shared" si="1"/>
        <v>180908.2135</v>
      </c>
      <c r="G16" s="248">
        <f t="shared" si="1"/>
        <v>214596.6956</v>
      </c>
      <c r="H16" s="248">
        <f t="shared" si="1"/>
        <v>167137.465</v>
      </c>
      <c r="I16" s="248">
        <f t="shared" si="1"/>
        <v>231231.6763</v>
      </c>
      <c r="J16" s="248">
        <f t="shared" si="1"/>
        <v>276481.9988</v>
      </c>
      <c r="K16" s="248">
        <f t="shared" si="1"/>
        <v>214596.6956</v>
      </c>
      <c r="L16" s="248">
        <f t="shared" si="1"/>
        <v>214596.6956</v>
      </c>
      <c r="M16" s="248">
        <f t="shared" si="1"/>
        <v>214596.6956</v>
      </c>
      <c r="N16" s="248">
        <f t="shared" si="1"/>
        <v>214596.6956</v>
      </c>
      <c r="O16" s="248">
        <f t="shared" si="1"/>
        <v>214596.6956</v>
      </c>
      <c r="P16" s="248">
        <f t="shared" si="1"/>
        <v>214596.6956</v>
      </c>
      <c r="Q16" s="248">
        <f t="shared" si="1"/>
        <v>214596.6956</v>
      </c>
      <c r="R16" s="248">
        <f t="shared" si="1"/>
        <v>214596.6956</v>
      </c>
      <c r="S16" s="248">
        <f t="shared" si="1"/>
        <v>214596.6956</v>
      </c>
      <c r="T16" s="248">
        <f t="shared" si="1"/>
        <v>214596.6956</v>
      </c>
      <c r="U16" s="248">
        <f t="shared" si="1"/>
        <v>214596.6956</v>
      </c>
      <c r="V16" s="248">
        <f t="shared" si="1"/>
        <v>214596.6956</v>
      </c>
      <c r="W16" s="248">
        <f t="shared" si="1"/>
        <v>214596.6956</v>
      </c>
      <c r="X16" s="248">
        <f t="shared" si="1"/>
        <v>214596.6956</v>
      </c>
      <c r="Y16" s="248">
        <f t="shared" si="1"/>
        <v>214596.6956</v>
      </c>
    </row>
    <row r="17">
      <c r="A17" s="534" t="s">
        <v>572</v>
      </c>
      <c r="B17" s="535">
        <v>1.05602</v>
      </c>
      <c r="C17" s="535">
        <v>1.13658</v>
      </c>
      <c r="D17" s="535">
        <v>1.01732</v>
      </c>
      <c r="E17" s="535">
        <v>1.01732</v>
      </c>
      <c r="F17" s="535">
        <v>1.39344</v>
      </c>
      <c r="G17" s="535">
        <v>1.01732</v>
      </c>
      <c r="H17" s="535">
        <v>1.01732</v>
      </c>
      <c r="I17" s="535">
        <v>0.80168</v>
      </c>
      <c r="J17" s="535">
        <v>0.85963</v>
      </c>
      <c r="K17" s="535">
        <v>1.01732</v>
      </c>
      <c r="L17" s="535">
        <v>1.01732</v>
      </c>
      <c r="M17" s="535">
        <v>1.01732</v>
      </c>
      <c r="N17" s="535">
        <v>1.01732</v>
      </c>
      <c r="O17" s="535">
        <v>1.01732</v>
      </c>
      <c r="P17" s="535">
        <v>1.01732</v>
      </c>
      <c r="Q17" s="535">
        <v>1.01732</v>
      </c>
      <c r="R17" s="535">
        <v>1.01732</v>
      </c>
      <c r="S17" s="535">
        <v>1.01732</v>
      </c>
      <c r="T17" s="535">
        <v>1.01732</v>
      </c>
      <c r="U17" s="535">
        <v>1.01732</v>
      </c>
      <c r="V17" s="535">
        <v>1.01732</v>
      </c>
      <c r="W17" s="535">
        <v>1.01732</v>
      </c>
      <c r="X17" s="535">
        <v>1.01732</v>
      </c>
      <c r="Y17" s="535">
        <v>1.01732</v>
      </c>
    </row>
    <row r="18">
      <c r="A18" s="400" t="s">
        <v>573</v>
      </c>
      <c r="B18" s="536">
        <v>2.0</v>
      </c>
      <c r="C18" s="536">
        <v>2.0</v>
      </c>
      <c r="D18" s="536">
        <v>2.0</v>
      </c>
      <c r="E18" s="536">
        <v>2.0</v>
      </c>
      <c r="F18" s="536">
        <v>2.0</v>
      </c>
      <c r="G18" s="536">
        <v>2.0</v>
      </c>
      <c r="H18" s="536">
        <v>2.0</v>
      </c>
      <c r="I18" s="536">
        <v>2.0</v>
      </c>
      <c r="J18" s="536">
        <v>2.0</v>
      </c>
      <c r="K18" s="536">
        <v>2.0</v>
      </c>
      <c r="L18" s="536">
        <v>2.0</v>
      </c>
      <c r="M18" s="536">
        <v>2.0</v>
      </c>
      <c r="N18" s="536">
        <v>2.0</v>
      </c>
      <c r="O18" s="536">
        <v>2.0</v>
      </c>
      <c r="P18" s="536">
        <v>2.0</v>
      </c>
      <c r="Q18" s="536">
        <v>2.0</v>
      </c>
      <c r="R18" s="536">
        <v>2.0</v>
      </c>
      <c r="S18" s="536">
        <v>2.0</v>
      </c>
      <c r="T18" s="536">
        <v>2.0</v>
      </c>
      <c r="U18" s="536">
        <v>2.0</v>
      </c>
      <c r="V18" s="536">
        <v>2.0</v>
      </c>
      <c r="W18" s="536">
        <v>2.0</v>
      </c>
      <c r="X18" s="536">
        <v>2.0</v>
      </c>
      <c r="Y18" s="536">
        <v>2.0</v>
      </c>
    </row>
    <row r="19">
      <c r="A19" s="400" t="s">
        <v>574</v>
      </c>
      <c r="B19" s="537">
        <f t="shared" ref="B19:Y19" si="2">B17*B18</f>
        <v>2.11204</v>
      </c>
      <c r="C19" s="537">
        <f t="shared" si="2"/>
        <v>2.27316</v>
      </c>
      <c r="D19" s="537">
        <f t="shared" si="2"/>
        <v>2.03464</v>
      </c>
      <c r="E19" s="537">
        <f t="shared" si="2"/>
        <v>2.03464</v>
      </c>
      <c r="F19" s="537">
        <f t="shared" si="2"/>
        <v>2.78688</v>
      </c>
      <c r="G19" s="537">
        <f t="shared" si="2"/>
        <v>2.03464</v>
      </c>
      <c r="H19" s="537">
        <f t="shared" si="2"/>
        <v>2.03464</v>
      </c>
      <c r="I19" s="537">
        <f t="shared" si="2"/>
        <v>1.60336</v>
      </c>
      <c r="J19" s="537">
        <f t="shared" si="2"/>
        <v>1.71926</v>
      </c>
      <c r="K19" s="537">
        <f t="shared" si="2"/>
        <v>2.03464</v>
      </c>
      <c r="L19" s="537">
        <f t="shared" si="2"/>
        <v>2.03464</v>
      </c>
      <c r="M19" s="537">
        <f t="shared" si="2"/>
        <v>2.03464</v>
      </c>
      <c r="N19" s="537">
        <f t="shared" si="2"/>
        <v>2.03464</v>
      </c>
      <c r="O19" s="537">
        <f t="shared" si="2"/>
        <v>2.03464</v>
      </c>
      <c r="P19" s="537">
        <f t="shared" si="2"/>
        <v>2.03464</v>
      </c>
      <c r="Q19" s="537">
        <f t="shared" si="2"/>
        <v>2.03464</v>
      </c>
      <c r="R19" s="537">
        <f t="shared" si="2"/>
        <v>2.03464</v>
      </c>
      <c r="S19" s="537">
        <f t="shared" si="2"/>
        <v>2.03464</v>
      </c>
      <c r="T19" s="537">
        <f t="shared" si="2"/>
        <v>2.03464</v>
      </c>
      <c r="U19" s="537">
        <f t="shared" si="2"/>
        <v>2.03464</v>
      </c>
      <c r="V19" s="537">
        <f t="shared" si="2"/>
        <v>2.03464</v>
      </c>
      <c r="W19" s="537">
        <f t="shared" si="2"/>
        <v>2.03464</v>
      </c>
      <c r="X19" s="537">
        <f t="shared" si="2"/>
        <v>2.03464</v>
      </c>
      <c r="Y19" s="537">
        <f t="shared" si="2"/>
        <v>2.03464</v>
      </c>
    </row>
    <row r="20">
      <c r="A20" s="400" t="s">
        <v>575</v>
      </c>
      <c r="B20" s="416">
        <f t="shared" ref="B20:Y20" si="3">B16/B19</f>
        <v>109838.9336</v>
      </c>
      <c r="C20" s="416">
        <f t="shared" si="3"/>
        <v>68700.38321</v>
      </c>
      <c r="D20" s="416">
        <f t="shared" si="3"/>
        <v>105471.58</v>
      </c>
      <c r="E20" s="416">
        <f t="shared" si="3"/>
        <v>105471.58</v>
      </c>
      <c r="F20" s="416">
        <f t="shared" si="3"/>
        <v>64914.24586</v>
      </c>
      <c r="G20" s="416">
        <f t="shared" si="3"/>
        <v>105471.58</v>
      </c>
      <c r="H20" s="416">
        <f t="shared" si="3"/>
        <v>82145.96442</v>
      </c>
      <c r="I20" s="416">
        <f t="shared" si="3"/>
        <v>144216.9421</v>
      </c>
      <c r="J20" s="416">
        <f t="shared" si="3"/>
        <v>160814.5358</v>
      </c>
      <c r="K20" s="416">
        <f t="shared" si="3"/>
        <v>105471.58</v>
      </c>
      <c r="L20" s="416">
        <f t="shared" si="3"/>
        <v>105471.58</v>
      </c>
      <c r="M20" s="416">
        <f t="shared" si="3"/>
        <v>105471.58</v>
      </c>
      <c r="N20" s="416">
        <f t="shared" si="3"/>
        <v>105471.58</v>
      </c>
      <c r="O20" s="416">
        <f t="shared" si="3"/>
        <v>105471.58</v>
      </c>
      <c r="P20" s="416">
        <f t="shared" si="3"/>
        <v>105471.58</v>
      </c>
      <c r="Q20" s="416">
        <f t="shared" si="3"/>
        <v>105471.58</v>
      </c>
      <c r="R20" s="416">
        <f t="shared" si="3"/>
        <v>105471.58</v>
      </c>
      <c r="S20" s="416">
        <f t="shared" si="3"/>
        <v>105471.58</v>
      </c>
      <c r="T20" s="416">
        <f t="shared" si="3"/>
        <v>105471.58</v>
      </c>
      <c r="U20" s="416">
        <f t="shared" si="3"/>
        <v>105471.58</v>
      </c>
      <c r="V20" s="416">
        <f t="shared" si="3"/>
        <v>105471.58</v>
      </c>
      <c r="W20" s="416">
        <f t="shared" si="3"/>
        <v>105471.58</v>
      </c>
      <c r="X20" s="416">
        <f t="shared" si="3"/>
        <v>105471.58</v>
      </c>
      <c r="Y20" s="416">
        <f t="shared" si="3"/>
        <v>105471.58</v>
      </c>
    </row>
    <row r="21">
      <c r="A21" s="415"/>
      <c r="B21" s="291"/>
      <c r="C21" s="291"/>
      <c r="D21" s="291"/>
      <c r="E21" s="291"/>
      <c r="F21" s="291"/>
      <c r="G21" s="291"/>
      <c r="H21" s="291"/>
      <c r="I21" s="291"/>
      <c r="J21" s="291"/>
      <c r="K21" s="291"/>
      <c r="L21" s="291"/>
      <c r="M21" s="291"/>
      <c r="N21" s="291"/>
      <c r="O21" s="291"/>
      <c r="P21" s="291"/>
      <c r="Q21" s="291"/>
      <c r="R21" s="291"/>
      <c r="S21" s="291"/>
      <c r="T21" s="291"/>
      <c r="U21" s="291"/>
      <c r="V21" s="291"/>
      <c r="W21" s="291"/>
      <c r="X21" s="291"/>
      <c r="Y21" s="291"/>
    </row>
    <row r="22">
      <c r="A22" s="160" t="s">
        <v>576</v>
      </c>
      <c r="B22" s="397"/>
      <c r="C22" s="397"/>
      <c r="D22" s="397"/>
      <c r="E22" s="397"/>
      <c r="F22" s="397"/>
      <c r="G22" s="397"/>
      <c r="H22" s="397"/>
      <c r="I22" s="397"/>
      <c r="J22" s="397"/>
      <c r="K22" s="397"/>
      <c r="L22" s="397"/>
      <c r="M22" s="397"/>
      <c r="N22" s="397"/>
      <c r="O22" s="397"/>
      <c r="P22" s="397"/>
      <c r="Q22" s="397"/>
      <c r="R22" s="397"/>
      <c r="S22" s="397"/>
      <c r="T22" s="397"/>
      <c r="U22" s="397"/>
      <c r="V22" s="397"/>
      <c r="W22" s="397"/>
      <c r="X22" s="397"/>
      <c r="Y22" s="397"/>
    </row>
    <row r="23">
      <c r="A23" s="538"/>
      <c r="B23" s="539"/>
      <c r="C23" s="539"/>
      <c r="D23" s="539"/>
      <c r="E23" s="539"/>
      <c r="F23" s="539"/>
      <c r="G23" s="539"/>
      <c r="H23" s="539"/>
      <c r="I23" s="539"/>
      <c r="J23" s="539"/>
      <c r="K23" s="539"/>
      <c r="L23" s="539"/>
      <c r="M23" s="539"/>
      <c r="N23" s="539"/>
      <c r="O23" s="539"/>
      <c r="P23" s="539"/>
      <c r="Q23" s="539"/>
      <c r="R23" s="539"/>
      <c r="S23" s="539"/>
      <c r="T23" s="539"/>
      <c r="U23" s="539"/>
      <c r="V23" s="539"/>
      <c r="W23" s="539"/>
      <c r="X23" s="539"/>
      <c r="Y23" s="539"/>
    </row>
    <row r="24">
      <c r="A24" s="538" t="s">
        <v>577</v>
      </c>
      <c r="B24" s="540">
        <v>0.76</v>
      </c>
      <c r="C24" s="540">
        <v>0.76</v>
      </c>
      <c r="D24" s="540">
        <v>0.76</v>
      </c>
      <c r="E24" s="540">
        <v>0.76</v>
      </c>
      <c r="F24" s="540">
        <v>0.76</v>
      </c>
      <c r="G24" s="540">
        <v>0.76</v>
      </c>
      <c r="H24" s="540">
        <v>0.76</v>
      </c>
      <c r="I24" s="540">
        <v>0.76</v>
      </c>
      <c r="J24" s="540">
        <v>0.76</v>
      </c>
      <c r="K24" s="540">
        <v>0.76</v>
      </c>
      <c r="L24" s="540">
        <v>0.76</v>
      </c>
      <c r="M24" s="540">
        <v>0.76</v>
      </c>
      <c r="N24" s="540">
        <v>0.76</v>
      </c>
      <c r="O24" s="540">
        <v>0.76</v>
      </c>
      <c r="P24" s="540">
        <v>0.76</v>
      </c>
      <c r="Q24" s="540">
        <v>0.76</v>
      </c>
      <c r="R24" s="540">
        <v>0.76</v>
      </c>
      <c r="S24" s="540">
        <v>0.76</v>
      </c>
      <c r="T24" s="540">
        <v>0.76</v>
      </c>
      <c r="U24" s="540">
        <v>0.76</v>
      </c>
      <c r="V24" s="540">
        <v>0.76</v>
      </c>
      <c r="W24" s="540">
        <v>0.76</v>
      </c>
      <c r="X24" s="540">
        <v>0.76</v>
      </c>
      <c r="Y24" s="540">
        <v>0.76</v>
      </c>
    </row>
    <row r="25">
      <c r="A25" s="400" t="s">
        <v>578</v>
      </c>
      <c r="B25" s="296">
        <f t="shared" ref="B25:Y25" si="4">1-B24</f>
        <v>0.24</v>
      </c>
      <c r="C25" s="296">
        <f t="shared" si="4"/>
        <v>0.24</v>
      </c>
      <c r="D25" s="296">
        <f t="shared" si="4"/>
        <v>0.24</v>
      </c>
      <c r="E25" s="296">
        <f t="shared" si="4"/>
        <v>0.24</v>
      </c>
      <c r="F25" s="296">
        <f t="shared" si="4"/>
        <v>0.24</v>
      </c>
      <c r="G25" s="296">
        <f t="shared" si="4"/>
        <v>0.24</v>
      </c>
      <c r="H25" s="296">
        <f t="shared" si="4"/>
        <v>0.24</v>
      </c>
      <c r="I25" s="296">
        <f t="shared" si="4"/>
        <v>0.24</v>
      </c>
      <c r="J25" s="296">
        <f t="shared" si="4"/>
        <v>0.24</v>
      </c>
      <c r="K25" s="296">
        <f t="shared" si="4"/>
        <v>0.24</v>
      </c>
      <c r="L25" s="296">
        <f t="shared" si="4"/>
        <v>0.24</v>
      </c>
      <c r="M25" s="296">
        <f t="shared" si="4"/>
        <v>0.24</v>
      </c>
      <c r="N25" s="296">
        <f t="shared" si="4"/>
        <v>0.24</v>
      </c>
      <c r="O25" s="296">
        <f t="shared" si="4"/>
        <v>0.24</v>
      </c>
      <c r="P25" s="296">
        <f t="shared" si="4"/>
        <v>0.24</v>
      </c>
      <c r="Q25" s="296">
        <f t="shared" si="4"/>
        <v>0.24</v>
      </c>
      <c r="R25" s="296">
        <f t="shared" si="4"/>
        <v>0.24</v>
      </c>
      <c r="S25" s="296">
        <f t="shared" si="4"/>
        <v>0.24</v>
      </c>
      <c r="T25" s="296">
        <f t="shared" si="4"/>
        <v>0.24</v>
      </c>
      <c r="U25" s="296">
        <f t="shared" si="4"/>
        <v>0.24</v>
      </c>
      <c r="V25" s="296">
        <f t="shared" si="4"/>
        <v>0.24</v>
      </c>
      <c r="W25" s="296">
        <f t="shared" si="4"/>
        <v>0.24</v>
      </c>
      <c r="X25" s="296">
        <f t="shared" si="4"/>
        <v>0.24</v>
      </c>
      <c r="Y25" s="296">
        <f t="shared" si="4"/>
        <v>0.24</v>
      </c>
    </row>
    <row r="26">
      <c r="A26" s="400" t="s">
        <v>579</v>
      </c>
      <c r="B26" s="281">
        <v>0.873</v>
      </c>
      <c r="C26" s="281">
        <v>0.873</v>
      </c>
      <c r="D26" s="281">
        <v>0.873</v>
      </c>
      <c r="E26" s="281">
        <v>0.873</v>
      </c>
      <c r="F26" s="281">
        <v>0.873</v>
      </c>
      <c r="G26" s="281">
        <v>0.873</v>
      </c>
      <c r="H26" s="281">
        <v>0.873</v>
      </c>
      <c r="I26" s="281">
        <v>0.873</v>
      </c>
      <c r="J26" s="281">
        <v>0.873</v>
      </c>
      <c r="K26" s="281">
        <v>0.873</v>
      </c>
      <c r="L26" s="281">
        <v>0.873</v>
      </c>
      <c r="M26" s="281">
        <v>0.873</v>
      </c>
      <c r="N26" s="281">
        <v>0.873</v>
      </c>
      <c r="O26" s="281">
        <v>0.873</v>
      </c>
      <c r="P26" s="281">
        <v>0.873</v>
      </c>
      <c r="Q26" s="281">
        <v>0.873</v>
      </c>
      <c r="R26" s="281">
        <v>0.873</v>
      </c>
      <c r="S26" s="281">
        <v>0.873</v>
      </c>
      <c r="T26" s="281">
        <v>0.873</v>
      </c>
      <c r="U26" s="281">
        <v>0.873</v>
      </c>
      <c r="V26" s="281">
        <v>0.873</v>
      </c>
      <c r="W26" s="281">
        <v>0.873</v>
      </c>
      <c r="X26" s="281">
        <v>0.873</v>
      </c>
      <c r="Y26" s="281">
        <v>0.873</v>
      </c>
    </row>
    <row r="27">
      <c r="A27" s="400" t="s">
        <v>580</v>
      </c>
      <c r="B27" s="296">
        <f t="shared" ref="B27:Y27" si="5">B25/B26</f>
        <v>0.2749140893</v>
      </c>
      <c r="C27" s="296">
        <f t="shared" si="5"/>
        <v>0.2749140893</v>
      </c>
      <c r="D27" s="296">
        <f t="shared" si="5"/>
        <v>0.2749140893</v>
      </c>
      <c r="E27" s="296">
        <f t="shared" si="5"/>
        <v>0.2749140893</v>
      </c>
      <c r="F27" s="296">
        <f t="shared" si="5"/>
        <v>0.2749140893</v>
      </c>
      <c r="G27" s="296">
        <f t="shared" si="5"/>
        <v>0.2749140893</v>
      </c>
      <c r="H27" s="296">
        <f t="shared" si="5"/>
        <v>0.2749140893</v>
      </c>
      <c r="I27" s="296">
        <f t="shared" si="5"/>
        <v>0.2749140893</v>
      </c>
      <c r="J27" s="296">
        <f t="shared" si="5"/>
        <v>0.2749140893</v>
      </c>
      <c r="K27" s="296">
        <f t="shared" si="5"/>
        <v>0.2749140893</v>
      </c>
      <c r="L27" s="296">
        <f t="shared" si="5"/>
        <v>0.2749140893</v>
      </c>
      <c r="M27" s="296">
        <f t="shared" si="5"/>
        <v>0.2749140893</v>
      </c>
      <c r="N27" s="296">
        <f t="shared" si="5"/>
        <v>0.2749140893</v>
      </c>
      <c r="O27" s="296">
        <f t="shared" si="5"/>
        <v>0.2749140893</v>
      </c>
      <c r="P27" s="296">
        <f t="shared" si="5"/>
        <v>0.2749140893</v>
      </c>
      <c r="Q27" s="296">
        <f t="shared" si="5"/>
        <v>0.2749140893</v>
      </c>
      <c r="R27" s="296">
        <f t="shared" si="5"/>
        <v>0.2749140893</v>
      </c>
      <c r="S27" s="296">
        <f t="shared" si="5"/>
        <v>0.2749140893</v>
      </c>
      <c r="T27" s="296">
        <f t="shared" si="5"/>
        <v>0.2749140893</v>
      </c>
      <c r="U27" s="296">
        <f t="shared" si="5"/>
        <v>0.2749140893</v>
      </c>
      <c r="V27" s="296">
        <f t="shared" si="5"/>
        <v>0.2749140893</v>
      </c>
      <c r="W27" s="296">
        <f t="shared" si="5"/>
        <v>0.2749140893</v>
      </c>
      <c r="X27" s="296">
        <f t="shared" si="5"/>
        <v>0.2749140893</v>
      </c>
      <c r="Y27" s="296">
        <f t="shared" si="5"/>
        <v>0.2749140893</v>
      </c>
    </row>
    <row r="28">
      <c r="A28" s="291"/>
      <c r="B28" s="291"/>
      <c r="C28" s="291"/>
      <c r="D28" s="291"/>
      <c r="E28" s="291"/>
      <c r="F28" s="291"/>
      <c r="G28" s="291"/>
      <c r="H28" s="291"/>
      <c r="I28" s="291"/>
      <c r="J28" s="291"/>
      <c r="K28" s="291"/>
      <c r="L28" s="291"/>
      <c r="M28" s="291"/>
      <c r="N28" s="291"/>
      <c r="O28" s="291"/>
      <c r="P28" s="291"/>
      <c r="Q28" s="291"/>
      <c r="R28" s="291"/>
      <c r="S28" s="291"/>
      <c r="T28" s="291"/>
      <c r="U28" s="291"/>
      <c r="V28" s="291"/>
      <c r="W28" s="291"/>
      <c r="X28" s="291"/>
      <c r="Y28" s="291"/>
    </row>
    <row r="29">
      <c r="A29" s="396" t="s">
        <v>581</v>
      </c>
      <c r="B29" s="397"/>
      <c r="C29" s="397"/>
      <c r="D29" s="397"/>
      <c r="E29" s="397"/>
      <c r="F29" s="397"/>
      <c r="G29" s="397"/>
      <c r="H29" s="397"/>
      <c r="I29" s="397"/>
      <c r="J29" s="397"/>
      <c r="K29" s="397"/>
      <c r="L29" s="397"/>
      <c r="M29" s="397"/>
      <c r="N29" s="397"/>
      <c r="O29" s="397"/>
      <c r="P29" s="397"/>
      <c r="Q29" s="397"/>
      <c r="R29" s="397"/>
      <c r="S29" s="397"/>
      <c r="T29" s="397"/>
      <c r="U29" s="397"/>
      <c r="V29" s="397"/>
      <c r="W29" s="397"/>
      <c r="X29" s="397"/>
      <c r="Y29" s="397"/>
    </row>
    <row r="30">
      <c r="A30" s="398"/>
      <c r="B30" s="291"/>
      <c r="C30" s="291"/>
      <c r="D30" s="291"/>
      <c r="E30" s="291"/>
      <c r="F30" s="291"/>
      <c r="G30" s="291"/>
      <c r="H30" s="291"/>
      <c r="I30" s="291"/>
      <c r="J30" s="291"/>
      <c r="K30" s="291"/>
      <c r="L30" s="291"/>
      <c r="M30" s="291"/>
      <c r="N30" s="291"/>
      <c r="O30" s="291"/>
      <c r="P30" s="291"/>
      <c r="Q30" s="291"/>
      <c r="R30" s="291"/>
      <c r="S30" s="291"/>
      <c r="T30" s="291"/>
      <c r="U30" s="291"/>
      <c r="V30" s="291"/>
      <c r="W30" s="291"/>
      <c r="X30" s="291"/>
      <c r="Y30" s="291"/>
    </row>
    <row r="31">
      <c r="A31" s="476" t="s">
        <v>582</v>
      </c>
      <c r="B31" s="541">
        <v>17.797759420724216</v>
      </c>
      <c r="C31" s="541">
        <v>8.5068404008114</v>
      </c>
      <c r="D31" s="541">
        <v>8.926637871995297</v>
      </c>
      <c r="E31" s="541">
        <v>7.366092784211604</v>
      </c>
      <c r="F31" s="541">
        <v>14.668226697925608</v>
      </c>
      <c r="G31" s="541">
        <v>4.011194849021125</v>
      </c>
      <c r="H31" s="541">
        <v>6.71765</v>
      </c>
      <c r="I31" s="541">
        <v>17.929035454728538</v>
      </c>
      <c r="J31" s="541">
        <v>19.405795103206138</v>
      </c>
      <c r="K31" s="541">
        <v>16.21054</v>
      </c>
      <c r="L31" s="541">
        <v>6.562068</v>
      </c>
      <c r="M31" s="541">
        <v>10.246978</v>
      </c>
      <c r="N31" s="541">
        <v>7.688376</v>
      </c>
      <c r="O31" s="541">
        <v>10.200401</v>
      </c>
      <c r="P31" s="541">
        <v>17.620644</v>
      </c>
      <c r="Q31" s="541">
        <v>4.689651</v>
      </c>
      <c r="R31" s="541">
        <v>8.66141</v>
      </c>
      <c r="S31" s="541">
        <v>10.585206</v>
      </c>
      <c r="T31" s="541">
        <v>6.609755</v>
      </c>
      <c r="U31" s="541">
        <v>4.592602</v>
      </c>
      <c r="V31" s="541">
        <v>5.605856</v>
      </c>
      <c r="W31" s="541">
        <v>6.811285</v>
      </c>
      <c r="X31" s="541">
        <v>4.212173</v>
      </c>
      <c r="Y31" s="541">
        <v>8.974542</v>
      </c>
    </row>
    <row r="32">
      <c r="A32" s="400" t="s">
        <v>583</v>
      </c>
      <c r="B32" s="416">
        <f t="shared" ref="B32:Y32" si="6">(B31/1000)*B20</f>
        <v>1954.886916</v>
      </c>
      <c r="C32" s="416">
        <f t="shared" si="6"/>
        <v>584.4231954</v>
      </c>
      <c r="D32" s="416">
        <f t="shared" si="6"/>
        <v>941.5066005</v>
      </c>
      <c r="E32" s="416">
        <f t="shared" si="6"/>
        <v>776.9134445</v>
      </c>
      <c r="F32" s="416">
        <f t="shared" si="6"/>
        <v>952.1768742</v>
      </c>
      <c r="G32" s="416">
        <f t="shared" si="6"/>
        <v>423.0670585</v>
      </c>
      <c r="H32" s="416">
        <f t="shared" si="6"/>
        <v>551.8278379</v>
      </c>
      <c r="I32" s="416">
        <f t="shared" si="6"/>
        <v>2585.670669</v>
      </c>
      <c r="J32" s="416">
        <f t="shared" si="6"/>
        <v>3120.733931</v>
      </c>
      <c r="K32" s="416">
        <f t="shared" si="6"/>
        <v>1709.751267</v>
      </c>
      <c r="L32" s="416">
        <f t="shared" si="6"/>
        <v>692.1116801</v>
      </c>
      <c r="M32" s="416">
        <f t="shared" si="6"/>
        <v>1080.76496</v>
      </c>
      <c r="N32" s="416">
        <f t="shared" si="6"/>
        <v>810.9051644</v>
      </c>
      <c r="O32" s="416">
        <f t="shared" si="6"/>
        <v>1075.85241</v>
      </c>
      <c r="P32" s="416">
        <f t="shared" si="6"/>
        <v>1858.477163</v>
      </c>
      <c r="Q32" s="416">
        <f t="shared" si="6"/>
        <v>494.6249007</v>
      </c>
      <c r="R32" s="416">
        <f t="shared" si="6"/>
        <v>913.5325978</v>
      </c>
      <c r="S32" s="416">
        <f t="shared" si="6"/>
        <v>1116.438402</v>
      </c>
      <c r="T32" s="416">
        <f t="shared" si="6"/>
        <v>697.1413033</v>
      </c>
      <c r="U32" s="416">
        <f t="shared" si="6"/>
        <v>484.3889893</v>
      </c>
      <c r="V32" s="416">
        <f t="shared" si="6"/>
        <v>591.2584896</v>
      </c>
      <c r="W32" s="416">
        <f t="shared" si="6"/>
        <v>718.3969909</v>
      </c>
      <c r="X32" s="416">
        <f t="shared" si="6"/>
        <v>444.2645416</v>
      </c>
      <c r="Y32" s="416">
        <f t="shared" si="6"/>
        <v>946.5591246</v>
      </c>
    </row>
    <row r="33">
      <c r="A33" s="400" t="s">
        <v>584</v>
      </c>
      <c r="B33" s="416">
        <f t="shared" ref="B33:Y33" si="7">B32*B27</f>
        <v>537.4259562</v>
      </c>
      <c r="C33" s="416">
        <f t="shared" si="7"/>
        <v>160.6661706</v>
      </c>
      <c r="D33" s="416">
        <f t="shared" si="7"/>
        <v>258.8334297</v>
      </c>
      <c r="E33" s="416">
        <f t="shared" si="7"/>
        <v>213.5844521</v>
      </c>
      <c r="F33" s="416">
        <f t="shared" si="7"/>
        <v>261.7668383</v>
      </c>
      <c r="G33" s="416">
        <f t="shared" si="7"/>
        <v>116.3070951</v>
      </c>
      <c r="H33" s="416">
        <f t="shared" si="7"/>
        <v>151.7052475</v>
      </c>
      <c r="I33" s="416">
        <f t="shared" si="7"/>
        <v>710.8372972</v>
      </c>
      <c r="J33" s="416">
        <f t="shared" si="7"/>
        <v>857.9337268</v>
      </c>
      <c r="K33" s="416">
        <f t="shared" si="7"/>
        <v>470.0347125</v>
      </c>
      <c r="L33" s="416">
        <f t="shared" si="7"/>
        <v>190.2712523</v>
      </c>
      <c r="M33" s="416">
        <f t="shared" si="7"/>
        <v>297.1175148</v>
      </c>
      <c r="N33" s="416">
        <f t="shared" si="7"/>
        <v>222.9292548</v>
      </c>
      <c r="O33" s="416">
        <f t="shared" si="7"/>
        <v>295.7669856</v>
      </c>
      <c r="P33" s="416">
        <f t="shared" si="7"/>
        <v>510.921557</v>
      </c>
      <c r="Q33" s="416">
        <f t="shared" si="7"/>
        <v>135.9793541</v>
      </c>
      <c r="R33" s="416">
        <f t="shared" si="7"/>
        <v>251.1429822</v>
      </c>
      <c r="S33" s="416">
        <f t="shared" si="7"/>
        <v>306.9246465</v>
      </c>
      <c r="T33" s="416">
        <f t="shared" si="7"/>
        <v>191.6539666</v>
      </c>
      <c r="U33" s="416">
        <f t="shared" si="7"/>
        <v>133.1653579</v>
      </c>
      <c r="V33" s="416">
        <f t="shared" si="7"/>
        <v>162.5452892</v>
      </c>
      <c r="W33" s="416">
        <f t="shared" si="7"/>
        <v>197.4974545</v>
      </c>
      <c r="X33" s="416">
        <f t="shared" si="7"/>
        <v>122.1345819</v>
      </c>
      <c r="Y33" s="416">
        <f t="shared" si="7"/>
        <v>260.2224398</v>
      </c>
    </row>
    <row r="34">
      <c r="A34" s="476" t="s">
        <v>585</v>
      </c>
      <c r="B34" s="542">
        <v>0.74</v>
      </c>
      <c r="C34" s="542">
        <v>0.74</v>
      </c>
      <c r="D34" s="542">
        <v>0.74</v>
      </c>
      <c r="E34" s="542">
        <v>0.74</v>
      </c>
      <c r="F34" s="542">
        <v>0.74</v>
      </c>
      <c r="G34" s="542">
        <v>0.74</v>
      </c>
      <c r="H34" s="542">
        <v>0.74</v>
      </c>
      <c r="I34" s="542">
        <v>0.74</v>
      </c>
      <c r="J34" s="542">
        <v>0.74</v>
      </c>
      <c r="K34" s="542">
        <v>0.74</v>
      </c>
      <c r="L34" s="542">
        <v>0.74</v>
      </c>
      <c r="M34" s="542">
        <v>0.74</v>
      </c>
      <c r="N34" s="542">
        <v>0.74</v>
      </c>
      <c r="O34" s="542">
        <v>0.74</v>
      </c>
      <c r="P34" s="542">
        <v>0.74</v>
      </c>
      <c r="Q34" s="542">
        <v>0.74</v>
      </c>
      <c r="R34" s="542">
        <v>0.74</v>
      </c>
      <c r="S34" s="542">
        <v>0.74</v>
      </c>
      <c r="T34" s="542">
        <v>0.74</v>
      </c>
      <c r="U34" s="542">
        <v>0.74</v>
      </c>
      <c r="V34" s="542">
        <v>0.74</v>
      </c>
      <c r="W34" s="542">
        <v>0.74</v>
      </c>
      <c r="X34" s="542">
        <v>0.74</v>
      </c>
      <c r="Y34" s="542">
        <v>0.74</v>
      </c>
    </row>
    <row r="35">
      <c r="A35" s="151" t="s">
        <v>586</v>
      </c>
      <c r="B35" s="92">
        <v>0.3098991</v>
      </c>
      <c r="C35" s="92">
        <v>0.5276471</v>
      </c>
      <c r="D35" s="92">
        <v>0.2588961</v>
      </c>
      <c r="E35" s="92">
        <v>0.4797533</v>
      </c>
      <c r="F35" s="92">
        <v>0.2903675</v>
      </c>
      <c r="G35" s="92">
        <v>0.5091372</v>
      </c>
      <c r="H35" s="92">
        <v>0.5859586</v>
      </c>
      <c r="I35" s="92">
        <v>0.3553914</v>
      </c>
      <c r="J35" s="92">
        <v>0.5735185</v>
      </c>
      <c r="K35" s="92">
        <v>0.2968177</v>
      </c>
      <c r="L35" s="92">
        <v>0.1618005</v>
      </c>
      <c r="M35" s="92">
        <v>0.2151149</v>
      </c>
      <c r="N35" s="92">
        <v>0.1808346</v>
      </c>
      <c r="O35" s="92">
        <v>0.2683791</v>
      </c>
      <c r="P35" s="92">
        <v>0.3656329</v>
      </c>
      <c r="Q35" s="92">
        <v>0.1256344</v>
      </c>
      <c r="R35" s="92">
        <v>0.143036</v>
      </c>
      <c r="S35" s="92">
        <v>0.2902473</v>
      </c>
      <c r="T35" s="92">
        <v>0.1404058</v>
      </c>
      <c r="U35" s="92">
        <v>0.1702309</v>
      </c>
      <c r="V35" s="92">
        <v>0.1795485</v>
      </c>
      <c r="W35" s="92">
        <v>0.1702742</v>
      </c>
      <c r="X35" s="92">
        <v>0.1406908</v>
      </c>
      <c r="Y35" s="92">
        <v>0.1997459</v>
      </c>
    </row>
    <row r="36">
      <c r="A36" s="400" t="s">
        <v>587</v>
      </c>
      <c r="B36" s="543">
        <v>0.0</v>
      </c>
      <c r="C36" s="543">
        <v>0.0</v>
      </c>
      <c r="D36" s="543">
        <v>0.0</v>
      </c>
      <c r="E36" s="543">
        <v>0.0</v>
      </c>
      <c r="F36" s="543">
        <v>0.0</v>
      </c>
      <c r="G36" s="543">
        <v>0.41471028971029</v>
      </c>
      <c r="H36" s="543">
        <v>0.0</v>
      </c>
      <c r="I36" s="543">
        <v>0.0</v>
      </c>
      <c r="J36" s="543">
        <v>0.0</v>
      </c>
      <c r="K36" s="543">
        <v>0.0</v>
      </c>
      <c r="L36" s="543">
        <v>0.0</v>
      </c>
      <c r="M36" s="543">
        <v>0.0</v>
      </c>
      <c r="N36" s="543">
        <v>0.0</v>
      </c>
      <c r="O36" s="543">
        <v>0.0</v>
      </c>
      <c r="P36" s="543">
        <v>0.0</v>
      </c>
      <c r="Q36" s="543">
        <v>0.0</v>
      </c>
      <c r="R36" s="543">
        <v>0.0</v>
      </c>
      <c r="S36" s="543">
        <v>0.0</v>
      </c>
      <c r="T36" s="543">
        <v>0.0</v>
      </c>
      <c r="U36" s="543">
        <v>0.0</v>
      </c>
      <c r="V36" s="543">
        <v>0.0</v>
      </c>
      <c r="W36" s="543">
        <v>0.0</v>
      </c>
      <c r="X36" s="543">
        <v>0.0</v>
      </c>
      <c r="Y36" s="543">
        <v>0.0</v>
      </c>
    </row>
    <row r="37">
      <c r="A37" s="400" t="s">
        <v>588</v>
      </c>
      <c r="B37" s="70">
        <f t="shared" ref="B37:Y37" si="8">B35*(1-B36)</f>
        <v>0.3098991</v>
      </c>
      <c r="C37" s="70">
        <f t="shared" si="8"/>
        <v>0.5276471</v>
      </c>
      <c r="D37" s="70">
        <f t="shared" si="8"/>
        <v>0.2588961</v>
      </c>
      <c r="E37" s="70">
        <f t="shared" si="8"/>
        <v>0.4797533</v>
      </c>
      <c r="F37" s="70">
        <f t="shared" si="8"/>
        <v>0.2903675</v>
      </c>
      <c r="G37" s="70">
        <f t="shared" si="8"/>
        <v>0.2979927643</v>
      </c>
      <c r="H37" s="70">
        <f t="shared" si="8"/>
        <v>0.5859586</v>
      </c>
      <c r="I37" s="70">
        <f t="shared" si="8"/>
        <v>0.3553914</v>
      </c>
      <c r="J37" s="70">
        <f t="shared" si="8"/>
        <v>0.5735185</v>
      </c>
      <c r="K37" s="70">
        <f t="shared" si="8"/>
        <v>0.2968177</v>
      </c>
      <c r="L37" s="70">
        <f t="shared" si="8"/>
        <v>0.1618005</v>
      </c>
      <c r="M37" s="70">
        <f t="shared" si="8"/>
        <v>0.2151149</v>
      </c>
      <c r="N37" s="70">
        <f t="shared" si="8"/>
        <v>0.1808346</v>
      </c>
      <c r="O37" s="70">
        <f t="shared" si="8"/>
        <v>0.2683791</v>
      </c>
      <c r="P37" s="70">
        <f t="shared" si="8"/>
        <v>0.3656329</v>
      </c>
      <c r="Q37" s="70">
        <f t="shared" si="8"/>
        <v>0.1256344</v>
      </c>
      <c r="R37" s="70">
        <f t="shared" si="8"/>
        <v>0.143036</v>
      </c>
      <c r="S37" s="70">
        <f t="shared" si="8"/>
        <v>0.2902473</v>
      </c>
      <c r="T37" s="70">
        <f t="shared" si="8"/>
        <v>0.1404058</v>
      </c>
      <c r="U37" s="70">
        <f t="shared" si="8"/>
        <v>0.1702309</v>
      </c>
      <c r="V37" s="70">
        <f t="shared" si="8"/>
        <v>0.1795485</v>
      </c>
      <c r="W37" s="70">
        <f t="shared" si="8"/>
        <v>0.1702742</v>
      </c>
      <c r="X37" s="70">
        <f t="shared" si="8"/>
        <v>0.1406908</v>
      </c>
      <c r="Y37" s="70">
        <f t="shared" si="8"/>
        <v>0.1997459</v>
      </c>
    </row>
    <row r="38">
      <c r="A38" s="400" t="s">
        <v>589</v>
      </c>
      <c r="B38" s="522">
        <f t="shared" ref="B38:F38" si="9">B33*B34*B35</f>
        <v>123.2453869</v>
      </c>
      <c r="C38" s="522">
        <f t="shared" si="9"/>
        <v>62.73352884</v>
      </c>
      <c r="D38" s="522">
        <f t="shared" si="9"/>
        <v>49.58811447</v>
      </c>
      <c r="E38" s="522">
        <f t="shared" si="9"/>
        <v>75.82620583</v>
      </c>
      <c r="F38" s="522">
        <f t="shared" si="9"/>
        <v>56.24635098</v>
      </c>
      <c r="G38" s="522">
        <f t="shared" ref="G38:H38" si="10">G33*G34*G37</f>
        <v>25.64741786</v>
      </c>
      <c r="H38" s="522">
        <f t="shared" si="10"/>
        <v>65.7808159</v>
      </c>
      <c r="I38" s="522">
        <f t="shared" ref="I38:Y38" si="11">I33*I34*I35</f>
        <v>186.9428421</v>
      </c>
      <c r="J38" s="522">
        <f t="shared" si="11"/>
        <v>364.1102394</v>
      </c>
      <c r="K38" s="522">
        <f t="shared" si="11"/>
        <v>103.2408205</v>
      </c>
      <c r="L38" s="522">
        <f t="shared" si="11"/>
        <v>22.78162798</v>
      </c>
      <c r="M38" s="522">
        <f t="shared" si="11"/>
        <v>47.29665931</v>
      </c>
      <c r="N38" s="522">
        <f t="shared" si="11"/>
        <v>29.83185874</v>
      </c>
      <c r="O38" s="522">
        <f t="shared" si="11"/>
        <v>58.73948129</v>
      </c>
      <c r="P38" s="522">
        <f t="shared" si="11"/>
        <v>138.2392006</v>
      </c>
      <c r="Q38" s="522">
        <f t="shared" si="11"/>
        <v>12.64192658</v>
      </c>
      <c r="R38" s="522">
        <f t="shared" si="11"/>
        <v>26.58264083</v>
      </c>
      <c r="S38" s="522">
        <f t="shared" si="11"/>
        <v>65.92219696</v>
      </c>
      <c r="T38" s="522">
        <f t="shared" si="11"/>
        <v>19.91290309</v>
      </c>
      <c r="U38" s="522">
        <f t="shared" si="11"/>
        <v>16.77495545</v>
      </c>
      <c r="V38" s="522">
        <f t="shared" si="11"/>
        <v>21.59672452</v>
      </c>
      <c r="W38" s="522">
        <f t="shared" si="11"/>
        <v>24.88525359</v>
      </c>
      <c r="X38" s="522">
        <f t="shared" si="11"/>
        <v>12.7155769</v>
      </c>
      <c r="Y38" s="522">
        <f t="shared" si="11"/>
        <v>38.46399042</v>
      </c>
    </row>
    <row r="39">
      <c r="A39" s="400" t="s">
        <v>56</v>
      </c>
      <c r="B39" s="544">
        <f t="array" ref="B39">index('Moral weights and discount rate'!$A$1:$V$39, match($A39, 'Moral weights and discount rate'!$A$1:$A$39,0), match('Moral weights and discount rate'!$A$17, 'Moral weights and discount rate'!$A$1:$X$1,0))</f>
        <v>118.7325895</v>
      </c>
      <c r="C39" s="544">
        <f t="array" ref="C39">index('Moral weights and discount rate'!$A$1:$V$39, match($A39, 'Moral weights and discount rate'!$A$1:$A$39,0), match('Moral weights and discount rate'!$A$17, 'Moral weights and discount rate'!$A$1:$X$1,0))</f>
        <v>118.7325895</v>
      </c>
      <c r="D39" s="544">
        <f t="array" ref="D39">index('Moral weights and discount rate'!$A$1:$V$39, match($A39, 'Moral weights and discount rate'!$A$1:$A$39,0), match('Moral weights and discount rate'!$A$17, 'Moral weights and discount rate'!$A$1:$X$1,0))</f>
        <v>118.7325895</v>
      </c>
      <c r="E39" s="544">
        <f t="array" ref="E39">index('Moral weights and discount rate'!$A$1:$V$39, match($A39, 'Moral weights and discount rate'!$A$1:$A$39,0), match('Moral weights and discount rate'!$A$17, 'Moral weights and discount rate'!$A$1:$X$1,0))</f>
        <v>118.7325895</v>
      </c>
      <c r="F39" s="544">
        <f t="array" ref="F39">index('Moral weights and discount rate'!$A$1:$V$39, match($A39, 'Moral weights and discount rate'!$A$1:$A$39,0), match('Moral weights and discount rate'!$A$17, 'Moral weights and discount rate'!$A$1:$X$1,0))</f>
        <v>118.7325895</v>
      </c>
      <c r="G39" s="544">
        <f t="array" ref="G39">index('Moral weights and discount rate'!$A$1:$V$39, match($A39, 'Moral weights and discount rate'!$A$1:$A$39,0), match('Moral weights and discount rate'!$A$17, 'Moral weights and discount rate'!$A$1:$X$1,0))</f>
        <v>118.7325895</v>
      </c>
      <c r="H39" s="544">
        <f t="array" ref="H39">index('Moral weights and discount rate'!$A$1:$V$39, match($A39, 'Moral weights and discount rate'!$A$1:$A$39,0), match('Moral weights and discount rate'!$A$17, 'Moral weights and discount rate'!$A$1:$X$1,0))</f>
        <v>118.7325895</v>
      </c>
      <c r="I39" s="544">
        <f t="array" ref="I39">index('Moral weights and discount rate'!$A$1:$V$39, match($A39, 'Moral weights and discount rate'!$A$1:$A$39,0), match('Moral weights and discount rate'!$A$17, 'Moral weights and discount rate'!$A$1:$X$1,0))</f>
        <v>118.7325895</v>
      </c>
      <c r="J39" s="544">
        <f t="array" ref="J39">index('Moral weights and discount rate'!$A$1:$V$39, match($A39, 'Moral weights and discount rate'!$A$1:$A$39,0), match('Moral weights and discount rate'!$A$17, 'Moral weights and discount rate'!$A$1:$X$1,0))</f>
        <v>118.7325895</v>
      </c>
      <c r="K39" s="544">
        <f t="array" ref="K39">index('Moral weights and discount rate'!$A$1:$V$39, match($A39, 'Moral weights and discount rate'!$A$1:$A$39,0), match('Moral weights and discount rate'!$A$17, 'Moral weights and discount rate'!$A$1:$X$1,0))</f>
        <v>118.7325895</v>
      </c>
      <c r="L39" s="544">
        <f t="array" ref="L39">index('Moral weights and discount rate'!$A$1:$V$39, match($A39, 'Moral weights and discount rate'!$A$1:$A$39,0), match('Moral weights and discount rate'!$A$17, 'Moral weights and discount rate'!$A$1:$X$1,0))</f>
        <v>118.7325895</v>
      </c>
      <c r="M39" s="544">
        <f t="array" ref="M39">index('Moral weights and discount rate'!$A$1:$V$39, match($A39, 'Moral weights and discount rate'!$A$1:$A$39,0), match('Moral weights and discount rate'!$A$17, 'Moral weights and discount rate'!$A$1:$X$1,0))</f>
        <v>118.7325895</v>
      </c>
      <c r="N39" s="544">
        <f t="array" ref="N39">index('Moral weights and discount rate'!$A$1:$V$39, match($A39, 'Moral weights and discount rate'!$A$1:$A$39,0), match('Moral weights and discount rate'!$A$17, 'Moral weights and discount rate'!$A$1:$X$1,0))</f>
        <v>118.7325895</v>
      </c>
      <c r="O39" s="544">
        <f t="array" ref="O39">index('Moral weights and discount rate'!$A$1:$V$39, match($A39, 'Moral weights and discount rate'!$A$1:$A$39,0), match('Moral weights and discount rate'!$A$17, 'Moral weights and discount rate'!$A$1:$X$1,0))</f>
        <v>118.7325895</v>
      </c>
      <c r="P39" s="544">
        <f t="array" ref="P39">index('Moral weights and discount rate'!$A$1:$V$39, match($A39, 'Moral weights and discount rate'!$A$1:$A$39,0), match('Moral weights and discount rate'!$A$17, 'Moral weights and discount rate'!$A$1:$X$1,0))</f>
        <v>118.7325895</v>
      </c>
      <c r="Q39" s="544">
        <f t="array" ref="Q39">index('Moral weights and discount rate'!$A$1:$V$39, match($A39, 'Moral weights and discount rate'!$A$1:$A$39,0), match('Moral weights and discount rate'!$A$17, 'Moral weights and discount rate'!$A$1:$X$1,0))</f>
        <v>118.7325895</v>
      </c>
      <c r="R39" s="544">
        <f t="array" ref="R39">index('Moral weights and discount rate'!$A$1:$V$39, match($A39, 'Moral weights and discount rate'!$A$1:$A$39,0), match('Moral weights and discount rate'!$A$17, 'Moral weights and discount rate'!$A$1:$X$1,0))</f>
        <v>118.7325895</v>
      </c>
      <c r="S39" s="544">
        <f t="array" ref="S39">index('Moral weights and discount rate'!$A$1:$V$39, match($A39, 'Moral weights and discount rate'!$A$1:$A$39,0), match('Moral weights and discount rate'!$A$17, 'Moral weights and discount rate'!$A$1:$X$1,0))</f>
        <v>118.7325895</v>
      </c>
      <c r="T39" s="544">
        <f t="array" ref="T39">index('Moral weights and discount rate'!$A$1:$V$39, match($A39, 'Moral weights and discount rate'!$A$1:$A$39,0), match('Moral weights and discount rate'!$A$17, 'Moral weights and discount rate'!$A$1:$X$1,0))</f>
        <v>118.7325895</v>
      </c>
      <c r="U39" s="544">
        <f t="array" ref="U39">index('Moral weights and discount rate'!$A$1:$V$39, match($A39, 'Moral weights and discount rate'!$A$1:$A$39,0), match('Moral weights and discount rate'!$A$17, 'Moral weights and discount rate'!$A$1:$X$1,0))</f>
        <v>118.7325895</v>
      </c>
      <c r="V39" s="544">
        <f t="array" ref="V39">index('Moral weights and discount rate'!$A$1:$V$39, match($A39, 'Moral weights and discount rate'!$A$1:$A$39,0), match('Moral weights and discount rate'!$A$17, 'Moral weights and discount rate'!$A$1:$X$1,0))</f>
        <v>118.7325895</v>
      </c>
      <c r="W39" s="544">
        <f t="array" ref="W39">index('Moral weights and discount rate'!$A$1:$V$39, match($A39, 'Moral weights and discount rate'!$A$1:$A$39,0), match('Moral weights and discount rate'!$A$17, 'Moral weights and discount rate'!$A$1:$X$1,0))</f>
        <v>118.7325895</v>
      </c>
      <c r="X39" s="544">
        <f t="array" ref="X39">index('Moral weights and discount rate'!$A$1:$V$39, match($A39, 'Moral weights and discount rate'!$A$1:$A$39,0), match('Moral weights and discount rate'!$A$17, 'Moral weights and discount rate'!$A$1:$X$1,0))</f>
        <v>118.7325895</v>
      </c>
      <c r="Y39" s="544">
        <f t="array" ref="Y39">index('Moral weights and discount rate'!$A$1:$V$39, match($A39, 'Moral weights and discount rate'!$A$1:$A$39,0), match('Moral weights and discount rate'!$A$17, 'Moral weights and discount rate'!$A$1:$X$1,0))</f>
        <v>118.7325895</v>
      </c>
    </row>
    <row r="40">
      <c r="A40" s="400" t="s">
        <v>590</v>
      </c>
      <c r="B40" s="416">
        <f t="shared" ref="B40:Y40" si="12">B38*B39</f>
        <v>14633.24394</v>
      </c>
      <c r="C40" s="416">
        <f t="shared" si="12"/>
        <v>7448.51433</v>
      </c>
      <c r="D40" s="416">
        <f t="shared" si="12"/>
        <v>5887.725242</v>
      </c>
      <c r="E40" s="416">
        <f t="shared" si="12"/>
        <v>9003.041774</v>
      </c>
      <c r="F40" s="416">
        <f t="shared" si="12"/>
        <v>6678.274905</v>
      </c>
      <c r="G40" s="416">
        <f t="shared" si="12"/>
        <v>3045.184337</v>
      </c>
      <c r="H40" s="416">
        <f t="shared" si="12"/>
        <v>7810.326614</v>
      </c>
      <c r="I40" s="416">
        <f t="shared" si="12"/>
        <v>22196.20773</v>
      </c>
      <c r="J40" s="416">
        <f t="shared" si="12"/>
        <v>43231.75161</v>
      </c>
      <c r="K40" s="416">
        <f t="shared" si="12"/>
        <v>12258.04996</v>
      </c>
      <c r="L40" s="416">
        <f t="shared" si="12"/>
        <v>2704.921684</v>
      </c>
      <c r="M40" s="416">
        <f t="shared" si="12"/>
        <v>5615.654837</v>
      </c>
      <c r="N40" s="416">
        <f t="shared" si="12"/>
        <v>3542.01384</v>
      </c>
      <c r="O40" s="416">
        <f t="shared" si="12"/>
        <v>6974.290722</v>
      </c>
      <c r="P40" s="416">
        <f t="shared" si="12"/>
        <v>16413.49826</v>
      </c>
      <c r="Q40" s="416">
        <f t="shared" si="12"/>
        <v>1501.00868</v>
      </c>
      <c r="R40" s="416">
        <f t="shared" si="12"/>
        <v>3156.225782</v>
      </c>
      <c r="S40" s="416">
        <f t="shared" si="12"/>
        <v>7827.113153</v>
      </c>
      <c r="T40" s="416">
        <f t="shared" si="12"/>
        <v>2364.310549</v>
      </c>
      <c r="U40" s="416">
        <f t="shared" si="12"/>
        <v>1991.733901</v>
      </c>
      <c r="V40" s="416">
        <f t="shared" si="12"/>
        <v>2564.235028</v>
      </c>
      <c r="W40" s="416">
        <f t="shared" si="12"/>
        <v>2954.690601</v>
      </c>
      <c r="X40" s="416">
        <f t="shared" si="12"/>
        <v>1509.753373</v>
      </c>
      <c r="Y40" s="416">
        <f t="shared" si="12"/>
        <v>4566.929187</v>
      </c>
    </row>
    <row r="41">
      <c r="A41" s="291"/>
      <c r="B41" s="291"/>
      <c r="C41" s="291"/>
      <c r="D41" s="291"/>
      <c r="E41" s="291"/>
      <c r="F41" s="291"/>
      <c r="G41" s="291"/>
      <c r="H41" s="291"/>
      <c r="I41" s="291"/>
      <c r="J41" s="291"/>
      <c r="K41" s="291"/>
      <c r="L41" s="291"/>
      <c r="M41" s="291"/>
      <c r="N41" s="291"/>
      <c r="O41" s="291"/>
      <c r="P41" s="291"/>
      <c r="Q41" s="291"/>
      <c r="R41" s="291"/>
      <c r="S41" s="291"/>
      <c r="T41" s="291"/>
      <c r="U41" s="291"/>
      <c r="V41" s="291"/>
      <c r="W41" s="291"/>
      <c r="X41" s="291"/>
      <c r="Y41" s="291"/>
    </row>
    <row r="42">
      <c r="A42" s="160" t="s">
        <v>591</v>
      </c>
      <c r="B42" s="397"/>
      <c r="C42" s="397"/>
      <c r="D42" s="397"/>
      <c r="E42" s="397"/>
      <c r="F42" s="397"/>
      <c r="G42" s="397"/>
      <c r="H42" s="397"/>
      <c r="I42" s="397"/>
      <c r="J42" s="397"/>
      <c r="K42" s="397"/>
      <c r="L42" s="397"/>
      <c r="M42" s="397"/>
      <c r="N42" s="397"/>
      <c r="O42" s="397"/>
      <c r="P42" s="397"/>
      <c r="Q42" s="397"/>
      <c r="R42" s="397"/>
      <c r="S42" s="397"/>
      <c r="T42" s="397"/>
      <c r="U42" s="397"/>
      <c r="V42" s="397"/>
      <c r="W42" s="397"/>
      <c r="X42" s="397"/>
      <c r="Y42" s="397"/>
    </row>
    <row r="43">
      <c r="A43" s="55" t="s">
        <v>592</v>
      </c>
      <c r="B43" s="127">
        <v>0.465116279069767</v>
      </c>
      <c r="C43" s="127">
        <v>0.465116279069767</v>
      </c>
      <c r="D43" s="127">
        <v>0.465116279069767</v>
      </c>
      <c r="E43" s="127">
        <v>0.465116279069767</v>
      </c>
      <c r="F43" s="127">
        <v>0.465116279069767</v>
      </c>
      <c r="G43" s="127">
        <v>0.465116279069767</v>
      </c>
      <c r="H43" s="127">
        <v>0.465116279069767</v>
      </c>
      <c r="I43" s="127">
        <v>0.465116279069767</v>
      </c>
      <c r="J43" s="127">
        <v>0.465116279069767</v>
      </c>
      <c r="K43" s="127">
        <v>0.465116279069767</v>
      </c>
      <c r="L43" s="127">
        <v>0.465116279069767</v>
      </c>
      <c r="M43" s="127">
        <v>0.465116279069767</v>
      </c>
      <c r="N43" s="127">
        <v>0.465116279069767</v>
      </c>
      <c r="O43" s="127">
        <v>0.465116279069767</v>
      </c>
      <c r="P43" s="127">
        <v>0.465116279069767</v>
      </c>
      <c r="Q43" s="127">
        <v>0.465116279069767</v>
      </c>
      <c r="R43" s="127">
        <v>0.465116279069767</v>
      </c>
      <c r="S43" s="127">
        <v>0.465116279069767</v>
      </c>
      <c r="T43" s="127">
        <v>0.465116279069767</v>
      </c>
      <c r="U43" s="127">
        <v>0.465116279069767</v>
      </c>
      <c r="V43" s="127">
        <v>0.465116279069767</v>
      </c>
      <c r="W43" s="127">
        <v>0.465116279069767</v>
      </c>
      <c r="X43" s="127">
        <v>0.465116279069767</v>
      </c>
      <c r="Y43" s="127">
        <v>0.465116279069767</v>
      </c>
    </row>
    <row r="44">
      <c r="A44" s="55" t="s">
        <v>593</v>
      </c>
      <c r="B44" s="545">
        <f>AVERAGE('Malaria Consortium'!117:117)</f>
        <v>0.09034497921</v>
      </c>
      <c r="C44" s="545">
        <f>AVERAGE('Malaria Consortium'!117:117)</f>
        <v>0.09034497921</v>
      </c>
      <c r="D44" s="545">
        <f>AVERAGE('Malaria Consortium'!117:117)</f>
        <v>0.09034497921</v>
      </c>
      <c r="E44" s="545">
        <f>AVERAGE('Malaria Consortium'!117:117)</f>
        <v>0.09034497921</v>
      </c>
      <c r="F44" s="545">
        <f>AVERAGE('Malaria Consortium'!117:117)</f>
        <v>0.09034497921</v>
      </c>
      <c r="G44" s="545">
        <f>AVERAGE('Malaria Consortium'!117:117)</f>
        <v>0.09034497921</v>
      </c>
      <c r="H44" s="545">
        <f>AVERAGE('Malaria Consortium'!117:117)</f>
        <v>0.09034497921</v>
      </c>
      <c r="I44" s="545">
        <f>AVERAGE('Malaria Consortium'!117:117)</f>
        <v>0.09034497921</v>
      </c>
      <c r="J44" s="545">
        <f>AVERAGE('Malaria Consortium'!117:117)</f>
        <v>0.09034497921</v>
      </c>
      <c r="K44" s="545">
        <f>AVERAGE('Malaria Consortium'!117:117)</f>
        <v>0.09034497921</v>
      </c>
      <c r="L44" s="545">
        <f>AVERAGE('Malaria Consortium'!117:117)</f>
        <v>0.09034497921</v>
      </c>
      <c r="M44" s="545">
        <f>AVERAGE('Malaria Consortium'!117:117)</f>
        <v>0.09034497921</v>
      </c>
      <c r="N44" s="545">
        <f>AVERAGE('Malaria Consortium'!117:117)</f>
        <v>0.09034497921</v>
      </c>
      <c r="O44" s="545">
        <f>AVERAGE('Malaria Consortium'!117:117)</f>
        <v>0.09034497921</v>
      </c>
      <c r="P44" s="545">
        <f>AVERAGE('Malaria Consortium'!117:117)</f>
        <v>0.09034497921</v>
      </c>
      <c r="Q44" s="545">
        <f>AVERAGE('Malaria Consortium'!117:117)</f>
        <v>0.09034497921</v>
      </c>
      <c r="R44" s="545">
        <f>AVERAGE('Malaria Consortium'!117:117)</f>
        <v>0.09034497921</v>
      </c>
      <c r="S44" s="545">
        <f>AVERAGE('Malaria Consortium'!117:117)</f>
        <v>0.09034497921</v>
      </c>
      <c r="T44" s="545">
        <f>AVERAGE('Malaria Consortium'!117:117)</f>
        <v>0.09034497921</v>
      </c>
      <c r="U44" s="545">
        <f>AVERAGE('Malaria Consortium'!117:117)</f>
        <v>0.09034497921</v>
      </c>
      <c r="V44" s="545">
        <f>AVERAGE('Malaria Consortium'!117:117)</f>
        <v>0.09034497921</v>
      </c>
      <c r="W44" s="545">
        <f>AVERAGE('Malaria Consortium'!117:117)</f>
        <v>0.09034497921</v>
      </c>
      <c r="X44" s="545">
        <f>AVERAGE('Malaria Consortium'!117:117)</f>
        <v>0.09034497921</v>
      </c>
      <c r="Y44" s="545">
        <f>AVERAGE('Malaria Consortium'!117:117)</f>
        <v>0.09034497921</v>
      </c>
    </row>
    <row r="45">
      <c r="A45" s="55" t="s">
        <v>594</v>
      </c>
      <c r="B45" s="198">
        <f t="shared" ref="B45:Y45" si="13">B43*B44</f>
        <v>0.04202092056</v>
      </c>
      <c r="C45" s="198">
        <f t="shared" si="13"/>
        <v>0.04202092056</v>
      </c>
      <c r="D45" s="198">
        <f t="shared" si="13"/>
        <v>0.04202092056</v>
      </c>
      <c r="E45" s="198">
        <f t="shared" si="13"/>
        <v>0.04202092056</v>
      </c>
      <c r="F45" s="198">
        <f t="shared" si="13"/>
        <v>0.04202092056</v>
      </c>
      <c r="G45" s="198">
        <f t="shared" si="13"/>
        <v>0.04202092056</v>
      </c>
      <c r="H45" s="198">
        <f t="shared" si="13"/>
        <v>0.04202092056</v>
      </c>
      <c r="I45" s="198">
        <f t="shared" si="13"/>
        <v>0.04202092056</v>
      </c>
      <c r="J45" s="198">
        <f t="shared" si="13"/>
        <v>0.04202092056</v>
      </c>
      <c r="K45" s="198">
        <f t="shared" si="13"/>
        <v>0.04202092056</v>
      </c>
      <c r="L45" s="198">
        <f t="shared" si="13"/>
        <v>0.04202092056</v>
      </c>
      <c r="M45" s="198">
        <f t="shared" si="13"/>
        <v>0.04202092056</v>
      </c>
      <c r="N45" s="198">
        <f t="shared" si="13"/>
        <v>0.04202092056</v>
      </c>
      <c r="O45" s="198">
        <f t="shared" si="13"/>
        <v>0.04202092056</v>
      </c>
      <c r="P45" s="198">
        <f t="shared" si="13"/>
        <v>0.04202092056</v>
      </c>
      <c r="Q45" s="198">
        <f t="shared" si="13"/>
        <v>0.04202092056</v>
      </c>
      <c r="R45" s="198">
        <f t="shared" si="13"/>
        <v>0.04202092056</v>
      </c>
      <c r="S45" s="198">
        <f t="shared" si="13"/>
        <v>0.04202092056</v>
      </c>
      <c r="T45" s="198">
        <f t="shared" si="13"/>
        <v>0.04202092056</v>
      </c>
      <c r="U45" s="198">
        <f t="shared" si="13"/>
        <v>0.04202092056</v>
      </c>
      <c r="V45" s="198">
        <f t="shared" si="13"/>
        <v>0.04202092056</v>
      </c>
      <c r="W45" s="198">
        <f t="shared" si="13"/>
        <v>0.04202092056</v>
      </c>
      <c r="X45" s="198">
        <f t="shared" si="13"/>
        <v>0.04202092056</v>
      </c>
      <c r="Y45" s="198">
        <f t="shared" si="13"/>
        <v>0.04202092056</v>
      </c>
    </row>
    <row r="47">
      <c r="A47" s="84" t="s">
        <v>595</v>
      </c>
      <c r="B47" s="118">
        <f t="shared" ref="B47:Y47" si="14">B45*B20*B34*B37</f>
        <v>1058.458671</v>
      </c>
      <c r="C47" s="118">
        <f t="shared" si="14"/>
        <v>1127.197449</v>
      </c>
      <c r="D47" s="118">
        <f t="shared" si="14"/>
        <v>849.0988299</v>
      </c>
      <c r="E47" s="118">
        <f t="shared" si="14"/>
        <v>1573.441878</v>
      </c>
      <c r="F47" s="118">
        <f t="shared" si="14"/>
        <v>586.1183301</v>
      </c>
      <c r="G47" s="118">
        <f t="shared" si="14"/>
        <v>977.3237506</v>
      </c>
      <c r="H47" s="118">
        <f t="shared" si="14"/>
        <v>1496.754069</v>
      </c>
      <c r="I47" s="118">
        <f t="shared" si="14"/>
        <v>1593.751033</v>
      </c>
      <c r="J47" s="118">
        <f t="shared" si="14"/>
        <v>2867.939695</v>
      </c>
      <c r="K47" s="118">
        <f t="shared" si="14"/>
        <v>973.4699046</v>
      </c>
      <c r="L47" s="118">
        <f t="shared" si="14"/>
        <v>530.6554067</v>
      </c>
      <c r="M47" s="118">
        <f t="shared" si="14"/>
        <v>705.5100864</v>
      </c>
      <c r="N47" s="118">
        <f t="shared" si="14"/>
        <v>593.0813452</v>
      </c>
      <c r="O47" s="118">
        <f t="shared" si="14"/>
        <v>880.2001258</v>
      </c>
      <c r="P47" s="118">
        <f t="shared" si="14"/>
        <v>1199.162396</v>
      </c>
      <c r="Q47" s="118">
        <f t="shared" si="14"/>
        <v>412.041827</v>
      </c>
      <c r="R47" s="118">
        <f t="shared" si="14"/>
        <v>469.1136724</v>
      </c>
      <c r="S47" s="118">
        <f t="shared" si="14"/>
        <v>951.9210325</v>
      </c>
      <c r="T47" s="118">
        <f t="shared" si="14"/>
        <v>460.487433</v>
      </c>
      <c r="U47" s="118">
        <f t="shared" si="14"/>
        <v>558.3045013</v>
      </c>
      <c r="V47" s="118">
        <f t="shared" si="14"/>
        <v>588.8633365</v>
      </c>
      <c r="W47" s="118">
        <f t="shared" si="14"/>
        <v>558.4465119</v>
      </c>
      <c r="X47" s="118">
        <f t="shared" si="14"/>
        <v>461.4221445</v>
      </c>
      <c r="Y47" s="118">
        <f t="shared" si="14"/>
        <v>655.1045379</v>
      </c>
    </row>
    <row r="48">
      <c r="A48" s="91"/>
      <c r="B48" s="539"/>
      <c r="C48" s="296"/>
      <c r="D48" s="296"/>
      <c r="E48" s="296"/>
      <c r="F48" s="296"/>
      <c r="G48" s="296"/>
      <c r="H48" s="296"/>
      <c r="I48" s="296"/>
      <c r="J48" s="296"/>
      <c r="K48" s="296"/>
      <c r="L48" s="296"/>
      <c r="M48" s="296"/>
      <c r="N48" s="296"/>
      <c r="O48" s="296"/>
      <c r="P48" s="296"/>
      <c r="Q48" s="296"/>
      <c r="R48" s="296"/>
      <c r="S48" s="296"/>
      <c r="T48" s="296"/>
      <c r="U48" s="296"/>
      <c r="V48" s="296"/>
      <c r="W48" s="296"/>
      <c r="X48" s="296"/>
      <c r="Y48" s="296"/>
    </row>
    <row r="49">
      <c r="A49" s="160" t="s">
        <v>180</v>
      </c>
      <c r="B49" s="397"/>
      <c r="C49" s="397"/>
      <c r="D49" s="397"/>
      <c r="E49" s="397"/>
      <c r="F49" s="397"/>
      <c r="G49" s="397"/>
      <c r="H49" s="397"/>
      <c r="I49" s="397"/>
      <c r="J49" s="397"/>
      <c r="K49" s="397"/>
      <c r="L49" s="397"/>
      <c r="M49" s="397"/>
      <c r="N49" s="397"/>
      <c r="O49" s="397"/>
      <c r="P49" s="397"/>
      <c r="Q49" s="397"/>
      <c r="R49" s="397"/>
      <c r="S49" s="397"/>
      <c r="T49" s="397"/>
      <c r="U49" s="397"/>
      <c r="V49" s="397"/>
      <c r="W49" s="397"/>
      <c r="X49" s="397"/>
      <c r="Y49" s="397"/>
    </row>
    <row r="50">
      <c r="A50" s="77" t="s">
        <v>532</v>
      </c>
      <c r="B50" s="429">
        <f t="shared" ref="B50:Y50" si="15">B16/B38</f>
        <v>1882.295372</v>
      </c>
      <c r="C50" s="429">
        <f t="shared" si="15"/>
        <v>2489.369975</v>
      </c>
      <c r="D50" s="429">
        <f t="shared" si="15"/>
        <v>4327.58329</v>
      </c>
      <c r="E50" s="429">
        <f t="shared" si="15"/>
        <v>2830.112534</v>
      </c>
      <c r="F50" s="429">
        <f t="shared" si="15"/>
        <v>3216.354667</v>
      </c>
      <c r="G50" s="429">
        <f t="shared" si="15"/>
        <v>8367.185218</v>
      </c>
      <c r="H50" s="429">
        <f t="shared" si="15"/>
        <v>2540.823837</v>
      </c>
      <c r="I50" s="429">
        <f t="shared" si="15"/>
        <v>1236.9111</v>
      </c>
      <c r="J50" s="429">
        <f t="shared" si="15"/>
        <v>759.3359617</v>
      </c>
      <c r="K50" s="429">
        <f t="shared" si="15"/>
        <v>2078.603159</v>
      </c>
      <c r="L50" s="429">
        <f t="shared" si="15"/>
        <v>9419.726096</v>
      </c>
      <c r="M50" s="429">
        <f t="shared" si="15"/>
        <v>4537.248479</v>
      </c>
      <c r="N50" s="429">
        <f t="shared" si="15"/>
        <v>7193.540885</v>
      </c>
      <c r="O50" s="429">
        <f t="shared" si="15"/>
        <v>3653.363817</v>
      </c>
      <c r="P50" s="429">
        <f t="shared" si="15"/>
        <v>1552.357758</v>
      </c>
      <c r="Q50" s="429">
        <f t="shared" si="15"/>
        <v>16974.99935</v>
      </c>
      <c r="R50" s="429">
        <f t="shared" si="15"/>
        <v>8072.813267</v>
      </c>
      <c r="S50" s="429">
        <f t="shared" si="15"/>
        <v>3255.302545</v>
      </c>
      <c r="T50" s="429">
        <f t="shared" si="15"/>
        <v>10776.76593</v>
      </c>
      <c r="U50" s="429">
        <f t="shared" si="15"/>
        <v>12792.68348</v>
      </c>
      <c r="V50" s="429">
        <f t="shared" si="15"/>
        <v>9936.539004</v>
      </c>
      <c r="W50" s="429">
        <f t="shared" si="15"/>
        <v>8623.44821</v>
      </c>
      <c r="X50" s="429">
        <f t="shared" si="15"/>
        <v>16876.67789</v>
      </c>
      <c r="Y50" s="429">
        <f t="shared" si="15"/>
        <v>5579.158408</v>
      </c>
    </row>
    <row r="51">
      <c r="A51" s="77" t="s">
        <v>182</v>
      </c>
      <c r="B51" s="416">
        <f t="shared" ref="B51:Y51" si="16">sum(B40,B47)</f>
        <v>15691.70261</v>
      </c>
      <c r="C51" s="416">
        <f t="shared" si="16"/>
        <v>8575.711779</v>
      </c>
      <c r="D51" s="416">
        <f t="shared" si="16"/>
        <v>6736.824072</v>
      </c>
      <c r="E51" s="416">
        <f t="shared" si="16"/>
        <v>10576.48365</v>
      </c>
      <c r="F51" s="416">
        <f t="shared" si="16"/>
        <v>7264.393235</v>
      </c>
      <c r="G51" s="416">
        <f t="shared" si="16"/>
        <v>4022.508088</v>
      </c>
      <c r="H51" s="416">
        <f t="shared" si="16"/>
        <v>9307.080683</v>
      </c>
      <c r="I51" s="416">
        <f t="shared" si="16"/>
        <v>23789.95877</v>
      </c>
      <c r="J51" s="416">
        <f t="shared" si="16"/>
        <v>46099.6913</v>
      </c>
      <c r="K51" s="416">
        <f t="shared" si="16"/>
        <v>13231.51987</v>
      </c>
      <c r="L51" s="416">
        <f t="shared" si="16"/>
        <v>3235.57709</v>
      </c>
      <c r="M51" s="416">
        <f t="shared" si="16"/>
        <v>6321.164924</v>
      </c>
      <c r="N51" s="416">
        <f t="shared" si="16"/>
        <v>4135.095185</v>
      </c>
      <c r="O51" s="416">
        <f t="shared" si="16"/>
        <v>7854.490847</v>
      </c>
      <c r="P51" s="416">
        <f t="shared" si="16"/>
        <v>17612.66066</v>
      </c>
      <c r="Q51" s="416">
        <f t="shared" si="16"/>
        <v>1913.050507</v>
      </c>
      <c r="R51" s="416">
        <f t="shared" si="16"/>
        <v>3625.339455</v>
      </c>
      <c r="S51" s="416">
        <f t="shared" si="16"/>
        <v>8779.034186</v>
      </c>
      <c r="T51" s="416">
        <f t="shared" si="16"/>
        <v>2824.797982</v>
      </c>
      <c r="U51" s="416">
        <f t="shared" si="16"/>
        <v>2550.038402</v>
      </c>
      <c r="V51" s="416">
        <f t="shared" si="16"/>
        <v>3153.098365</v>
      </c>
      <c r="W51" s="416">
        <f t="shared" si="16"/>
        <v>3513.137113</v>
      </c>
      <c r="X51" s="416">
        <f t="shared" si="16"/>
        <v>1971.175518</v>
      </c>
      <c r="Y51" s="416">
        <f t="shared" si="16"/>
        <v>5222.033725</v>
      </c>
    </row>
    <row r="52">
      <c r="A52" s="202" t="s">
        <v>183</v>
      </c>
      <c r="B52" s="326">
        <f t="shared" ref="B52:Y52" si="17">B51/B16</f>
        <v>0.06764124954</v>
      </c>
      <c r="C52" s="326">
        <f t="shared" si="17"/>
        <v>0.05491373853</v>
      </c>
      <c r="D52" s="326">
        <f t="shared" si="17"/>
        <v>0.03139295344</v>
      </c>
      <c r="E52" s="326">
        <f t="shared" si="17"/>
        <v>0.04928539847</v>
      </c>
      <c r="F52" s="326">
        <f t="shared" si="17"/>
        <v>0.04015513223</v>
      </c>
      <c r="G52" s="326">
        <f t="shared" si="17"/>
        <v>0.01874450153</v>
      </c>
      <c r="H52" s="326">
        <f t="shared" si="17"/>
        <v>0.05568518513</v>
      </c>
      <c r="I52" s="326">
        <f t="shared" si="17"/>
        <v>0.1028836496</v>
      </c>
      <c r="J52" s="326">
        <f t="shared" si="17"/>
        <v>0.1667366827</v>
      </c>
      <c r="K52" s="326">
        <f t="shared" si="17"/>
        <v>0.06165761236</v>
      </c>
      <c r="L52" s="326">
        <f t="shared" si="17"/>
        <v>0.01507747863</v>
      </c>
      <c r="M52" s="326">
        <f t="shared" si="17"/>
        <v>0.02945602171</v>
      </c>
      <c r="N52" s="326">
        <f t="shared" si="17"/>
        <v>0.01926914659</v>
      </c>
      <c r="O52" s="326">
        <f t="shared" si="17"/>
        <v>0.03660117332</v>
      </c>
      <c r="P52" s="326">
        <f t="shared" si="17"/>
        <v>0.08207330786</v>
      </c>
      <c r="Q52" s="326">
        <f t="shared" si="17"/>
        <v>0.008914631709</v>
      </c>
      <c r="R52" s="326">
        <f t="shared" si="17"/>
        <v>0.01689373383</v>
      </c>
      <c r="S52" s="326">
        <f t="shared" si="17"/>
        <v>0.04090945652</v>
      </c>
      <c r="T52" s="326">
        <f t="shared" si="17"/>
        <v>0.01316328742</v>
      </c>
      <c r="U52" s="326">
        <f t="shared" si="17"/>
        <v>0.01188293415</v>
      </c>
      <c r="V52" s="326">
        <f t="shared" si="17"/>
        <v>0.01469313568</v>
      </c>
      <c r="W52" s="326">
        <f t="shared" si="17"/>
        <v>0.01637088168</v>
      </c>
      <c r="X52" s="326">
        <f t="shared" si="17"/>
        <v>0.00918548868</v>
      </c>
      <c r="Y52" s="326">
        <f t="shared" si="17"/>
        <v>0.02433417584</v>
      </c>
    </row>
    <row r="53">
      <c r="A53" s="204"/>
      <c r="B53" s="539"/>
      <c r="C53" s="296"/>
      <c r="D53" s="296"/>
      <c r="E53" s="296"/>
      <c r="F53" s="296"/>
      <c r="G53" s="296"/>
      <c r="H53" s="296"/>
      <c r="I53" s="296"/>
      <c r="J53" s="296"/>
      <c r="K53" s="296"/>
      <c r="L53" s="296"/>
      <c r="M53" s="296"/>
      <c r="N53" s="296"/>
      <c r="O53" s="296"/>
      <c r="P53" s="296"/>
      <c r="Q53" s="296"/>
      <c r="R53" s="296"/>
      <c r="S53" s="296"/>
      <c r="T53" s="296"/>
      <c r="U53" s="296"/>
      <c r="V53" s="296"/>
      <c r="W53" s="296"/>
      <c r="X53" s="296"/>
      <c r="Y53" s="296"/>
    </row>
    <row r="54">
      <c r="A54" s="204" t="s">
        <v>184</v>
      </c>
      <c r="B54" s="522">
        <f t="array" ref="B54">B52/index(GiveDirectly!$B:$B,match("Units of value generated per philanthropic dollar spent, after accounting for all adjustments",GiveDirectly!$A:$A,0))</f>
        <v>20.16412734</v>
      </c>
      <c r="C54" s="522">
        <f t="array" ref="C54">C52/index(GiveDirectly!$B:$B,match("Units of value generated per philanthropic dollar spent, after accounting for all adjustments",GiveDirectly!$A:$A,0))</f>
        <v>16.37000535</v>
      </c>
      <c r="D54" s="522">
        <f t="array" ref="D54">D52/index(GiveDirectly!$B:$B,match("Units of value generated per philanthropic dollar spent, after accounting for all adjustments",GiveDirectly!$A:$A,0))</f>
        <v>9.358365127</v>
      </c>
      <c r="E54" s="522">
        <f t="array" ref="E54">E52/index(GiveDirectly!$B:$B,match("Units of value generated per philanthropic dollar spent, after accounting for all adjustments",GiveDirectly!$A:$A,0))</f>
        <v>14.69217464</v>
      </c>
      <c r="F54" s="522">
        <f t="array" ref="F54">F52/index(GiveDirectly!$B:$B,match("Units of value generated per philanthropic dollar spent, after accounting for all adjustments",GiveDirectly!$A:$A,0))</f>
        <v>11.97040571</v>
      </c>
      <c r="G54" s="522">
        <f t="array" ref="G54">G52/index(GiveDirectly!$B:$B,match("Units of value generated per philanthropic dollar spent, after accounting for all adjustments",GiveDirectly!$A:$A,0))</f>
        <v>5.587810964</v>
      </c>
      <c r="H54" s="522">
        <f t="array" ref="H54">H52/index(GiveDirectly!$B:$B,match("Units of value generated per philanthropic dollar spent, after accounting for all adjustments",GiveDirectly!$A:$A,0))</f>
        <v>16.59997667</v>
      </c>
      <c r="I54" s="522">
        <f t="array" ref="I54">I52/index(GiveDirectly!$B:$B,match("Units of value generated per philanthropic dollar spent, after accounting for all adjustments",GiveDirectly!$A:$A,0))</f>
        <v>30.67002793</v>
      </c>
      <c r="J54" s="522">
        <f t="array" ref="J54">J52/index(GiveDirectly!$B:$B,match("Units of value generated per philanthropic dollar spent, after accounting for all adjustments",GiveDirectly!$A:$A,0))</f>
        <v>49.70487277</v>
      </c>
      <c r="K54" s="522">
        <f t="array" ref="K54">K52/index(GiveDirectly!$B:$B,match("Units of value generated per philanthropic dollar spent, after accounting for all adjustments",GiveDirectly!$A:$A,0))</f>
        <v>18.38038114</v>
      </c>
      <c r="L54" s="522">
        <f t="array" ref="L54">L52/index(GiveDirectly!$B:$B,match("Units of value generated per philanthropic dollar spent, after accounting for all adjustments",GiveDirectly!$A:$A,0))</f>
        <v>4.494656753</v>
      </c>
      <c r="M54" s="522">
        <f t="array" ref="M54">M52/index(GiveDirectly!$B:$B,match("Units of value generated per philanthropic dollar spent, after accounting for all adjustments",GiveDirectly!$A:$A,0))</f>
        <v>8.780958023</v>
      </c>
      <c r="N54" s="522">
        <f t="array" ref="N54">N52/index(GiveDirectly!$B:$B,match("Units of value generated per philanthropic dollar spent, after accounting for all adjustments",GiveDirectly!$A:$A,0))</f>
        <v>5.744209758</v>
      </c>
      <c r="O54" s="522">
        <f t="array" ref="O54">O52/index(GiveDirectly!$B:$B,match("Units of value generated per philanthropic dollar spent, after accounting for all adjustments",GiveDirectly!$A:$A,0))</f>
        <v>10.91095633</v>
      </c>
      <c r="P54" s="522">
        <f t="array" ref="P54">P52/index(GiveDirectly!$B:$B,match("Units of value generated per philanthropic dollar spent, after accounting for all adjustments",GiveDirectly!$A:$A,0))</f>
        <v>24.46638172</v>
      </c>
      <c r="Q54" s="522">
        <f t="array" ref="Q54">Q52/index(GiveDirectly!$B:$B,match("Units of value generated per philanthropic dollar spent, after accounting for all adjustments",GiveDirectly!$A:$A,0))</f>
        <v>2.657487409</v>
      </c>
      <c r="R54" s="522">
        <f t="array" ref="R54">R52/index(GiveDirectly!$B:$B,match("Units of value generated per philanthropic dollar spent, after accounting for all adjustments",GiveDirectly!$A:$A,0))</f>
        <v>5.036089701</v>
      </c>
      <c r="S54" s="522">
        <f t="array" ref="S54">S52/index(GiveDirectly!$B:$B,match("Units of value generated per philanthropic dollar spent, after accounting for all adjustments",GiveDirectly!$A:$A,0))</f>
        <v>12.1952728</v>
      </c>
      <c r="T54" s="522">
        <f t="array" ref="T54">T52/index(GiveDirectly!$B:$B,match("Units of value generated per philanthropic dollar spent, after accounting for all adjustments",GiveDirectly!$A:$A,0))</f>
        <v>3.924028688</v>
      </c>
      <c r="U54" s="522">
        <f t="array" ref="U54">U52/index(GiveDirectly!$B:$B,match("Units of value generated per philanthropic dollar spent, after accounting for all adjustments",GiveDirectly!$A:$A,0))</f>
        <v>3.542350253</v>
      </c>
      <c r="V54" s="522">
        <f t="array" ref="V54">V52/index(GiveDirectly!$B:$B,match("Units of value generated per philanthropic dollar spent, after accounting for all adjustments",GiveDirectly!$A:$A,0))</f>
        <v>4.380082582</v>
      </c>
      <c r="W54" s="522">
        <f t="array" ref="W54">W52/index(GiveDirectly!$B:$B,match("Units of value generated per philanthropic dollar spent, after accounting for all adjustments",GiveDirectly!$A:$A,0))</f>
        <v>4.880225384</v>
      </c>
      <c r="X54" s="522">
        <f t="array" ref="X54">X52/index(GiveDirectly!$B:$B,match("Units of value generated per philanthropic dollar spent, after accounting for all adjustments",GiveDirectly!$A:$A,0))</f>
        <v>2.738230957</v>
      </c>
      <c r="Y54" s="522">
        <f t="array" ref="Y54">Y52/index(GiveDirectly!$B:$B,match("Units of value generated per philanthropic dollar spent, after accounting for all adjustments",GiveDirectly!$A:$A,0))</f>
        <v>7.254115259</v>
      </c>
    </row>
    <row r="55">
      <c r="A55" s="91"/>
      <c r="B55" s="539"/>
      <c r="C55" s="296"/>
      <c r="D55" s="296"/>
      <c r="E55" s="296"/>
      <c r="F55" s="296"/>
      <c r="G55" s="296"/>
      <c r="H55" s="296"/>
      <c r="I55" s="296"/>
      <c r="J55" s="296"/>
      <c r="K55" s="296"/>
      <c r="L55" s="296"/>
      <c r="M55" s="296"/>
      <c r="N55" s="296"/>
      <c r="O55" s="296"/>
      <c r="P55" s="296"/>
      <c r="Q55" s="296"/>
      <c r="R55" s="296"/>
      <c r="S55" s="296"/>
      <c r="T55" s="296"/>
      <c r="U55" s="296"/>
      <c r="V55" s="296"/>
      <c r="W55" s="296"/>
      <c r="X55" s="296"/>
      <c r="Y55" s="296"/>
    </row>
    <row r="56">
      <c r="A56" s="240" t="s">
        <v>596</v>
      </c>
      <c r="B56" s="296">
        <f t="shared" ref="B56:Y56" si="18">B40/B51</f>
        <v>0.9325466014</v>
      </c>
      <c r="C56" s="296">
        <f t="shared" si="18"/>
        <v>0.8685593129</v>
      </c>
      <c r="D56" s="296">
        <f t="shared" si="18"/>
        <v>0.873961555</v>
      </c>
      <c r="E56" s="296">
        <f t="shared" si="18"/>
        <v>0.8512320418</v>
      </c>
      <c r="F56" s="296">
        <f t="shared" si="18"/>
        <v>0.9193162717</v>
      </c>
      <c r="G56" s="296">
        <f t="shared" si="18"/>
        <v>0.7570362248</v>
      </c>
      <c r="H56" s="296">
        <f t="shared" si="18"/>
        <v>0.8391811439</v>
      </c>
      <c r="I56" s="296">
        <f t="shared" si="18"/>
        <v>0.9330074067</v>
      </c>
      <c r="J56" s="296">
        <f t="shared" si="18"/>
        <v>0.9377883102</v>
      </c>
      <c r="K56" s="296">
        <f t="shared" si="18"/>
        <v>0.9264279603</v>
      </c>
      <c r="L56" s="296">
        <f t="shared" si="18"/>
        <v>0.8359935826</v>
      </c>
      <c r="M56" s="296">
        <f t="shared" si="18"/>
        <v>0.8883892297</v>
      </c>
      <c r="N56" s="296">
        <f t="shared" si="18"/>
        <v>0.8565737138</v>
      </c>
      <c r="O56" s="296">
        <f t="shared" si="18"/>
        <v>0.8879367049</v>
      </c>
      <c r="P56" s="296">
        <f t="shared" si="18"/>
        <v>0.9319147505</v>
      </c>
      <c r="Q56" s="296">
        <f t="shared" si="18"/>
        <v>0.7846152909</v>
      </c>
      <c r="R56" s="296">
        <f t="shared" si="18"/>
        <v>0.870601449</v>
      </c>
      <c r="S56" s="296">
        <f t="shared" si="18"/>
        <v>0.8915688204</v>
      </c>
      <c r="T56" s="296">
        <f t="shared" si="18"/>
        <v>0.8369839415</v>
      </c>
      <c r="U56" s="296">
        <f t="shared" si="18"/>
        <v>0.7810603554</v>
      </c>
      <c r="V56" s="296">
        <f t="shared" si="18"/>
        <v>0.8132429539</v>
      </c>
      <c r="W56" s="296">
        <f t="shared" si="18"/>
        <v>0.841040502</v>
      </c>
      <c r="X56" s="296">
        <f t="shared" si="18"/>
        <v>0.7659152418</v>
      </c>
      <c r="Y56" s="296">
        <f t="shared" si="18"/>
        <v>0.874549922</v>
      </c>
    </row>
    <row r="57">
      <c r="A57" s="77" t="s">
        <v>187</v>
      </c>
      <c r="B57" s="296">
        <f t="shared" ref="B57:Y57" si="19">B47/B51</f>
        <v>0.06745339861</v>
      </c>
      <c r="C57" s="296">
        <f t="shared" si="19"/>
        <v>0.1314406871</v>
      </c>
      <c r="D57" s="296">
        <f t="shared" si="19"/>
        <v>0.126038445</v>
      </c>
      <c r="E57" s="296">
        <f t="shared" si="19"/>
        <v>0.1487679582</v>
      </c>
      <c r="F57" s="296">
        <f t="shared" si="19"/>
        <v>0.08068372831</v>
      </c>
      <c r="G57" s="296">
        <f t="shared" si="19"/>
        <v>0.2429637752</v>
      </c>
      <c r="H57" s="296">
        <f t="shared" si="19"/>
        <v>0.1608188561</v>
      </c>
      <c r="I57" s="296">
        <f t="shared" si="19"/>
        <v>0.06699259332</v>
      </c>
      <c r="J57" s="296">
        <f t="shared" si="19"/>
        <v>0.0622116898</v>
      </c>
      <c r="K57" s="296">
        <f t="shared" si="19"/>
        <v>0.07357203967</v>
      </c>
      <c r="L57" s="296">
        <f t="shared" si="19"/>
        <v>0.1640064174</v>
      </c>
      <c r="M57" s="296">
        <f t="shared" si="19"/>
        <v>0.1116107703</v>
      </c>
      <c r="N57" s="296">
        <f t="shared" si="19"/>
        <v>0.1434262862</v>
      </c>
      <c r="O57" s="296">
        <f t="shared" si="19"/>
        <v>0.1120632951</v>
      </c>
      <c r="P57" s="296">
        <f t="shared" si="19"/>
        <v>0.06808524952</v>
      </c>
      <c r="Q57" s="296">
        <f t="shared" si="19"/>
        <v>0.2153847091</v>
      </c>
      <c r="R57" s="296">
        <f t="shared" si="19"/>
        <v>0.129398551</v>
      </c>
      <c r="S57" s="296">
        <f t="shared" si="19"/>
        <v>0.1084311796</v>
      </c>
      <c r="T57" s="296">
        <f t="shared" si="19"/>
        <v>0.1630160585</v>
      </c>
      <c r="U57" s="296">
        <f t="shared" si="19"/>
        <v>0.2189396446</v>
      </c>
      <c r="V57" s="296">
        <f t="shared" si="19"/>
        <v>0.1867570461</v>
      </c>
      <c r="W57" s="296">
        <f t="shared" si="19"/>
        <v>0.158959498</v>
      </c>
      <c r="X57" s="296">
        <f t="shared" si="19"/>
        <v>0.2340847582</v>
      </c>
      <c r="Y57" s="296">
        <f t="shared" si="19"/>
        <v>0.125450078</v>
      </c>
    </row>
    <row r="58">
      <c r="A58" s="91"/>
      <c r="B58" s="296"/>
      <c r="C58" s="296"/>
      <c r="D58" s="296"/>
      <c r="E58" s="296"/>
      <c r="F58" s="296"/>
      <c r="G58" s="296"/>
      <c r="H58" s="296"/>
      <c r="I58" s="296"/>
      <c r="J58" s="296"/>
      <c r="K58" s="296"/>
      <c r="L58" s="296"/>
      <c r="M58" s="296"/>
      <c r="N58" s="296"/>
      <c r="O58" s="296"/>
      <c r="P58" s="296"/>
      <c r="Q58" s="296"/>
      <c r="R58" s="296"/>
      <c r="S58" s="296"/>
      <c r="T58" s="296"/>
      <c r="U58" s="296"/>
      <c r="V58" s="296"/>
      <c r="W58" s="296"/>
      <c r="X58" s="296"/>
      <c r="Y58" s="296"/>
    </row>
    <row r="59">
      <c r="A59" s="160" t="s">
        <v>597</v>
      </c>
      <c r="B59" s="208"/>
      <c r="C59" s="208"/>
      <c r="D59" s="208"/>
      <c r="E59" s="208"/>
      <c r="F59" s="208"/>
      <c r="G59" s="208"/>
      <c r="H59" s="208"/>
      <c r="I59" s="208"/>
      <c r="J59" s="208"/>
      <c r="K59" s="208"/>
      <c r="L59" s="208"/>
      <c r="M59" s="208"/>
      <c r="N59" s="208"/>
      <c r="O59" s="208"/>
      <c r="P59" s="208"/>
      <c r="Q59" s="208"/>
      <c r="R59" s="208"/>
      <c r="S59" s="208"/>
      <c r="T59" s="208"/>
      <c r="U59" s="208"/>
      <c r="V59" s="208"/>
      <c r="W59" s="208"/>
      <c r="X59" s="208"/>
      <c r="Y59" s="208"/>
    </row>
    <row r="60" outlineLevel="1">
      <c r="A60" s="209"/>
      <c r="B60" s="291"/>
      <c r="C60" s="291"/>
      <c r="D60" s="291"/>
      <c r="E60" s="291"/>
      <c r="F60" s="291"/>
      <c r="G60" s="291"/>
      <c r="H60" s="291"/>
      <c r="I60" s="291"/>
      <c r="J60" s="291"/>
      <c r="K60" s="291"/>
      <c r="L60" s="291"/>
      <c r="M60" s="291"/>
      <c r="N60" s="291"/>
      <c r="O60" s="291"/>
      <c r="P60" s="291"/>
      <c r="Q60" s="291"/>
      <c r="R60" s="291"/>
      <c r="S60" s="291"/>
      <c r="T60" s="291"/>
      <c r="U60" s="291"/>
      <c r="V60" s="291"/>
      <c r="W60" s="291"/>
      <c r="X60" s="291"/>
      <c r="Y60" s="291"/>
    </row>
    <row r="61" outlineLevel="1">
      <c r="A61" s="178" t="s">
        <v>189</v>
      </c>
      <c r="B61" s="291"/>
      <c r="C61" s="291"/>
      <c r="D61" s="291"/>
      <c r="E61" s="291"/>
      <c r="F61" s="291"/>
      <c r="G61" s="291"/>
      <c r="H61" s="291"/>
      <c r="I61" s="291"/>
      <c r="J61" s="291"/>
      <c r="K61" s="291"/>
      <c r="L61" s="291"/>
      <c r="M61" s="291"/>
      <c r="N61" s="291"/>
      <c r="O61" s="291"/>
      <c r="P61" s="291"/>
      <c r="Q61" s="291"/>
      <c r="R61" s="291"/>
      <c r="S61" s="291"/>
      <c r="T61" s="291"/>
      <c r="U61" s="291"/>
      <c r="V61" s="291"/>
      <c r="W61" s="291"/>
      <c r="X61" s="291"/>
      <c r="Y61" s="291"/>
    </row>
    <row r="62" outlineLevel="1">
      <c r="A62" s="176" t="s">
        <v>190</v>
      </c>
      <c r="B62" s="92">
        <v>0.25</v>
      </c>
      <c r="C62" s="92">
        <v>0.25</v>
      </c>
      <c r="D62" s="92">
        <v>0.25</v>
      </c>
      <c r="E62" s="92">
        <v>0.25</v>
      </c>
      <c r="F62" s="92">
        <v>0.25</v>
      </c>
      <c r="G62" s="92">
        <v>0.25</v>
      </c>
      <c r="H62" s="92">
        <v>0.44</v>
      </c>
      <c r="I62" s="92">
        <v>0.25</v>
      </c>
      <c r="J62" s="92">
        <v>0.25</v>
      </c>
      <c r="K62" s="92">
        <v>0.25</v>
      </c>
      <c r="L62" s="92">
        <v>0.25</v>
      </c>
      <c r="M62" s="92">
        <v>0.25</v>
      </c>
      <c r="N62" s="92">
        <v>0.25</v>
      </c>
      <c r="O62" s="92">
        <v>0.25</v>
      </c>
      <c r="P62" s="92">
        <v>0.25</v>
      </c>
      <c r="Q62" s="92">
        <v>0.25</v>
      </c>
      <c r="R62" s="92">
        <v>0.25</v>
      </c>
      <c r="S62" s="92">
        <v>0.25</v>
      </c>
      <c r="T62" s="92">
        <v>0.25</v>
      </c>
      <c r="U62" s="92">
        <v>0.25</v>
      </c>
      <c r="V62" s="92">
        <v>0.25</v>
      </c>
      <c r="W62" s="92">
        <v>0.25</v>
      </c>
      <c r="X62" s="92">
        <v>0.25</v>
      </c>
      <c r="Y62" s="92">
        <v>0.25</v>
      </c>
    </row>
    <row r="63" outlineLevel="1">
      <c r="A63" s="176" t="s">
        <v>191</v>
      </c>
      <c r="B63" s="127">
        <v>0.0</v>
      </c>
      <c r="C63" s="127">
        <v>0.0</v>
      </c>
      <c r="D63" s="127">
        <v>0.0</v>
      </c>
      <c r="E63" s="127">
        <v>0.0</v>
      </c>
      <c r="F63" s="127">
        <v>0.0</v>
      </c>
      <c r="G63" s="127">
        <v>0.0</v>
      </c>
      <c r="H63" s="127">
        <v>0.0</v>
      </c>
      <c r="I63" s="127">
        <v>0.0</v>
      </c>
      <c r="J63" s="127">
        <v>0.0</v>
      </c>
      <c r="K63" s="127">
        <v>0.0</v>
      </c>
      <c r="L63" s="127">
        <v>0.0</v>
      </c>
      <c r="M63" s="127">
        <v>0.0</v>
      </c>
      <c r="N63" s="127">
        <v>0.0</v>
      </c>
      <c r="O63" s="127">
        <v>0.0</v>
      </c>
      <c r="P63" s="127">
        <v>0.0</v>
      </c>
      <c r="Q63" s="127">
        <v>0.0</v>
      </c>
      <c r="R63" s="127">
        <v>0.0</v>
      </c>
      <c r="S63" s="127">
        <v>0.0</v>
      </c>
      <c r="T63" s="127">
        <v>0.0</v>
      </c>
      <c r="U63" s="127">
        <v>0.0</v>
      </c>
      <c r="V63" s="127">
        <v>0.0</v>
      </c>
      <c r="W63" s="127">
        <v>0.0</v>
      </c>
      <c r="X63" s="127">
        <v>0.0</v>
      </c>
      <c r="Y63" s="127">
        <v>0.0</v>
      </c>
    </row>
    <row r="64" outlineLevel="1">
      <c r="A64" s="176" t="s">
        <v>192</v>
      </c>
      <c r="B64" s="214">
        <v>0.0</v>
      </c>
      <c r="C64" s="214">
        <v>0.0</v>
      </c>
      <c r="D64" s="214">
        <v>0.0</v>
      </c>
      <c r="E64" s="214">
        <v>0.0</v>
      </c>
      <c r="F64" s="214">
        <v>0.0</v>
      </c>
      <c r="G64" s="214">
        <v>0.0</v>
      </c>
      <c r="H64" s="214">
        <v>0.0</v>
      </c>
      <c r="I64" s="214">
        <v>0.0</v>
      </c>
      <c r="J64" s="214">
        <v>0.0</v>
      </c>
      <c r="K64" s="214">
        <v>0.0</v>
      </c>
      <c r="L64" s="214">
        <v>0.0</v>
      </c>
      <c r="M64" s="214">
        <v>0.0</v>
      </c>
      <c r="N64" s="214">
        <v>0.0</v>
      </c>
      <c r="O64" s="214">
        <v>0.0</v>
      </c>
      <c r="P64" s="214">
        <v>0.0</v>
      </c>
      <c r="Q64" s="214">
        <v>0.0</v>
      </c>
      <c r="R64" s="214">
        <v>0.0</v>
      </c>
      <c r="S64" s="214">
        <v>0.0</v>
      </c>
      <c r="T64" s="214">
        <v>0.0</v>
      </c>
      <c r="U64" s="214">
        <v>0.0</v>
      </c>
      <c r="V64" s="214">
        <v>0.0</v>
      </c>
      <c r="W64" s="214">
        <v>0.0</v>
      </c>
      <c r="X64" s="214">
        <v>0.0</v>
      </c>
      <c r="Y64" s="214">
        <v>0.0</v>
      </c>
    </row>
    <row r="65" outlineLevel="1">
      <c r="A65" s="215" t="s">
        <v>193</v>
      </c>
      <c r="B65" s="217">
        <f t="shared" ref="B65:Y65" si="20">SUM(B62:B64)</f>
        <v>0.25</v>
      </c>
      <c r="C65" s="217">
        <f t="shared" si="20"/>
        <v>0.25</v>
      </c>
      <c r="D65" s="217">
        <f t="shared" si="20"/>
        <v>0.25</v>
      </c>
      <c r="E65" s="217">
        <f t="shared" si="20"/>
        <v>0.25</v>
      </c>
      <c r="F65" s="217">
        <f t="shared" si="20"/>
        <v>0.25</v>
      </c>
      <c r="G65" s="217">
        <f t="shared" si="20"/>
        <v>0.25</v>
      </c>
      <c r="H65" s="217">
        <f t="shared" si="20"/>
        <v>0.44</v>
      </c>
      <c r="I65" s="217">
        <f t="shared" si="20"/>
        <v>0.25</v>
      </c>
      <c r="J65" s="217">
        <f t="shared" si="20"/>
        <v>0.25</v>
      </c>
      <c r="K65" s="217">
        <f t="shared" si="20"/>
        <v>0.25</v>
      </c>
      <c r="L65" s="217">
        <f t="shared" si="20"/>
        <v>0.25</v>
      </c>
      <c r="M65" s="217">
        <f t="shared" si="20"/>
        <v>0.25</v>
      </c>
      <c r="N65" s="217">
        <f t="shared" si="20"/>
        <v>0.25</v>
      </c>
      <c r="O65" s="217">
        <f t="shared" si="20"/>
        <v>0.25</v>
      </c>
      <c r="P65" s="217">
        <f t="shared" si="20"/>
        <v>0.25</v>
      </c>
      <c r="Q65" s="217">
        <f t="shared" si="20"/>
        <v>0.25</v>
      </c>
      <c r="R65" s="217">
        <f t="shared" si="20"/>
        <v>0.25</v>
      </c>
      <c r="S65" s="217">
        <f t="shared" si="20"/>
        <v>0.25</v>
      </c>
      <c r="T65" s="217">
        <f t="shared" si="20"/>
        <v>0.25</v>
      </c>
      <c r="U65" s="217">
        <f t="shared" si="20"/>
        <v>0.25</v>
      </c>
      <c r="V65" s="217">
        <f t="shared" si="20"/>
        <v>0.25</v>
      </c>
      <c r="W65" s="217">
        <f t="shared" si="20"/>
        <v>0.25</v>
      </c>
      <c r="X65" s="217">
        <f t="shared" si="20"/>
        <v>0.25</v>
      </c>
      <c r="Y65" s="217">
        <f t="shared" si="20"/>
        <v>0.25</v>
      </c>
    </row>
    <row r="66" outlineLevel="1">
      <c r="A66" s="176"/>
      <c r="B66" s="210"/>
      <c r="C66" s="210"/>
      <c r="D66" s="210"/>
      <c r="E66" s="210"/>
      <c r="F66" s="210"/>
      <c r="G66" s="210"/>
      <c r="H66" s="210"/>
      <c r="I66" s="210"/>
      <c r="J66" s="210"/>
      <c r="K66" s="210"/>
      <c r="L66" s="210"/>
      <c r="M66" s="210"/>
      <c r="N66" s="210"/>
      <c r="O66" s="210"/>
      <c r="P66" s="210"/>
      <c r="Q66" s="210"/>
      <c r="R66" s="210"/>
      <c r="S66" s="210"/>
      <c r="T66" s="210"/>
      <c r="U66" s="210"/>
      <c r="V66" s="210"/>
      <c r="W66" s="210"/>
      <c r="X66" s="210"/>
      <c r="Y66" s="210"/>
    </row>
    <row r="67" outlineLevel="1">
      <c r="A67" s="178" t="s">
        <v>194</v>
      </c>
      <c r="B67" s="210"/>
      <c r="C67" s="210"/>
      <c r="D67" s="210"/>
      <c r="E67" s="210"/>
      <c r="F67" s="210"/>
      <c r="G67" s="210"/>
      <c r="H67" s="210"/>
      <c r="I67" s="210"/>
      <c r="J67" s="210"/>
      <c r="K67" s="210"/>
      <c r="L67" s="210"/>
      <c r="M67" s="210"/>
      <c r="N67" s="210"/>
      <c r="O67" s="210"/>
      <c r="P67" s="210"/>
      <c r="Q67" s="210"/>
      <c r="R67" s="210"/>
      <c r="S67" s="210"/>
      <c r="T67" s="210"/>
      <c r="U67" s="210"/>
      <c r="V67" s="210"/>
      <c r="W67" s="210"/>
      <c r="X67" s="210"/>
      <c r="Y67" s="210"/>
    </row>
    <row r="68" outlineLevel="1">
      <c r="A68" s="176" t="s">
        <v>195</v>
      </c>
      <c r="B68" s="92">
        <v>0.15</v>
      </c>
      <c r="C68" s="92">
        <v>0.15</v>
      </c>
      <c r="D68" s="92">
        <v>0.15</v>
      </c>
      <c r="E68" s="92">
        <v>0.15</v>
      </c>
      <c r="F68" s="92">
        <v>0.15</v>
      </c>
      <c r="G68" s="92">
        <v>0.15</v>
      </c>
      <c r="H68" s="127">
        <v>0.15</v>
      </c>
      <c r="I68" s="92">
        <v>0.15</v>
      </c>
      <c r="J68" s="92">
        <v>0.15</v>
      </c>
      <c r="K68" s="92">
        <v>0.15</v>
      </c>
      <c r="L68" s="92">
        <v>0.15</v>
      </c>
      <c r="M68" s="92">
        <v>0.15</v>
      </c>
      <c r="N68" s="92">
        <v>0.15</v>
      </c>
      <c r="O68" s="92">
        <v>0.15</v>
      </c>
      <c r="P68" s="92">
        <v>0.15</v>
      </c>
      <c r="Q68" s="92">
        <v>0.15</v>
      </c>
      <c r="R68" s="92">
        <v>0.15</v>
      </c>
      <c r="S68" s="92">
        <v>0.15</v>
      </c>
      <c r="T68" s="92">
        <v>0.15</v>
      </c>
      <c r="U68" s="92">
        <v>0.15</v>
      </c>
      <c r="V68" s="92">
        <v>0.15</v>
      </c>
      <c r="W68" s="92">
        <v>0.15</v>
      </c>
      <c r="X68" s="92">
        <v>0.15</v>
      </c>
      <c r="Y68" s="92">
        <v>0.15</v>
      </c>
    </row>
    <row r="69" outlineLevel="1">
      <c r="A69" s="176" t="s">
        <v>196</v>
      </c>
      <c r="B69" s="299">
        <v>0.02</v>
      </c>
      <c r="C69" s="299">
        <v>0.02</v>
      </c>
      <c r="D69" s="299">
        <v>0.02</v>
      </c>
      <c r="E69" s="299">
        <v>0.02</v>
      </c>
      <c r="F69" s="299">
        <v>0.02</v>
      </c>
      <c r="G69" s="299">
        <v>0.02</v>
      </c>
      <c r="H69" s="214">
        <v>0.02</v>
      </c>
      <c r="I69" s="299">
        <v>0.02</v>
      </c>
      <c r="J69" s="299">
        <v>0.02</v>
      </c>
      <c r="K69" s="299">
        <v>0.02</v>
      </c>
      <c r="L69" s="299">
        <v>0.02</v>
      </c>
      <c r="M69" s="299">
        <v>0.02</v>
      </c>
      <c r="N69" s="299">
        <v>0.02</v>
      </c>
      <c r="O69" s="299">
        <v>0.02</v>
      </c>
      <c r="P69" s="299">
        <v>0.02</v>
      </c>
      <c r="Q69" s="299">
        <v>0.02</v>
      </c>
      <c r="R69" s="299">
        <v>0.02</v>
      </c>
      <c r="S69" s="299">
        <v>0.02</v>
      </c>
      <c r="T69" s="299">
        <v>0.02</v>
      </c>
      <c r="U69" s="299">
        <v>0.02</v>
      </c>
      <c r="V69" s="299">
        <v>0.02</v>
      </c>
      <c r="W69" s="299">
        <v>0.02</v>
      </c>
      <c r="X69" s="299">
        <v>0.02</v>
      </c>
      <c r="Y69" s="299">
        <v>0.02</v>
      </c>
    </row>
    <row r="70" outlineLevel="1">
      <c r="A70" s="215" t="s">
        <v>197</v>
      </c>
      <c r="B70" s="217">
        <f t="shared" ref="B70:Y70" si="21">sum(B67:B69)</f>
        <v>0.17</v>
      </c>
      <c r="C70" s="217">
        <f t="shared" si="21"/>
        <v>0.17</v>
      </c>
      <c r="D70" s="217">
        <f t="shared" si="21"/>
        <v>0.17</v>
      </c>
      <c r="E70" s="217">
        <f t="shared" si="21"/>
        <v>0.17</v>
      </c>
      <c r="F70" s="217">
        <f t="shared" si="21"/>
        <v>0.17</v>
      </c>
      <c r="G70" s="217">
        <f t="shared" si="21"/>
        <v>0.17</v>
      </c>
      <c r="H70" s="217">
        <f t="shared" si="21"/>
        <v>0.17</v>
      </c>
      <c r="I70" s="217">
        <f t="shared" si="21"/>
        <v>0.17</v>
      </c>
      <c r="J70" s="217">
        <f t="shared" si="21"/>
        <v>0.17</v>
      </c>
      <c r="K70" s="217">
        <f t="shared" si="21"/>
        <v>0.17</v>
      </c>
      <c r="L70" s="217">
        <f t="shared" si="21"/>
        <v>0.17</v>
      </c>
      <c r="M70" s="217">
        <f t="shared" si="21"/>
        <v>0.17</v>
      </c>
      <c r="N70" s="217">
        <f t="shared" si="21"/>
        <v>0.17</v>
      </c>
      <c r="O70" s="217">
        <f t="shared" si="21"/>
        <v>0.17</v>
      </c>
      <c r="P70" s="217">
        <f t="shared" si="21"/>
        <v>0.17</v>
      </c>
      <c r="Q70" s="217">
        <f t="shared" si="21"/>
        <v>0.17</v>
      </c>
      <c r="R70" s="217">
        <f t="shared" si="21"/>
        <v>0.17</v>
      </c>
      <c r="S70" s="217">
        <f t="shared" si="21"/>
        <v>0.17</v>
      </c>
      <c r="T70" s="217">
        <f t="shared" si="21"/>
        <v>0.17</v>
      </c>
      <c r="U70" s="217">
        <f t="shared" si="21"/>
        <v>0.17</v>
      </c>
      <c r="V70" s="217">
        <f t="shared" si="21"/>
        <v>0.17</v>
      </c>
      <c r="W70" s="217">
        <f t="shared" si="21"/>
        <v>0.17</v>
      </c>
      <c r="X70" s="217">
        <f t="shared" si="21"/>
        <v>0.17</v>
      </c>
      <c r="Y70" s="217">
        <f t="shared" si="21"/>
        <v>0.17</v>
      </c>
    </row>
    <row r="71" outlineLevel="1">
      <c r="A71" s="176"/>
      <c r="B71" s="210"/>
      <c r="C71" s="210"/>
      <c r="D71" s="210"/>
      <c r="E71" s="210"/>
      <c r="F71" s="210"/>
      <c r="G71" s="210"/>
      <c r="H71" s="210"/>
      <c r="I71" s="210"/>
      <c r="J71" s="210"/>
      <c r="K71" s="210"/>
      <c r="L71" s="210"/>
      <c r="M71" s="210"/>
      <c r="N71" s="210"/>
      <c r="O71" s="210"/>
      <c r="P71" s="210"/>
      <c r="Q71" s="210"/>
      <c r="R71" s="210"/>
      <c r="S71" s="210"/>
      <c r="T71" s="210"/>
      <c r="U71" s="210"/>
      <c r="V71" s="210"/>
      <c r="W71" s="210"/>
      <c r="X71" s="210"/>
      <c r="Y71" s="210"/>
    </row>
    <row r="72" outlineLevel="1">
      <c r="A72" s="178" t="s">
        <v>198</v>
      </c>
      <c r="B72" s="210"/>
      <c r="C72" s="210"/>
      <c r="D72" s="210"/>
      <c r="E72" s="210"/>
      <c r="F72" s="210"/>
      <c r="G72" s="210"/>
      <c r="H72" s="210"/>
      <c r="I72" s="210"/>
      <c r="J72" s="210"/>
      <c r="K72" s="210"/>
      <c r="L72" s="210"/>
      <c r="M72" s="210"/>
      <c r="N72" s="210"/>
      <c r="O72" s="210"/>
      <c r="P72" s="210"/>
      <c r="Q72" s="210"/>
      <c r="R72" s="210"/>
      <c r="S72" s="210"/>
      <c r="T72" s="210"/>
      <c r="U72" s="210"/>
      <c r="V72" s="210"/>
      <c r="W72" s="210"/>
      <c r="X72" s="210"/>
      <c r="Y72" s="210"/>
    </row>
    <row r="73" outlineLevel="1">
      <c r="A73" s="176" t="s">
        <v>199</v>
      </c>
      <c r="B73" s="92">
        <v>0.0</v>
      </c>
      <c r="C73" s="92">
        <v>0.0</v>
      </c>
      <c r="D73" s="92">
        <v>0.0</v>
      </c>
      <c r="E73" s="92">
        <v>0.0</v>
      </c>
      <c r="F73" s="92">
        <v>0.0</v>
      </c>
      <c r="G73" s="92">
        <v>0.0</v>
      </c>
      <c r="H73" s="92">
        <v>0.0</v>
      </c>
      <c r="I73" s="92">
        <v>0.0</v>
      </c>
      <c r="J73" s="92">
        <v>0.0</v>
      </c>
      <c r="K73" s="92">
        <v>0.0</v>
      </c>
      <c r="L73" s="92">
        <v>0.0</v>
      </c>
      <c r="M73" s="92">
        <v>0.0</v>
      </c>
      <c r="N73" s="92">
        <v>0.0</v>
      </c>
      <c r="O73" s="92">
        <v>0.0</v>
      </c>
      <c r="P73" s="92">
        <v>0.0</v>
      </c>
      <c r="Q73" s="92">
        <v>0.0</v>
      </c>
      <c r="R73" s="92">
        <v>0.0</v>
      </c>
      <c r="S73" s="92">
        <v>0.0</v>
      </c>
      <c r="T73" s="92">
        <v>0.0</v>
      </c>
      <c r="U73" s="92">
        <v>0.0</v>
      </c>
      <c r="V73" s="92">
        <v>0.0</v>
      </c>
      <c r="W73" s="92">
        <v>0.0</v>
      </c>
      <c r="X73" s="92">
        <v>0.0</v>
      </c>
      <c r="Y73" s="92">
        <v>0.0</v>
      </c>
    </row>
    <row r="74" outlineLevel="1">
      <c r="A74" s="176" t="s">
        <v>200</v>
      </c>
      <c r="B74" s="127">
        <v>0.0</v>
      </c>
      <c r="C74" s="127">
        <v>0.0</v>
      </c>
      <c r="D74" s="127">
        <v>0.0</v>
      </c>
      <c r="E74" s="127">
        <v>0.0</v>
      </c>
      <c r="F74" s="127">
        <v>0.0</v>
      </c>
      <c r="G74" s="127">
        <v>0.0</v>
      </c>
      <c r="H74" s="127">
        <v>0.0</v>
      </c>
      <c r="I74" s="127">
        <v>0.0</v>
      </c>
      <c r="J74" s="127">
        <v>0.0</v>
      </c>
      <c r="K74" s="127">
        <v>0.0</v>
      </c>
      <c r="L74" s="127">
        <v>0.0</v>
      </c>
      <c r="M74" s="127">
        <v>0.0</v>
      </c>
      <c r="N74" s="127">
        <v>0.0</v>
      </c>
      <c r="O74" s="127">
        <v>0.0</v>
      </c>
      <c r="P74" s="127">
        <v>0.0</v>
      </c>
      <c r="Q74" s="127">
        <v>0.0</v>
      </c>
      <c r="R74" s="127">
        <v>0.0</v>
      </c>
      <c r="S74" s="127">
        <v>0.0</v>
      </c>
      <c r="T74" s="127">
        <v>0.0</v>
      </c>
      <c r="U74" s="127">
        <v>0.0</v>
      </c>
      <c r="V74" s="127">
        <v>0.0</v>
      </c>
      <c r="W74" s="127">
        <v>0.0</v>
      </c>
      <c r="X74" s="127">
        <v>0.0</v>
      </c>
      <c r="Y74" s="127">
        <v>0.0</v>
      </c>
    </row>
    <row r="75" outlineLevel="1">
      <c r="A75" s="176" t="s">
        <v>201</v>
      </c>
      <c r="B75" s="214">
        <v>0.05</v>
      </c>
      <c r="C75" s="214">
        <v>0.05</v>
      </c>
      <c r="D75" s="214">
        <v>0.05</v>
      </c>
      <c r="E75" s="214">
        <v>0.05</v>
      </c>
      <c r="F75" s="214">
        <v>0.05</v>
      </c>
      <c r="G75" s="214">
        <v>0.05</v>
      </c>
      <c r="H75" s="214">
        <v>0.05</v>
      </c>
      <c r="I75" s="214">
        <v>0.05</v>
      </c>
      <c r="J75" s="214">
        <v>0.05</v>
      </c>
      <c r="K75" s="214">
        <v>0.05</v>
      </c>
      <c r="L75" s="214">
        <v>0.05</v>
      </c>
      <c r="M75" s="214">
        <v>0.05</v>
      </c>
      <c r="N75" s="214">
        <v>0.05</v>
      </c>
      <c r="O75" s="214">
        <v>0.05</v>
      </c>
      <c r="P75" s="214">
        <v>0.05</v>
      </c>
      <c r="Q75" s="214">
        <v>0.05</v>
      </c>
      <c r="R75" s="214">
        <v>0.05</v>
      </c>
      <c r="S75" s="214">
        <v>0.05</v>
      </c>
      <c r="T75" s="214">
        <v>0.05</v>
      </c>
      <c r="U75" s="214">
        <v>0.05</v>
      </c>
      <c r="V75" s="214">
        <v>0.05</v>
      </c>
      <c r="W75" s="214">
        <v>0.05</v>
      </c>
      <c r="X75" s="214">
        <v>0.05</v>
      </c>
      <c r="Y75" s="214">
        <v>0.05</v>
      </c>
    </row>
    <row r="76" outlineLevel="1">
      <c r="A76" s="219" t="s">
        <v>202</v>
      </c>
      <c r="B76" s="217">
        <f t="shared" ref="B76:Y76" si="22">sum(B73:B75)</f>
        <v>0.05</v>
      </c>
      <c r="C76" s="217">
        <f t="shared" si="22"/>
        <v>0.05</v>
      </c>
      <c r="D76" s="217">
        <f t="shared" si="22"/>
        <v>0.05</v>
      </c>
      <c r="E76" s="217">
        <f t="shared" si="22"/>
        <v>0.05</v>
      </c>
      <c r="F76" s="217">
        <f t="shared" si="22"/>
        <v>0.05</v>
      </c>
      <c r="G76" s="217">
        <f t="shared" si="22"/>
        <v>0.05</v>
      </c>
      <c r="H76" s="217">
        <f t="shared" si="22"/>
        <v>0.05</v>
      </c>
      <c r="I76" s="217">
        <f t="shared" si="22"/>
        <v>0.05</v>
      </c>
      <c r="J76" s="217">
        <f t="shared" si="22"/>
        <v>0.05</v>
      </c>
      <c r="K76" s="217">
        <f t="shared" si="22"/>
        <v>0.05</v>
      </c>
      <c r="L76" s="217">
        <f t="shared" si="22"/>
        <v>0.05</v>
      </c>
      <c r="M76" s="217">
        <f t="shared" si="22"/>
        <v>0.05</v>
      </c>
      <c r="N76" s="217">
        <f t="shared" si="22"/>
        <v>0.05</v>
      </c>
      <c r="O76" s="217">
        <f t="shared" si="22"/>
        <v>0.05</v>
      </c>
      <c r="P76" s="217">
        <f t="shared" si="22"/>
        <v>0.05</v>
      </c>
      <c r="Q76" s="217">
        <f t="shared" si="22"/>
        <v>0.05</v>
      </c>
      <c r="R76" s="217">
        <f t="shared" si="22"/>
        <v>0.05</v>
      </c>
      <c r="S76" s="217">
        <f t="shared" si="22"/>
        <v>0.05</v>
      </c>
      <c r="T76" s="217">
        <f t="shared" si="22"/>
        <v>0.05</v>
      </c>
      <c r="U76" s="217">
        <f t="shared" si="22"/>
        <v>0.05</v>
      </c>
      <c r="V76" s="217">
        <f t="shared" si="22"/>
        <v>0.05</v>
      </c>
      <c r="W76" s="217">
        <f t="shared" si="22"/>
        <v>0.05</v>
      </c>
      <c r="X76" s="217">
        <f t="shared" si="22"/>
        <v>0.05</v>
      </c>
      <c r="Y76" s="217">
        <f t="shared" si="22"/>
        <v>0.05</v>
      </c>
    </row>
    <row r="77" outlineLevel="1">
      <c r="A77" s="176"/>
      <c r="B77" s="210"/>
      <c r="C77" s="210"/>
      <c r="D77" s="210"/>
      <c r="E77" s="210"/>
      <c r="F77" s="210"/>
      <c r="G77" s="210"/>
      <c r="H77" s="210"/>
      <c r="I77" s="210"/>
      <c r="J77" s="210"/>
      <c r="K77" s="210"/>
      <c r="L77" s="210"/>
      <c r="M77" s="210"/>
      <c r="N77" s="210"/>
      <c r="O77" s="210"/>
      <c r="P77" s="210"/>
      <c r="Q77" s="210"/>
      <c r="R77" s="210"/>
      <c r="S77" s="210"/>
      <c r="T77" s="210"/>
      <c r="U77" s="210"/>
      <c r="V77" s="210"/>
      <c r="W77" s="210"/>
      <c r="X77" s="210"/>
      <c r="Y77" s="210"/>
    </row>
    <row r="78">
      <c r="A78" s="71" t="s">
        <v>203</v>
      </c>
      <c r="B78" s="218">
        <f t="shared" ref="B78:Y78" si="23">1-sum(B65,B70,B76)</f>
        <v>0.53</v>
      </c>
      <c r="C78" s="218">
        <f t="shared" si="23"/>
        <v>0.53</v>
      </c>
      <c r="D78" s="218">
        <f t="shared" si="23"/>
        <v>0.53</v>
      </c>
      <c r="E78" s="218">
        <f t="shared" si="23"/>
        <v>0.53</v>
      </c>
      <c r="F78" s="218">
        <f t="shared" si="23"/>
        <v>0.53</v>
      </c>
      <c r="G78" s="218">
        <f t="shared" si="23"/>
        <v>0.53</v>
      </c>
      <c r="H78" s="218">
        <f t="shared" si="23"/>
        <v>0.34</v>
      </c>
      <c r="I78" s="218">
        <f t="shared" si="23"/>
        <v>0.53</v>
      </c>
      <c r="J78" s="218">
        <f t="shared" si="23"/>
        <v>0.53</v>
      </c>
      <c r="K78" s="218">
        <f t="shared" si="23"/>
        <v>0.53</v>
      </c>
      <c r="L78" s="218">
        <f t="shared" si="23"/>
        <v>0.53</v>
      </c>
      <c r="M78" s="218">
        <f t="shared" si="23"/>
        <v>0.53</v>
      </c>
      <c r="N78" s="218">
        <f t="shared" si="23"/>
        <v>0.53</v>
      </c>
      <c r="O78" s="218">
        <f t="shared" si="23"/>
        <v>0.53</v>
      </c>
      <c r="P78" s="218">
        <f t="shared" si="23"/>
        <v>0.53</v>
      </c>
      <c r="Q78" s="218">
        <f t="shared" si="23"/>
        <v>0.53</v>
      </c>
      <c r="R78" s="218">
        <f t="shared" si="23"/>
        <v>0.53</v>
      </c>
      <c r="S78" s="218">
        <f t="shared" si="23"/>
        <v>0.53</v>
      </c>
      <c r="T78" s="218">
        <f t="shared" si="23"/>
        <v>0.53</v>
      </c>
      <c r="U78" s="218">
        <f t="shared" si="23"/>
        <v>0.53</v>
      </c>
      <c r="V78" s="218">
        <f t="shared" si="23"/>
        <v>0.53</v>
      </c>
      <c r="W78" s="218">
        <f t="shared" si="23"/>
        <v>0.53</v>
      </c>
      <c r="X78" s="218">
        <f t="shared" si="23"/>
        <v>0.53</v>
      </c>
      <c r="Y78" s="218">
        <f t="shared" si="23"/>
        <v>0.53</v>
      </c>
    </row>
    <row r="79">
      <c r="A79" s="494"/>
      <c r="B79" s="224"/>
      <c r="C79" s="224"/>
      <c r="D79" s="224"/>
      <c r="E79" s="224"/>
      <c r="F79" s="224"/>
      <c r="G79" s="224"/>
      <c r="H79" s="224"/>
      <c r="I79" s="224"/>
      <c r="J79" s="224"/>
      <c r="K79" s="224"/>
      <c r="L79" s="224"/>
      <c r="M79" s="224"/>
      <c r="N79" s="224"/>
      <c r="O79" s="224"/>
      <c r="P79" s="224"/>
      <c r="Q79" s="224"/>
      <c r="R79" s="224"/>
      <c r="S79" s="224"/>
      <c r="T79" s="224"/>
      <c r="U79" s="224"/>
      <c r="V79" s="224"/>
      <c r="W79" s="224"/>
      <c r="X79" s="224"/>
      <c r="Y79" s="224"/>
    </row>
    <row r="80">
      <c r="A80" s="160" t="s">
        <v>204</v>
      </c>
      <c r="B80" s="397"/>
      <c r="C80" s="397"/>
      <c r="D80" s="397"/>
      <c r="E80" s="397"/>
      <c r="F80" s="397"/>
      <c r="G80" s="397"/>
      <c r="H80" s="397"/>
      <c r="I80" s="397"/>
      <c r="J80" s="397"/>
      <c r="K80" s="397"/>
      <c r="L80" s="397"/>
      <c r="M80" s="397"/>
      <c r="N80" s="397"/>
      <c r="O80" s="397"/>
      <c r="P80" s="397"/>
      <c r="Q80" s="397"/>
      <c r="R80" s="397"/>
      <c r="S80" s="397"/>
      <c r="T80" s="397"/>
      <c r="U80" s="397"/>
      <c r="V80" s="397"/>
      <c r="W80" s="397"/>
      <c r="X80" s="397"/>
      <c r="Y80" s="397"/>
    </row>
    <row r="81">
      <c r="A81" s="91" t="s">
        <v>598</v>
      </c>
      <c r="B81" s="416">
        <f t="shared" ref="B81:Y81" si="24">B38*B78</f>
        <v>65.32005506</v>
      </c>
      <c r="C81" s="416">
        <f t="shared" si="24"/>
        <v>33.24877028</v>
      </c>
      <c r="D81" s="416">
        <f t="shared" si="24"/>
        <v>26.28170067</v>
      </c>
      <c r="E81" s="416">
        <f t="shared" si="24"/>
        <v>40.18788909</v>
      </c>
      <c r="F81" s="416">
        <f t="shared" si="24"/>
        <v>29.81056602</v>
      </c>
      <c r="G81" s="416">
        <f t="shared" si="24"/>
        <v>13.59313146</v>
      </c>
      <c r="H81" s="416">
        <f t="shared" si="24"/>
        <v>22.36547741</v>
      </c>
      <c r="I81" s="416">
        <f t="shared" si="24"/>
        <v>99.07970629</v>
      </c>
      <c r="J81" s="416">
        <f t="shared" si="24"/>
        <v>192.9784269</v>
      </c>
      <c r="K81" s="416">
        <f t="shared" si="24"/>
        <v>54.71763486</v>
      </c>
      <c r="L81" s="416">
        <f t="shared" si="24"/>
        <v>12.07426283</v>
      </c>
      <c r="M81" s="416">
        <f t="shared" si="24"/>
        <v>25.06722944</v>
      </c>
      <c r="N81" s="416">
        <f t="shared" si="24"/>
        <v>15.81088513</v>
      </c>
      <c r="O81" s="416">
        <f t="shared" si="24"/>
        <v>31.13192508</v>
      </c>
      <c r="P81" s="416">
        <f t="shared" si="24"/>
        <v>73.26677632</v>
      </c>
      <c r="Q81" s="416">
        <f t="shared" si="24"/>
        <v>6.700221088</v>
      </c>
      <c r="R81" s="416">
        <f t="shared" si="24"/>
        <v>14.08879964</v>
      </c>
      <c r="S81" s="416">
        <f t="shared" si="24"/>
        <v>34.93876439</v>
      </c>
      <c r="T81" s="416">
        <f t="shared" si="24"/>
        <v>10.55383864</v>
      </c>
      <c r="U81" s="416">
        <f t="shared" si="24"/>
        <v>8.890726391</v>
      </c>
      <c r="V81" s="416">
        <f t="shared" si="24"/>
        <v>11.446264</v>
      </c>
      <c r="W81" s="416">
        <f t="shared" si="24"/>
        <v>13.1891844</v>
      </c>
      <c r="X81" s="416">
        <f t="shared" si="24"/>
        <v>6.739255759</v>
      </c>
      <c r="Y81" s="416">
        <f t="shared" si="24"/>
        <v>20.38591492</v>
      </c>
    </row>
    <row r="82">
      <c r="A82" s="91" t="s">
        <v>537</v>
      </c>
      <c r="B82" s="429">
        <f t="shared" ref="B82:Y82" si="25">B16/B81</f>
        <v>3551.500702</v>
      </c>
      <c r="C82" s="429">
        <f t="shared" si="25"/>
        <v>4696.924481</v>
      </c>
      <c r="D82" s="429">
        <f t="shared" si="25"/>
        <v>8165.25149</v>
      </c>
      <c r="E82" s="429">
        <f t="shared" si="25"/>
        <v>5339.834971</v>
      </c>
      <c r="F82" s="429">
        <f t="shared" si="25"/>
        <v>6068.593712</v>
      </c>
      <c r="G82" s="429">
        <f t="shared" si="25"/>
        <v>15787.14192</v>
      </c>
      <c r="H82" s="429">
        <f t="shared" si="25"/>
        <v>7473.011285</v>
      </c>
      <c r="I82" s="429">
        <f t="shared" si="25"/>
        <v>2333.794528</v>
      </c>
      <c r="J82" s="429">
        <f t="shared" si="25"/>
        <v>1432.709362</v>
      </c>
      <c r="K82" s="429">
        <f t="shared" si="25"/>
        <v>3921.892752</v>
      </c>
      <c r="L82" s="429">
        <f t="shared" si="25"/>
        <v>17773.06811</v>
      </c>
      <c r="M82" s="429">
        <f t="shared" si="25"/>
        <v>8560.846187</v>
      </c>
      <c r="N82" s="429">
        <f t="shared" si="25"/>
        <v>13572.71865</v>
      </c>
      <c r="O82" s="429">
        <f t="shared" si="25"/>
        <v>6893.139277</v>
      </c>
      <c r="P82" s="429">
        <f t="shared" si="25"/>
        <v>2928.976902</v>
      </c>
      <c r="Q82" s="429">
        <f t="shared" si="25"/>
        <v>32028.30067</v>
      </c>
      <c r="R82" s="429">
        <f t="shared" si="25"/>
        <v>15231.72315</v>
      </c>
      <c r="S82" s="429">
        <f t="shared" si="25"/>
        <v>6142.080274</v>
      </c>
      <c r="T82" s="429">
        <f t="shared" si="25"/>
        <v>20333.52062</v>
      </c>
      <c r="U82" s="429">
        <f t="shared" si="25"/>
        <v>24137.13865</v>
      </c>
      <c r="V82" s="429">
        <f t="shared" si="25"/>
        <v>18748.1868</v>
      </c>
      <c r="W82" s="429">
        <f t="shared" si="25"/>
        <v>16270.657</v>
      </c>
      <c r="X82" s="429">
        <f t="shared" si="25"/>
        <v>31842.78847</v>
      </c>
      <c r="Y82" s="429">
        <f t="shared" si="25"/>
        <v>10526.71398</v>
      </c>
    </row>
    <row r="83">
      <c r="A83" s="91"/>
      <c r="B83" s="539"/>
      <c r="C83" s="296"/>
      <c r="D83" s="296"/>
      <c r="E83" s="296"/>
      <c r="F83" s="296"/>
      <c r="G83" s="296"/>
      <c r="H83" s="296"/>
      <c r="I83" s="296"/>
      <c r="J83" s="296"/>
      <c r="K83" s="296"/>
      <c r="L83" s="296"/>
      <c r="M83" s="296"/>
      <c r="N83" s="296"/>
      <c r="O83" s="296"/>
      <c r="P83" s="296"/>
      <c r="Q83" s="296"/>
      <c r="R83" s="296"/>
      <c r="S83" s="296"/>
      <c r="T83" s="296"/>
      <c r="U83" s="296"/>
      <c r="V83" s="296"/>
      <c r="W83" s="296"/>
      <c r="X83" s="296"/>
      <c r="Y83" s="296"/>
    </row>
    <row r="84">
      <c r="A84" s="55" t="s">
        <v>213</v>
      </c>
      <c r="B84" s="416">
        <f t="shared" ref="B84:Y84" si="26">sum(B40,B47)*B78</f>
        <v>8316.602382</v>
      </c>
      <c r="C84" s="416">
        <f t="shared" si="26"/>
        <v>4545.127243</v>
      </c>
      <c r="D84" s="416">
        <f t="shared" si="26"/>
        <v>3570.516758</v>
      </c>
      <c r="E84" s="416">
        <f t="shared" si="26"/>
        <v>5605.536335</v>
      </c>
      <c r="F84" s="416">
        <f t="shared" si="26"/>
        <v>3850.128415</v>
      </c>
      <c r="G84" s="416">
        <f t="shared" si="26"/>
        <v>2131.929287</v>
      </c>
      <c r="H84" s="416">
        <f t="shared" si="26"/>
        <v>3164.407432</v>
      </c>
      <c r="I84" s="416">
        <f t="shared" si="26"/>
        <v>12608.67815</v>
      </c>
      <c r="J84" s="416">
        <f t="shared" si="26"/>
        <v>24432.83639</v>
      </c>
      <c r="K84" s="416">
        <f t="shared" si="26"/>
        <v>7012.70553</v>
      </c>
      <c r="L84" s="416">
        <f t="shared" si="26"/>
        <v>1714.855858</v>
      </c>
      <c r="M84" s="416">
        <f t="shared" si="26"/>
        <v>3350.21741</v>
      </c>
      <c r="N84" s="416">
        <f t="shared" si="26"/>
        <v>2191.600448</v>
      </c>
      <c r="O84" s="416">
        <f t="shared" si="26"/>
        <v>4162.880149</v>
      </c>
      <c r="P84" s="416">
        <f t="shared" si="26"/>
        <v>9334.71015</v>
      </c>
      <c r="Q84" s="416">
        <f t="shared" si="26"/>
        <v>1013.916769</v>
      </c>
      <c r="R84" s="416">
        <f t="shared" si="26"/>
        <v>1921.429911</v>
      </c>
      <c r="S84" s="416">
        <f t="shared" si="26"/>
        <v>4652.888119</v>
      </c>
      <c r="T84" s="416">
        <f t="shared" si="26"/>
        <v>1497.14293</v>
      </c>
      <c r="U84" s="416">
        <f t="shared" si="26"/>
        <v>1351.520353</v>
      </c>
      <c r="V84" s="416">
        <f t="shared" si="26"/>
        <v>1671.142133</v>
      </c>
      <c r="W84" s="416">
        <f t="shared" si="26"/>
        <v>1861.96267</v>
      </c>
      <c r="X84" s="416">
        <f t="shared" si="26"/>
        <v>1044.723024</v>
      </c>
      <c r="Y84" s="416">
        <f t="shared" si="26"/>
        <v>2767.677874</v>
      </c>
    </row>
    <row r="85">
      <c r="A85" s="55" t="s">
        <v>183</v>
      </c>
      <c r="B85" s="326">
        <f t="shared" ref="B85:Y85" si="27">B84/B16</f>
        <v>0.03584986226</v>
      </c>
      <c r="C85" s="326">
        <f t="shared" si="27"/>
        <v>0.02910428142</v>
      </c>
      <c r="D85" s="326">
        <f t="shared" si="27"/>
        <v>0.01663826532</v>
      </c>
      <c r="E85" s="326">
        <f t="shared" si="27"/>
        <v>0.02612126119</v>
      </c>
      <c r="F85" s="326">
        <f t="shared" si="27"/>
        <v>0.02128222008</v>
      </c>
      <c r="G85" s="326">
        <f t="shared" si="27"/>
        <v>0.00993458581</v>
      </c>
      <c r="H85" s="326">
        <f t="shared" si="27"/>
        <v>0.01893296294</v>
      </c>
      <c r="I85" s="326">
        <f t="shared" si="27"/>
        <v>0.05452833429</v>
      </c>
      <c r="J85" s="326">
        <f t="shared" si="27"/>
        <v>0.08837044182</v>
      </c>
      <c r="K85" s="326">
        <f t="shared" si="27"/>
        <v>0.03267853455</v>
      </c>
      <c r="L85" s="326">
        <f t="shared" si="27"/>
        <v>0.007991063672</v>
      </c>
      <c r="M85" s="326">
        <f t="shared" si="27"/>
        <v>0.01561169151</v>
      </c>
      <c r="N85" s="326">
        <f t="shared" si="27"/>
        <v>0.01021264769</v>
      </c>
      <c r="O85" s="326">
        <f t="shared" si="27"/>
        <v>0.01939862186</v>
      </c>
      <c r="P85" s="326">
        <f t="shared" si="27"/>
        <v>0.04349885317</v>
      </c>
      <c r="Q85" s="326">
        <f t="shared" si="27"/>
        <v>0.004724754806</v>
      </c>
      <c r="R85" s="326">
        <f t="shared" si="27"/>
        <v>0.008953678928</v>
      </c>
      <c r="S85" s="326">
        <f t="shared" si="27"/>
        <v>0.02168201196</v>
      </c>
      <c r="T85" s="326">
        <f t="shared" si="27"/>
        <v>0.00697654233</v>
      </c>
      <c r="U85" s="326">
        <f t="shared" si="27"/>
        <v>0.006297955099</v>
      </c>
      <c r="V85" s="326">
        <f t="shared" si="27"/>
        <v>0.007787361911</v>
      </c>
      <c r="W85" s="326">
        <f t="shared" si="27"/>
        <v>0.008676567292</v>
      </c>
      <c r="X85" s="326">
        <f t="shared" si="27"/>
        <v>0.004868309001</v>
      </c>
      <c r="Y85" s="326">
        <f t="shared" si="27"/>
        <v>0.0128971132</v>
      </c>
    </row>
    <row r="86">
      <c r="A86" s="221" t="s">
        <v>209</v>
      </c>
      <c r="B86" s="463">
        <f t="array" ref="B86">B85/index(GiveDirectly!$B:$B,match("Units of value generated per philanthropic dollar spent, after accounting for all adjustments",GiveDirectly!$A:$A,0))</f>
        <v>10.68698749</v>
      </c>
      <c r="C86" s="463">
        <f t="array" ref="C86">C85/index(GiveDirectly!$B:$B,match("Units of value generated per philanthropic dollar spent, after accounting for all adjustments",GiveDirectly!$A:$A,0))</f>
        <v>8.676102834</v>
      </c>
      <c r="D86" s="463">
        <f t="array" ref="D86">D85/index(GiveDirectly!$B:$B,match("Units of value generated per philanthropic dollar spent, after accounting for all adjustments",GiveDirectly!$A:$A,0))</f>
        <v>4.959933517</v>
      </c>
      <c r="E86" s="463">
        <f t="array" ref="E86">E85/index(GiveDirectly!$B:$B,match("Units of value generated per philanthropic dollar spent, after accounting for all adjustments",GiveDirectly!$A:$A,0))</f>
        <v>7.786852558</v>
      </c>
      <c r="F86" s="463">
        <f t="array" ref="F86">F85/index(GiveDirectly!$B:$B,match("Units of value generated per philanthropic dollar spent, after accounting for all adjustments",GiveDirectly!$A:$A,0))</f>
        <v>6.344315027</v>
      </c>
      <c r="G86" s="463">
        <f t="array" ref="G86">G85/index(GiveDirectly!$B:$B,match("Units of value generated per philanthropic dollar spent, after accounting for all adjustments",GiveDirectly!$A:$A,0))</f>
        <v>2.961539811</v>
      </c>
      <c r="H86" s="463">
        <f t="array" ref="H86">H85/index(GiveDirectly!$B:$B,match("Units of value generated per philanthropic dollar spent, after accounting for all adjustments",GiveDirectly!$A:$A,0))</f>
        <v>5.643992067</v>
      </c>
      <c r="I86" s="463">
        <f t="array" ref="I86">I85/index(GiveDirectly!$B:$B,match("Units of value generated per philanthropic dollar spent, after accounting for all adjustments",GiveDirectly!$A:$A,0))</f>
        <v>16.2551148</v>
      </c>
      <c r="J86" s="463">
        <f t="array" ref="J86">J85/index(GiveDirectly!$B:$B,match("Units of value generated per philanthropic dollar spent, after accounting for all adjustments",GiveDirectly!$A:$A,0))</f>
        <v>26.34358257</v>
      </c>
      <c r="K86" s="463">
        <f t="array" ref="K86">K85/index(GiveDirectly!$B:$B,match("Units of value generated per philanthropic dollar spent, after accounting for all adjustments",GiveDirectly!$A:$A,0))</f>
        <v>9.741602004</v>
      </c>
      <c r="L86" s="463">
        <f t="array" ref="L86">L85/index(GiveDirectly!$B:$B,match("Units of value generated per philanthropic dollar spent, after accounting for all adjustments",GiveDirectly!$A:$A,0))</f>
        <v>2.382168079</v>
      </c>
      <c r="M86" s="463">
        <f t="array" ref="M86">M85/index(GiveDirectly!$B:$B,match("Units of value generated per philanthropic dollar spent, after accounting for all adjustments",GiveDirectly!$A:$A,0))</f>
        <v>4.653907752</v>
      </c>
      <c r="N86" s="463">
        <f t="array" ref="N86">N85/index(GiveDirectly!$B:$B,match("Units of value generated per philanthropic dollar spent, after accounting for all adjustments",GiveDirectly!$A:$A,0))</f>
        <v>3.044431172</v>
      </c>
      <c r="O86" s="463">
        <f t="array" ref="O86">O85/index(GiveDirectly!$B:$B,match("Units of value generated per philanthropic dollar spent, after accounting for all adjustments",GiveDirectly!$A:$A,0))</f>
        <v>5.782806854</v>
      </c>
      <c r="P86" s="463">
        <f t="array" ref="P86">P85/index(GiveDirectly!$B:$B,match("Units of value generated per philanthropic dollar spent, after accounting for all adjustments",GiveDirectly!$A:$A,0))</f>
        <v>12.96718231</v>
      </c>
      <c r="Q86" s="463">
        <f t="array" ref="Q86">Q85/index(GiveDirectly!$B:$B,match("Units of value generated per philanthropic dollar spent, after accounting for all adjustments",GiveDirectly!$A:$A,0))</f>
        <v>1.408468327</v>
      </c>
      <c r="R86" s="463">
        <f t="array" ref="R86">R85/index(GiveDirectly!$B:$B,match("Units of value generated per philanthropic dollar spent, after accounting for all adjustments",GiveDirectly!$A:$A,0))</f>
        <v>2.669127542</v>
      </c>
      <c r="S86" s="463">
        <f t="array" ref="S86">S85/index(GiveDirectly!$B:$B,match("Units of value generated per philanthropic dollar spent, after accounting for all adjustments",GiveDirectly!$A:$A,0))</f>
        <v>6.463494585</v>
      </c>
      <c r="T86" s="463">
        <f t="array" ref="T86">T85/index(GiveDirectly!$B:$B,match("Units of value generated per philanthropic dollar spent, after accounting for all adjustments",GiveDirectly!$A:$A,0))</f>
        <v>2.079735205</v>
      </c>
      <c r="U86" s="463">
        <f t="array" ref="U86">U85/index(GiveDirectly!$B:$B,match("Units of value generated per philanthropic dollar spent, after accounting for all adjustments",GiveDirectly!$A:$A,0))</f>
        <v>1.877445634</v>
      </c>
      <c r="V86" s="463">
        <f t="array" ref="V86">V85/index(GiveDirectly!$B:$B,match("Units of value generated per philanthropic dollar spent, after accounting for all adjustments",GiveDirectly!$A:$A,0))</f>
        <v>2.321443769</v>
      </c>
      <c r="W86" s="463">
        <f t="array" ref="W86">W85/index(GiveDirectly!$B:$B,match("Units of value generated per philanthropic dollar spent, after accounting for all adjustments",GiveDirectly!$A:$A,0))</f>
        <v>2.586519453</v>
      </c>
      <c r="X86" s="463">
        <f t="array" ref="X86">X85/index(GiveDirectly!$B:$B,match("Units of value generated per philanthropic dollar spent, after accounting for all adjustments",GiveDirectly!$A:$A,0))</f>
        <v>1.451262407</v>
      </c>
      <c r="Y86" s="463">
        <f t="array" ref="Y86">Y85/index(GiveDirectly!$B:$B,match("Units of value generated per philanthropic dollar spent, after accounting for all adjustments",GiveDirectly!$A:$A,0))</f>
        <v>3.844681087</v>
      </c>
    </row>
    <row r="87">
      <c r="A87" s="91"/>
      <c r="B87" s="539"/>
      <c r="C87" s="296"/>
      <c r="D87" s="296"/>
      <c r="E87" s="296"/>
      <c r="F87" s="296"/>
      <c r="G87" s="296"/>
      <c r="H87" s="296"/>
      <c r="I87" s="296"/>
      <c r="J87" s="296"/>
      <c r="K87" s="296"/>
      <c r="L87" s="296"/>
      <c r="M87" s="296"/>
      <c r="N87" s="296"/>
      <c r="O87" s="296"/>
      <c r="P87" s="296"/>
      <c r="Q87" s="296"/>
      <c r="R87" s="296"/>
      <c r="S87" s="296"/>
      <c r="T87" s="296"/>
      <c r="U87" s="296"/>
      <c r="V87" s="296"/>
      <c r="W87" s="296"/>
      <c r="X87" s="296"/>
      <c r="Y87" s="296"/>
    </row>
    <row r="88">
      <c r="A88" s="160" t="s">
        <v>599</v>
      </c>
      <c r="B88" s="208"/>
      <c r="C88" s="208"/>
      <c r="D88" s="208"/>
      <c r="E88" s="208"/>
      <c r="F88" s="208"/>
      <c r="G88" s="208"/>
      <c r="H88" s="208"/>
      <c r="I88" s="208"/>
      <c r="J88" s="208"/>
      <c r="K88" s="208"/>
      <c r="L88" s="208"/>
      <c r="M88" s="208"/>
      <c r="N88" s="208"/>
      <c r="O88" s="208"/>
      <c r="P88" s="208"/>
      <c r="Q88" s="208"/>
      <c r="R88" s="208"/>
      <c r="S88" s="208"/>
      <c r="T88" s="208"/>
      <c r="U88" s="208"/>
      <c r="V88" s="208"/>
      <c r="W88" s="208"/>
      <c r="X88" s="208"/>
      <c r="Y88" s="208"/>
    </row>
    <row r="89" outlineLevel="1">
      <c r="A89" s="209" t="s">
        <v>211</v>
      </c>
      <c r="B89" s="224"/>
      <c r="C89" s="224"/>
      <c r="D89" s="224"/>
      <c r="E89" s="224"/>
      <c r="F89" s="224"/>
      <c r="G89" s="224"/>
      <c r="H89" s="224"/>
      <c r="I89" s="224"/>
      <c r="J89" s="224"/>
      <c r="K89" s="224"/>
      <c r="L89" s="224"/>
      <c r="M89" s="224"/>
      <c r="N89" s="224"/>
      <c r="O89" s="224"/>
      <c r="P89" s="224"/>
      <c r="Q89" s="224"/>
      <c r="R89" s="224"/>
      <c r="S89" s="224"/>
      <c r="T89" s="224"/>
      <c r="U89" s="224"/>
      <c r="V89" s="224"/>
      <c r="W89" s="224"/>
      <c r="X89" s="224"/>
      <c r="Y89" s="224"/>
    </row>
    <row r="90" outlineLevel="1">
      <c r="A90" s="77" t="str">
        <f>IFERROR(__xludf.DUMMYFUNCTION("filter('Supplemental intervention-level'!C:C,'Supplemental intervention-level'!A:A=""HKI"",'Supplemental intervention-level'!D:D=""Explicitly modeled"")"),"Mortality effects")</f>
        <v>Mortality effects</v>
      </c>
      <c r="B90" s="224"/>
      <c r="C90" s="224"/>
      <c r="D90" s="224"/>
      <c r="E90" s="224"/>
      <c r="F90" s="224"/>
      <c r="G90" s="224"/>
      <c r="H90" s="224"/>
      <c r="I90" s="224"/>
      <c r="J90" s="224"/>
      <c r="K90" s="224"/>
      <c r="L90" s="224"/>
      <c r="M90" s="224"/>
      <c r="N90" s="224"/>
      <c r="O90" s="224"/>
      <c r="P90" s="224"/>
      <c r="Q90" s="224"/>
      <c r="R90" s="224"/>
      <c r="S90" s="224"/>
      <c r="T90" s="224"/>
      <c r="U90" s="224"/>
      <c r="V90" s="224"/>
      <c r="W90" s="224"/>
      <c r="X90" s="224"/>
      <c r="Y90" s="224"/>
    </row>
    <row r="91" outlineLevel="1">
      <c r="A91" s="71" t="str">
        <f>IFERROR(__xludf.DUMMYFUNCTION("""COMPUTED_VALUE"""),"Development effects")</f>
        <v>Development effects</v>
      </c>
      <c r="B91" s="224"/>
      <c r="C91" s="224"/>
      <c r="D91" s="224"/>
      <c r="E91" s="224"/>
      <c r="F91" s="224"/>
      <c r="G91" s="224"/>
      <c r="H91" s="224"/>
      <c r="I91" s="224"/>
      <c r="J91" s="224"/>
      <c r="K91" s="224"/>
      <c r="L91" s="224"/>
      <c r="M91" s="224"/>
      <c r="N91" s="224"/>
      <c r="O91" s="224"/>
      <c r="P91" s="224"/>
      <c r="Q91" s="224"/>
      <c r="R91" s="224"/>
      <c r="S91" s="224"/>
      <c r="T91" s="224"/>
      <c r="U91" s="224"/>
      <c r="V91" s="224"/>
      <c r="W91" s="224"/>
      <c r="X91" s="224"/>
      <c r="Y91" s="224"/>
    </row>
    <row r="92" outlineLevel="1">
      <c r="A92" s="209"/>
      <c r="B92" s="224"/>
      <c r="C92" s="224"/>
      <c r="D92" s="224"/>
      <c r="E92" s="224"/>
      <c r="F92" s="224"/>
      <c r="G92" s="224"/>
      <c r="H92" s="224"/>
      <c r="I92" s="224"/>
      <c r="J92" s="224"/>
      <c r="K92" s="224"/>
      <c r="L92" s="224"/>
      <c r="M92" s="224"/>
      <c r="N92" s="224"/>
      <c r="O92" s="224"/>
      <c r="P92" s="224"/>
      <c r="Q92" s="224"/>
      <c r="R92" s="224"/>
      <c r="S92" s="224"/>
      <c r="T92" s="224"/>
      <c r="U92" s="224"/>
      <c r="V92" s="224"/>
      <c r="W92" s="224"/>
      <c r="X92" s="224"/>
      <c r="Y92" s="224"/>
    </row>
    <row r="93" outlineLevel="1">
      <c r="A93" s="209" t="s">
        <v>27</v>
      </c>
      <c r="B93" s="224"/>
      <c r="C93" s="224"/>
      <c r="D93" s="224"/>
      <c r="E93" s="224"/>
      <c r="F93" s="224"/>
      <c r="G93" s="224"/>
      <c r="H93" s="224"/>
      <c r="I93" s="224"/>
      <c r="J93" s="224"/>
      <c r="K93" s="224"/>
      <c r="L93" s="224"/>
      <c r="M93" s="224"/>
      <c r="N93" s="224"/>
      <c r="O93" s="224"/>
      <c r="P93" s="224"/>
      <c r="Q93" s="224"/>
      <c r="R93" s="224"/>
      <c r="S93" s="224"/>
      <c r="T93" s="224"/>
      <c r="U93" s="224"/>
      <c r="V93" s="224"/>
      <c r="W93" s="224"/>
      <c r="X93" s="224"/>
      <c r="Y93" s="224"/>
    </row>
    <row r="94" outlineLevel="1">
      <c r="A94" s="77" t="str">
        <f>IFERROR(__xludf.DUMMYFUNCTION("filter('Supplemental intervention-level'!C:C,'Supplemental intervention-level'!A:A=""HKI"",'Supplemental intervention-level'!D:D=""Not explicitly modeled"")"),"Short-term consequences of reduced infectious disease morbidity")</f>
        <v>Short-term consequences of reduced infectious disease morbidity</v>
      </c>
      <c r="B94" s="226">
        <f t="array" ref="B94">iferror(if(isblank($A94),"",index('Supplemental intervention-level'!$M:$M,match(1,('Supplemental intervention-level'!$C:$C=$A94)*('Supplemental intervention-level'!$A:$A="HKI"),0))),"Not specified")</f>
        <v>0.06</v>
      </c>
      <c r="C94" s="226">
        <f t="array" ref="C94">iferror(if(isblank($A94),"",index('Supplemental intervention-level'!$M:$M,match(1,('Supplemental intervention-level'!$C:$C=$A94)*('Supplemental intervention-level'!$A:$A="HKI"),0))),"Not specified")</f>
        <v>0.06</v>
      </c>
      <c r="D94" s="226">
        <f t="array" ref="D94">iferror(if(isblank($A94),"",index('Supplemental intervention-level'!$M:$M,match(1,('Supplemental intervention-level'!$C:$C=$A94)*('Supplemental intervention-level'!$A:$A="HKI"),0))),"Not specified")</f>
        <v>0.06</v>
      </c>
      <c r="E94" s="226">
        <f t="array" ref="E94">iferror(if(isblank($A94),"",index('Supplemental intervention-level'!$M:$M,match(1,('Supplemental intervention-level'!$C:$C=$A94)*('Supplemental intervention-level'!$A:$A="HKI"),0))),"Not specified")</f>
        <v>0.06</v>
      </c>
      <c r="F94" s="226">
        <f t="array" ref="F94">iferror(if(isblank($A94),"",index('Supplemental intervention-level'!$M:$M,match(1,('Supplemental intervention-level'!$C:$C=$A94)*('Supplemental intervention-level'!$A:$A="HKI"),0))),"Not specified")</f>
        <v>0.06</v>
      </c>
      <c r="G94" s="226">
        <f t="array" ref="G94">iferror(if(isblank($A94),"",index('Supplemental intervention-level'!$M:$M,match(1,('Supplemental intervention-level'!$C:$C=$A94)*('Supplemental intervention-level'!$A:$A="HKI"),0))),"Not specified")</f>
        <v>0.06</v>
      </c>
      <c r="H94" s="226">
        <f t="array" ref="H94">iferror(if(isblank($A94),"",index('Supplemental intervention-level'!$M:$M,match(1,('Supplemental intervention-level'!$C:$C=$A94)*('Supplemental intervention-level'!$A:$A="HKI"),0))),"Not specified")</f>
        <v>0.06</v>
      </c>
      <c r="I94" s="226">
        <f t="array" ref="I94">iferror(if(isblank($A94),"",index('Supplemental intervention-level'!$M:$M,match(1,('Supplemental intervention-level'!$C:$C=$A94)*('Supplemental intervention-level'!$A:$A="HKI"),0))),"Not specified")</f>
        <v>0.06</v>
      </c>
      <c r="J94" s="226">
        <f t="array" ref="J94">iferror(if(isblank($A94),"",index('Supplemental intervention-level'!$M:$M,match(1,('Supplemental intervention-level'!$C:$C=$A94)*('Supplemental intervention-level'!$A:$A="HKI"),0))),"Not specified")</f>
        <v>0.06</v>
      </c>
      <c r="K94" s="226">
        <f t="array" ref="K94">iferror(if(isblank($A94),"",index('Supplemental intervention-level'!$M:$M,match(1,('Supplemental intervention-level'!$C:$C=$A94)*('Supplemental intervention-level'!$A:$A="HKI"),0))),"Not specified")</f>
        <v>0.06</v>
      </c>
      <c r="L94" s="226">
        <f t="array" ref="L94">iferror(if(isblank($A94),"",index('Supplemental intervention-level'!$M:$M,match(1,('Supplemental intervention-level'!$C:$C=$A94)*('Supplemental intervention-level'!$A:$A="HKI"),0))),"Not specified")</f>
        <v>0.06</v>
      </c>
      <c r="M94" s="226">
        <f t="array" ref="M94">iferror(if(isblank($A94),"",index('Supplemental intervention-level'!$M:$M,match(1,('Supplemental intervention-level'!$C:$C=$A94)*('Supplemental intervention-level'!$A:$A="HKI"),0))),"Not specified")</f>
        <v>0.06</v>
      </c>
      <c r="N94" s="226">
        <f t="array" ref="N94">iferror(if(isblank($A94),"",index('Supplemental intervention-level'!$M:$M,match(1,('Supplemental intervention-level'!$C:$C=$A94)*('Supplemental intervention-level'!$A:$A="HKI"),0))),"Not specified")</f>
        <v>0.06</v>
      </c>
      <c r="O94" s="226">
        <f t="array" ref="O94">iferror(if(isblank($A94),"",index('Supplemental intervention-level'!$M:$M,match(1,('Supplemental intervention-level'!$C:$C=$A94)*('Supplemental intervention-level'!$A:$A="HKI"),0))),"Not specified")</f>
        <v>0.06</v>
      </c>
      <c r="P94" s="226">
        <f t="array" ref="P94">iferror(if(isblank($A94),"",index('Supplemental intervention-level'!$M:$M,match(1,('Supplemental intervention-level'!$C:$C=$A94)*('Supplemental intervention-level'!$A:$A="HKI"),0))),"Not specified")</f>
        <v>0.06</v>
      </c>
      <c r="Q94" s="226">
        <f t="array" ref="Q94">iferror(if(isblank($A94),"",index('Supplemental intervention-level'!$M:$M,match(1,('Supplemental intervention-level'!$C:$C=$A94)*('Supplemental intervention-level'!$A:$A="HKI"),0))),"Not specified")</f>
        <v>0.06</v>
      </c>
      <c r="R94" s="226">
        <f t="array" ref="R94">iferror(if(isblank($A94),"",index('Supplemental intervention-level'!$M:$M,match(1,('Supplemental intervention-level'!$C:$C=$A94)*('Supplemental intervention-level'!$A:$A="HKI"),0))),"Not specified")</f>
        <v>0.06</v>
      </c>
      <c r="S94" s="226">
        <f t="array" ref="S94">iferror(if(isblank($A94),"",index('Supplemental intervention-level'!$M:$M,match(1,('Supplemental intervention-level'!$C:$C=$A94)*('Supplemental intervention-level'!$A:$A="HKI"),0))),"Not specified")</f>
        <v>0.06</v>
      </c>
      <c r="T94" s="226">
        <f t="array" ref="T94">iferror(if(isblank($A94),"",index('Supplemental intervention-level'!$M:$M,match(1,('Supplemental intervention-level'!$C:$C=$A94)*('Supplemental intervention-level'!$A:$A="HKI"),0))),"Not specified")</f>
        <v>0.06</v>
      </c>
      <c r="U94" s="226">
        <f t="array" ref="U94">iferror(if(isblank($A94),"",index('Supplemental intervention-level'!$M:$M,match(1,('Supplemental intervention-level'!$C:$C=$A94)*('Supplemental intervention-level'!$A:$A="HKI"),0))),"Not specified")</f>
        <v>0.06</v>
      </c>
      <c r="V94" s="226">
        <f t="array" ref="V94">iferror(if(isblank($A94),"",index('Supplemental intervention-level'!$M:$M,match(1,('Supplemental intervention-level'!$C:$C=$A94)*('Supplemental intervention-level'!$A:$A="HKI"),0))),"Not specified")</f>
        <v>0.06</v>
      </c>
      <c r="W94" s="226">
        <f t="array" ref="W94">iferror(if(isblank($A94),"",index('Supplemental intervention-level'!$M:$M,match(1,('Supplemental intervention-level'!$C:$C=$A94)*('Supplemental intervention-level'!$A:$A="HKI"),0))),"Not specified")</f>
        <v>0.06</v>
      </c>
      <c r="X94" s="226">
        <f t="array" ref="X94">iferror(if(isblank($A94),"",index('Supplemental intervention-level'!$M:$M,match(1,('Supplemental intervention-level'!$C:$C=$A94)*('Supplemental intervention-level'!$A:$A="HKI"),0))),"Not specified")</f>
        <v>0.06</v>
      </c>
      <c r="Y94" s="226">
        <f t="array" ref="Y94">iferror(if(isblank($A94),"",index('Supplemental intervention-level'!$M:$M,match(1,('Supplemental intervention-level'!$C:$C=$A94)*('Supplemental intervention-level'!$A:$A="HKI"),0))),"Not specified")</f>
        <v>0.06</v>
      </c>
    </row>
    <row r="95" outlineLevel="1">
      <c r="A95" s="116" t="str">
        <f>IFERROR(__xludf.DUMMYFUNCTION("""COMPUTED_VALUE"""),"Short-term anemia effects")</f>
        <v>Short-term anemia effects</v>
      </c>
      <c r="B95" s="226">
        <f t="array" ref="B95">iferror(if(isblank($A95),"",index('Supplemental intervention-level'!$M:$M,match(1,('Supplemental intervention-level'!$C:$C=$A95)*('Supplemental intervention-level'!$A:$A="HKI"),0))),"Not specified")</f>
        <v>0.09</v>
      </c>
      <c r="C95" s="226">
        <f t="array" ref="C95">iferror(if(isblank($A95),"",index('Supplemental intervention-level'!$M:$M,match(1,('Supplemental intervention-level'!$C:$C=$A95)*('Supplemental intervention-level'!$A:$A="HKI"),0))),"Not specified")</f>
        <v>0.09</v>
      </c>
      <c r="D95" s="226">
        <f t="array" ref="D95">iferror(if(isblank($A95),"",index('Supplemental intervention-level'!$M:$M,match(1,('Supplemental intervention-level'!$C:$C=$A95)*('Supplemental intervention-level'!$A:$A="HKI"),0))),"Not specified")</f>
        <v>0.09</v>
      </c>
      <c r="E95" s="226">
        <f t="array" ref="E95">iferror(if(isblank($A95),"",index('Supplemental intervention-level'!$M:$M,match(1,('Supplemental intervention-level'!$C:$C=$A95)*('Supplemental intervention-level'!$A:$A="HKI"),0))),"Not specified")</f>
        <v>0.09</v>
      </c>
      <c r="F95" s="226">
        <f t="array" ref="F95">iferror(if(isblank($A95),"",index('Supplemental intervention-level'!$M:$M,match(1,('Supplemental intervention-level'!$C:$C=$A95)*('Supplemental intervention-level'!$A:$A="HKI"),0))),"Not specified")</f>
        <v>0.09</v>
      </c>
      <c r="G95" s="226">
        <f t="array" ref="G95">iferror(if(isblank($A95),"",index('Supplemental intervention-level'!$M:$M,match(1,('Supplemental intervention-level'!$C:$C=$A95)*('Supplemental intervention-level'!$A:$A="HKI"),0))),"Not specified")</f>
        <v>0.09</v>
      </c>
      <c r="H95" s="226">
        <f t="array" ref="H95">iferror(if(isblank($A95),"",index('Supplemental intervention-level'!$M:$M,match(1,('Supplemental intervention-level'!$C:$C=$A95)*('Supplemental intervention-level'!$A:$A="HKI"),0))),"Not specified")</f>
        <v>0.09</v>
      </c>
      <c r="I95" s="226">
        <f t="array" ref="I95">iferror(if(isblank($A95),"",index('Supplemental intervention-level'!$M:$M,match(1,('Supplemental intervention-level'!$C:$C=$A95)*('Supplemental intervention-level'!$A:$A="HKI"),0))),"Not specified")</f>
        <v>0.09</v>
      </c>
      <c r="J95" s="226">
        <f t="array" ref="J95">iferror(if(isblank($A95),"",index('Supplemental intervention-level'!$M:$M,match(1,('Supplemental intervention-level'!$C:$C=$A95)*('Supplemental intervention-level'!$A:$A="HKI"),0))),"Not specified")</f>
        <v>0.09</v>
      </c>
      <c r="K95" s="226">
        <f t="array" ref="K95">iferror(if(isblank($A95),"",index('Supplemental intervention-level'!$M:$M,match(1,('Supplemental intervention-level'!$C:$C=$A95)*('Supplemental intervention-level'!$A:$A="HKI"),0))),"Not specified")</f>
        <v>0.09</v>
      </c>
      <c r="L95" s="226">
        <f t="array" ref="L95">iferror(if(isblank($A95),"",index('Supplemental intervention-level'!$M:$M,match(1,('Supplemental intervention-level'!$C:$C=$A95)*('Supplemental intervention-level'!$A:$A="HKI"),0))),"Not specified")</f>
        <v>0.09</v>
      </c>
      <c r="M95" s="226">
        <f t="array" ref="M95">iferror(if(isblank($A95),"",index('Supplemental intervention-level'!$M:$M,match(1,('Supplemental intervention-level'!$C:$C=$A95)*('Supplemental intervention-level'!$A:$A="HKI"),0))),"Not specified")</f>
        <v>0.09</v>
      </c>
      <c r="N95" s="226">
        <f t="array" ref="N95">iferror(if(isblank($A95),"",index('Supplemental intervention-level'!$M:$M,match(1,('Supplemental intervention-level'!$C:$C=$A95)*('Supplemental intervention-level'!$A:$A="HKI"),0))),"Not specified")</f>
        <v>0.09</v>
      </c>
      <c r="O95" s="226">
        <f t="array" ref="O95">iferror(if(isblank($A95),"",index('Supplemental intervention-level'!$M:$M,match(1,('Supplemental intervention-level'!$C:$C=$A95)*('Supplemental intervention-level'!$A:$A="HKI"),0))),"Not specified")</f>
        <v>0.09</v>
      </c>
      <c r="P95" s="226">
        <f t="array" ref="P95">iferror(if(isblank($A95),"",index('Supplemental intervention-level'!$M:$M,match(1,('Supplemental intervention-level'!$C:$C=$A95)*('Supplemental intervention-level'!$A:$A="HKI"),0))),"Not specified")</f>
        <v>0.09</v>
      </c>
      <c r="Q95" s="226">
        <f t="array" ref="Q95">iferror(if(isblank($A95),"",index('Supplemental intervention-level'!$M:$M,match(1,('Supplemental intervention-level'!$C:$C=$A95)*('Supplemental intervention-level'!$A:$A="HKI"),0))),"Not specified")</f>
        <v>0.09</v>
      </c>
      <c r="R95" s="226">
        <f t="array" ref="R95">iferror(if(isblank($A95),"",index('Supplemental intervention-level'!$M:$M,match(1,('Supplemental intervention-level'!$C:$C=$A95)*('Supplemental intervention-level'!$A:$A="HKI"),0))),"Not specified")</f>
        <v>0.09</v>
      </c>
      <c r="S95" s="226">
        <f t="array" ref="S95">iferror(if(isblank($A95),"",index('Supplemental intervention-level'!$M:$M,match(1,('Supplemental intervention-level'!$C:$C=$A95)*('Supplemental intervention-level'!$A:$A="HKI"),0))),"Not specified")</f>
        <v>0.09</v>
      </c>
      <c r="T95" s="226">
        <f t="array" ref="T95">iferror(if(isblank($A95),"",index('Supplemental intervention-level'!$M:$M,match(1,('Supplemental intervention-level'!$C:$C=$A95)*('Supplemental intervention-level'!$A:$A="HKI"),0))),"Not specified")</f>
        <v>0.09</v>
      </c>
      <c r="U95" s="226">
        <f t="array" ref="U95">iferror(if(isblank($A95),"",index('Supplemental intervention-level'!$M:$M,match(1,('Supplemental intervention-level'!$C:$C=$A95)*('Supplemental intervention-level'!$A:$A="HKI"),0))),"Not specified")</f>
        <v>0.09</v>
      </c>
      <c r="V95" s="226">
        <f t="array" ref="V95">iferror(if(isblank($A95),"",index('Supplemental intervention-level'!$M:$M,match(1,('Supplemental intervention-level'!$C:$C=$A95)*('Supplemental intervention-level'!$A:$A="HKI"),0))),"Not specified")</f>
        <v>0.09</v>
      </c>
      <c r="W95" s="226">
        <f t="array" ref="W95">iferror(if(isblank($A95),"",index('Supplemental intervention-level'!$M:$M,match(1,('Supplemental intervention-level'!$C:$C=$A95)*('Supplemental intervention-level'!$A:$A="HKI"),0))),"Not specified")</f>
        <v>0.09</v>
      </c>
      <c r="X95" s="226">
        <f t="array" ref="X95">iferror(if(isblank($A95),"",index('Supplemental intervention-level'!$M:$M,match(1,('Supplemental intervention-level'!$C:$C=$A95)*('Supplemental intervention-level'!$A:$A="HKI"),0))),"Not specified")</f>
        <v>0.09</v>
      </c>
      <c r="Y95" s="226">
        <f t="array" ref="Y95">iferror(if(isblank($A95),"",index('Supplemental intervention-level'!$M:$M,match(1,('Supplemental intervention-level'!$C:$C=$A95)*('Supplemental intervention-level'!$A:$A="HKI"),0))),"Not specified")</f>
        <v>0.09</v>
      </c>
    </row>
    <row r="96" outlineLevel="1">
      <c r="A96" s="116" t="str">
        <f>IFERROR(__xludf.DUMMYFUNCTION("""COMPUTED_VALUE"""),"Investment of income increases")</f>
        <v>Investment of income increases</v>
      </c>
      <c r="B96" s="226">
        <f t="array" ref="B96">iferror(if(isblank($A96),"",index('Supplemental intervention-level'!$M:$M,match(1,('Supplemental intervention-level'!$C:$C=$A96)*('Supplemental intervention-level'!$A:$A="HKI"),0))),"Not specified")</f>
        <v>0.03</v>
      </c>
      <c r="C96" s="226">
        <f t="array" ref="C96">iferror(if(isblank($A96),"",index('Supplemental intervention-level'!$M:$M,match(1,('Supplemental intervention-level'!$C:$C=$A96)*('Supplemental intervention-level'!$A:$A="HKI"),0))),"Not specified")</f>
        <v>0.03</v>
      </c>
      <c r="D96" s="226">
        <f t="array" ref="D96">iferror(if(isblank($A96),"",index('Supplemental intervention-level'!$M:$M,match(1,('Supplemental intervention-level'!$C:$C=$A96)*('Supplemental intervention-level'!$A:$A="HKI"),0))),"Not specified")</f>
        <v>0.03</v>
      </c>
      <c r="E96" s="226">
        <f t="array" ref="E96">iferror(if(isblank($A96),"",index('Supplemental intervention-level'!$M:$M,match(1,('Supplemental intervention-level'!$C:$C=$A96)*('Supplemental intervention-level'!$A:$A="HKI"),0))),"Not specified")</f>
        <v>0.03</v>
      </c>
      <c r="F96" s="226">
        <f t="array" ref="F96">iferror(if(isblank($A96),"",index('Supplemental intervention-level'!$M:$M,match(1,('Supplemental intervention-level'!$C:$C=$A96)*('Supplemental intervention-level'!$A:$A="HKI"),0))),"Not specified")</f>
        <v>0.03</v>
      </c>
      <c r="G96" s="226">
        <f t="array" ref="G96">iferror(if(isblank($A96),"",index('Supplemental intervention-level'!$M:$M,match(1,('Supplemental intervention-level'!$C:$C=$A96)*('Supplemental intervention-level'!$A:$A="HKI"),0))),"Not specified")</f>
        <v>0.03</v>
      </c>
      <c r="H96" s="226">
        <f t="array" ref="H96">iferror(if(isblank($A96),"",index('Supplemental intervention-level'!$M:$M,match(1,('Supplemental intervention-level'!$C:$C=$A96)*('Supplemental intervention-level'!$A:$A="HKI"),0))),"Not specified")</f>
        <v>0.03</v>
      </c>
      <c r="I96" s="226">
        <f t="array" ref="I96">iferror(if(isblank($A96),"",index('Supplemental intervention-level'!$M:$M,match(1,('Supplemental intervention-level'!$C:$C=$A96)*('Supplemental intervention-level'!$A:$A="HKI"),0))),"Not specified")</f>
        <v>0.03</v>
      </c>
      <c r="J96" s="226">
        <f t="array" ref="J96">iferror(if(isblank($A96),"",index('Supplemental intervention-level'!$M:$M,match(1,('Supplemental intervention-level'!$C:$C=$A96)*('Supplemental intervention-level'!$A:$A="HKI"),0))),"Not specified")</f>
        <v>0.03</v>
      </c>
      <c r="K96" s="226">
        <f t="array" ref="K96">iferror(if(isblank($A96),"",index('Supplemental intervention-level'!$M:$M,match(1,('Supplemental intervention-level'!$C:$C=$A96)*('Supplemental intervention-level'!$A:$A="HKI"),0))),"Not specified")</f>
        <v>0.03</v>
      </c>
      <c r="L96" s="226">
        <f t="array" ref="L96">iferror(if(isblank($A96),"",index('Supplemental intervention-level'!$M:$M,match(1,('Supplemental intervention-level'!$C:$C=$A96)*('Supplemental intervention-level'!$A:$A="HKI"),0))),"Not specified")</f>
        <v>0.03</v>
      </c>
      <c r="M96" s="226">
        <f t="array" ref="M96">iferror(if(isblank($A96),"",index('Supplemental intervention-level'!$M:$M,match(1,('Supplemental intervention-level'!$C:$C=$A96)*('Supplemental intervention-level'!$A:$A="HKI"),0))),"Not specified")</f>
        <v>0.03</v>
      </c>
      <c r="N96" s="226">
        <f t="array" ref="N96">iferror(if(isblank($A96),"",index('Supplemental intervention-level'!$M:$M,match(1,('Supplemental intervention-level'!$C:$C=$A96)*('Supplemental intervention-level'!$A:$A="HKI"),0))),"Not specified")</f>
        <v>0.03</v>
      </c>
      <c r="O96" s="226">
        <f t="array" ref="O96">iferror(if(isblank($A96),"",index('Supplemental intervention-level'!$M:$M,match(1,('Supplemental intervention-level'!$C:$C=$A96)*('Supplemental intervention-level'!$A:$A="HKI"),0))),"Not specified")</f>
        <v>0.03</v>
      </c>
      <c r="P96" s="226">
        <f t="array" ref="P96">iferror(if(isblank($A96),"",index('Supplemental intervention-level'!$M:$M,match(1,('Supplemental intervention-level'!$C:$C=$A96)*('Supplemental intervention-level'!$A:$A="HKI"),0))),"Not specified")</f>
        <v>0.03</v>
      </c>
      <c r="Q96" s="226">
        <f t="array" ref="Q96">iferror(if(isblank($A96),"",index('Supplemental intervention-level'!$M:$M,match(1,('Supplemental intervention-level'!$C:$C=$A96)*('Supplemental intervention-level'!$A:$A="HKI"),0))),"Not specified")</f>
        <v>0.03</v>
      </c>
      <c r="R96" s="226">
        <f t="array" ref="R96">iferror(if(isblank($A96),"",index('Supplemental intervention-level'!$M:$M,match(1,('Supplemental intervention-level'!$C:$C=$A96)*('Supplemental intervention-level'!$A:$A="HKI"),0))),"Not specified")</f>
        <v>0.03</v>
      </c>
      <c r="S96" s="226">
        <f t="array" ref="S96">iferror(if(isblank($A96),"",index('Supplemental intervention-level'!$M:$M,match(1,('Supplemental intervention-level'!$C:$C=$A96)*('Supplemental intervention-level'!$A:$A="HKI"),0))),"Not specified")</f>
        <v>0.03</v>
      </c>
      <c r="T96" s="226">
        <f t="array" ref="T96">iferror(if(isblank($A96),"",index('Supplemental intervention-level'!$M:$M,match(1,('Supplemental intervention-level'!$C:$C=$A96)*('Supplemental intervention-level'!$A:$A="HKI"),0))),"Not specified")</f>
        <v>0.03</v>
      </c>
      <c r="U96" s="226">
        <f t="array" ref="U96">iferror(if(isblank($A96),"",index('Supplemental intervention-level'!$M:$M,match(1,('Supplemental intervention-level'!$C:$C=$A96)*('Supplemental intervention-level'!$A:$A="HKI"),0))),"Not specified")</f>
        <v>0.03</v>
      </c>
      <c r="V96" s="226">
        <f t="array" ref="V96">iferror(if(isblank($A96),"",index('Supplemental intervention-level'!$M:$M,match(1,('Supplemental intervention-level'!$C:$C=$A96)*('Supplemental intervention-level'!$A:$A="HKI"),0))),"Not specified")</f>
        <v>0.03</v>
      </c>
      <c r="W96" s="226">
        <f t="array" ref="W96">iferror(if(isblank($A96),"",index('Supplemental intervention-level'!$M:$M,match(1,('Supplemental intervention-level'!$C:$C=$A96)*('Supplemental intervention-level'!$A:$A="HKI"),0))),"Not specified")</f>
        <v>0.03</v>
      </c>
      <c r="X96" s="226">
        <f t="array" ref="X96">iferror(if(isblank($A96),"",index('Supplemental intervention-level'!$M:$M,match(1,('Supplemental intervention-level'!$C:$C=$A96)*('Supplemental intervention-level'!$A:$A="HKI"),0))),"Not specified")</f>
        <v>0.03</v>
      </c>
      <c r="Y96" s="226">
        <f t="array" ref="Y96">iferror(if(isblank($A96),"",index('Supplemental intervention-level'!$M:$M,match(1,('Supplemental intervention-level'!$C:$C=$A96)*('Supplemental intervention-level'!$A:$A="HKI"),0))),"Not specified")</f>
        <v>0.03</v>
      </c>
    </row>
    <row r="97" outlineLevel="1">
      <c r="A97" s="116" t="str">
        <f>IFERROR(__xludf.DUMMYFUNCTION("""COMPUTED_VALUE"""),"Vision benefits")</f>
        <v>Vision benefits</v>
      </c>
      <c r="B97" s="226">
        <f t="array" ref="B97">iferror(if(isblank($A97),"",index('Supplemental intervention-level'!$M:$M,match(1,('Supplemental intervention-level'!$C:$C=$A97)*('Supplemental intervention-level'!$A:$A="HKI"),0))),"Not specified")</f>
        <v>0.09</v>
      </c>
      <c r="C97" s="226">
        <f t="array" ref="C97">iferror(if(isblank($A97),"",index('Supplemental intervention-level'!$M:$M,match(1,('Supplemental intervention-level'!$C:$C=$A97)*('Supplemental intervention-level'!$A:$A="HKI"),0))),"Not specified")</f>
        <v>0.09</v>
      </c>
      <c r="D97" s="226">
        <f t="array" ref="D97">iferror(if(isblank($A97),"",index('Supplemental intervention-level'!$M:$M,match(1,('Supplemental intervention-level'!$C:$C=$A97)*('Supplemental intervention-level'!$A:$A="HKI"),0))),"Not specified")</f>
        <v>0.09</v>
      </c>
      <c r="E97" s="226">
        <f t="array" ref="E97">iferror(if(isblank($A97),"",index('Supplemental intervention-level'!$M:$M,match(1,('Supplemental intervention-level'!$C:$C=$A97)*('Supplemental intervention-level'!$A:$A="HKI"),0))),"Not specified")</f>
        <v>0.09</v>
      </c>
      <c r="F97" s="226">
        <f t="array" ref="F97">iferror(if(isblank($A97),"",index('Supplemental intervention-level'!$M:$M,match(1,('Supplemental intervention-level'!$C:$C=$A97)*('Supplemental intervention-level'!$A:$A="HKI"),0))),"Not specified")</f>
        <v>0.09</v>
      </c>
      <c r="G97" s="226">
        <f t="array" ref="G97">iferror(if(isblank($A97),"",index('Supplemental intervention-level'!$M:$M,match(1,('Supplemental intervention-level'!$C:$C=$A97)*('Supplemental intervention-level'!$A:$A="HKI"),0))),"Not specified")</f>
        <v>0.09</v>
      </c>
      <c r="H97" s="226">
        <f t="array" ref="H97">iferror(if(isblank($A97),"",index('Supplemental intervention-level'!$M:$M,match(1,('Supplemental intervention-level'!$C:$C=$A97)*('Supplemental intervention-level'!$A:$A="HKI"),0))),"Not specified")</f>
        <v>0.09</v>
      </c>
      <c r="I97" s="226">
        <f t="array" ref="I97">iferror(if(isblank($A97),"",index('Supplemental intervention-level'!$M:$M,match(1,('Supplemental intervention-level'!$C:$C=$A97)*('Supplemental intervention-level'!$A:$A="HKI"),0))),"Not specified")</f>
        <v>0.09</v>
      </c>
      <c r="J97" s="226">
        <f t="array" ref="J97">iferror(if(isblank($A97),"",index('Supplemental intervention-level'!$M:$M,match(1,('Supplemental intervention-level'!$C:$C=$A97)*('Supplemental intervention-level'!$A:$A="HKI"),0))),"Not specified")</f>
        <v>0.09</v>
      </c>
      <c r="K97" s="226">
        <f t="array" ref="K97">iferror(if(isblank($A97),"",index('Supplemental intervention-level'!$M:$M,match(1,('Supplemental intervention-level'!$C:$C=$A97)*('Supplemental intervention-level'!$A:$A="HKI"),0))),"Not specified")</f>
        <v>0.09</v>
      </c>
      <c r="L97" s="226">
        <f t="array" ref="L97">iferror(if(isblank($A97),"",index('Supplemental intervention-level'!$M:$M,match(1,('Supplemental intervention-level'!$C:$C=$A97)*('Supplemental intervention-level'!$A:$A="HKI"),0))),"Not specified")</f>
        <v>0.09</v>
      </c>
      <c r="M97" s="226">
        <f t="array" ref="M97">iferror(if(isblank($A97),"",index('Supplemental intervention-level'!$M:$M,match(1,('Supplemental intervention-level'!$C:$C=$A97)*('Supplemental intervention-level'!$A:$A="HKI"),0))),"Not specified")</f>
        <v>0.09</v>
      </c>
      <c r="N97" s="226">
        <f t="array" ref="N97">iferror(if(isblank($A97),"",index('Supplemental intervention-level'!$M:$M,match(1,('Supplemental intervention-level'!$C:$C=$A97)*('Supplemental intervention-level'!$A:$A="HKI"),0))),"Not specified")</f>
        <v>0.09</v>
      </c>
      <c r="O97" s="226">
        <f t="array" ref="O97">iferror(if(isblank($A97),"",index('Supplemental intervention-level'!$M:$M,match(1,('Supplemental intervention-level'!$C:$C=$A97)*('Supplemental intervention-level'!$A:$A="HKI"),0))),"Not specified")</f>
        <v>0.09</v>
      </c>
      <c r="P97" s="226">
        <f t="array" ref="P97">iferror(if(isblank($A97),"",index('Supplemental intervention-level'!$M:$M,match(1,('Supplemental intervention-level'!$C:$C=$A97)*('Supplemental intervention-level'!$A:$A="HKI"),0))),"Not specified")</f>
        <v>0.09</v>
      </c>
      <c r="Q97" s="226">
        <f t="array" ref="Q97">iferror(if(isblank($A97),"",index('Supplemental intervention-level'!$M:$M,match(1,('Supplemental intervention-level'!$C:$C=$A97)*('Supplemental intervention-level'!$A:$A="HKI"),0))),"Not specified")</f>
        <v>0.09</v>
      </c>
      <c r="R97" s="226">
        <f t="array" ref="R97">iferror(if(isblank($A97),"",index('Supplemental intervention-level'!$M:$M,match(1,('Supplemental intervention-level'!$C:$C=$A97)*('Supplemental intervention-level'!$A:$A="HKI"),0))),"Not specified")</f>
        <v>0.09</v>
      </c>
      <c r="S97" s="226">
        <f t="array" ref="S97">iferror(if(isblank($A97),"",index('Supplemental intervention-level'!$M:$M,match(1,('Supplemental intervention-level'!$C:$C=$A97)*('Supplemental intervention-level'!$A:$A="HKI"),0))),"Not specified")</f>
        <v>0.09</v>
      </c>
      <c r="T97" s="226">
        <f t="array" ref="T97">iferror(if(isblank($A97),"",index('Supplemental intervention-level'!$M:$M,match(1,('Supplemental intervention-level'!$C:$C=$A97)*('Supplemental intervention-level'!$A:$A="HKI"),0))),"Not specified")</f>
        <v>0.09</v>
      </c>
      <c r="U97" s="226">
        <f t="array" ref="U97">iferror(if(isblank($A97),"",index('Supplemental intervention-level'!$M:$M,match(1,('Supplemental intervention-level'!$C:$C=$A97)*('Supplemental intervention-level'!$A:$A="HKI"),0))),"Not specified")</f>
        <v>0.09</v>
      </c>
      <c r="V97" s="226">
        <f t="array" ref="V97">iferror(if(isblank($A97),"",index('Supplemental intervention-level'!$M:$M,match(1,('Supplemental intervention-level'!$C:$C=$A97)*('Supplemental intervention-level'!$A:$A="HKI"),0))),"Not specified")</f>
        <v>0.09</v>
      </c>
      <c r="W97" s="226">
        <f t="array" ref="W97">iferror(if(isblank($A97),"",index('Supplemental intervention-level'!$M:$M,match(1,('Supplemental intervention-level'!$C:$C=$A97)*('Supplemental intervention-level'!$A:$A="HKI"),0))),"Not specified")</f>
        <v>0.09</v>
      </c>
      <c r="X97" s="226">
        <f t="array" ref="X97">iferror(if(isblank($A97),"",index('Supplemental intervention-level'!$M:$M,match(1,('Supplemental intervention-level'!$C:$C=$A97)*('Supplemental intervention-level'!$A:$A="HKI"),0))),"Not specified")</f>
        <v>0.09</v>
      </c>
      <c r="Y97" s="226">
        <f t="array" ref="Y97">iferror(if(isblank($A97),"",index('Supplemental intervention-level'!$M:$M,match(1,('Supplemental intervention-level'!$C:$C=$A97)*('Supplemental intervention-level'!$A:$A="HKI"),0))),"Not specified")</f>
        <v>0.09</v>
      </c>
    </row>
    <row r="98" outlineLevel="1">
      <c r="A98" s="116" t="str">
        <f>IFERROR(__xludf.DUMMYFUNCTION("""COMPUTED_VALUE"""),"Benefits from other programs supported by our funding (e.g. deworming, immunizations)")</f>
        <v>Benefits from other programs supported by our funding (e.g. deworming, immunizations)</v>
      </c>
      <c r="B98" s="226">
        <f t="array" ref="B98">iferror(if(isblank($A98),"",index('Supplemental intervention-level'!$M:$M,match(1,('Supplemental intervention-level'!$C:$C=$A98)*('Supplemental intervention-level'!$A:$A="HKI"),0))),"Not specified")</f>
        <v>0.18</v>
      </c>
      <c r="C98" s="226">
        <f t="array" ref="C98">iferror(if(isblank($A98),"",index('Supplemental intervention-level'!$M:$M,match(1,('Supplemental intervention-level'!$C:$C=$A98)*('Supplemental intervention-level'!$A:$A="HKI"),0))),"Not specified")</f>
        <v>0.18</v>
      </c>
      <c r="D98" s="226">
        <f t="array" ref="D98">iferror(if(isblank($A98),"",index('Supplemental intervention-level'!$M:$M,match(1,('Supplemental intervention-level'!$C:$C=$A98)*('Supplemental intervention-level'!$A:$A="HKI"),0))),"Not specified")</f>
        <v>0.18</v>
      </c>
      <c r="E98" s="226">
        <f t="array" ref="E98">iferror(if(isblank($A98),"",index('Supplemental intervention-level'!$M:$M,match(1,('Supplemental intervention-level'!$C:$C=$A98)*('Supplemental intervention-level'!$A:$A="HKI"),0))),"Not specified")</f>
        <v>0.18</v>
      </c>
      <c r="F98" s="226">
        <f t="array" ref="F98">iferror(if(isblank($A98),"",index('Supplemental intervention-level'!$M:$M,match(1,('Supplemental intervention-level'!$C:$C=$A98)*('Supplemental intervention-level'!$A:$A="HKI"),0))),"Not specified")</f>
        <v>0.18</v>
      </c>
      <c r="G98" s="226">
        <f t="array" ref="G98">iferror(if(isblank($A98),"",index('Supplemental intervention-level'!$M:$M,match(1,('Supplemental intervention-level'!$C:$C=$A98)*('Supplemental intervention-level'!$A:$A="HKI"),0))),"Not specified")</f>
        <v>0.18</v>
      </c>
      <c r="H98" s="226">
        <f t="array" ref="H98">iferror(if(isblank($A98),"",index('Supplemental intervention-level'!$M:$M,match(1,('Supplemental intervention-level'!$C:$C=$A98)*('Supplemental intervention-level'!$A:$A="HKI"),0))),"Not specified")</f>
        <v>0.18</v>
      </c>
      <c r="I98" s="226">
        <f t="array" ref="I98">iferror(if(isblank($A98),"",index('Supplemental intervention-level'!$M:$M,match(1,('Supplemental intervention-level'!$C:$C=$A98)*('Supplemental intervention-level'!$A:$A="HKI"),0))),"Not specified")</f>
        <v>0.18</v>
      </c>
      <c r="J98" s="226">
        <f t="array" ref="J98">iferror(if(isblank($A98),"",index('Supplemental intervention-level'!$M:$M,match(1,('Supplemental intervention-level'!$C:$C=$A98)*('Supplemental intervention-level'!$A:$A="HKI"),0))),"Not specified")</f>
        <v>0.18</v>
      </c>
      <c r="K98" s="226">
        <f t="array" ref="K98">iferror(if(isblank($A98),"",index('Supplemental intervention-level'!$M:$M,match(1,('Supplemental intervention-level'!$C:$C=$A98)*('Supplemental intervention-level'!$A:$A="HKI"),0))),"Not specified")</f>
        <v>0.18</v>
      </c>
      <c r="L98" s="226">
        <f t="array" ref="L98">iferror(if(isblank($A98),"",index('Supplemental intervention-level'!$M:$M,match(1,('Supplemental intervention-level'!$C:$C=$A98)*('Supplemental intervention-level'!$A:$A="HKI"),0))),"Not specified")</f>
        <v>0.18</v>
      </c>
      <c r="M98" s="226">
        <f t="array" ref="M98">iferror(if(isblank($A98),"",index('Supplemental intervention-level'!$M:$M,match(1,('Supplemental intervention-level'!$C:$C=$A98)*('Supplemental intervention-level'!$A:$A="HKI"),0))),"Not specified")</f>
        <v>0.18</v>
      </c>
      <c r="N98" s="226">
        <f t="array" ref="N98">iferror(if(isblank($A98),"",index('Supplemental intervention-level'!$M:$M,match(1,('Supplemental intervention-level'!$C:$C=$A98)*('Supplemental intervention-level'!$A:$A="HKI"),0))),"Not specified")</f>
        <v>0.18</v>
      </c>
      <c r="O98" s="226">
        <f t="array" ref="O98">iferror(if(isblank($A98),"",index('Supplemental intervention-level'!$M:$M,match(1,('Supplemental intervention-level'!$C:$C=$A98)*('Supplemental intervention-level'!$A:$A="HKI"),0))),"Not specified")</f>
        <v>0.18</v>
      </c>
      <c r="P98" s="226">
        <f t="array" ref="P98">iferror(if(isblank($A98),"",index('Supplemental intervention-level'!$M:$M,match(1,('Supplemental intervention-level'!$C:$C=$A98)*('Supplemental intervention-level'!$A:$A="HKI"),0))),"Not specified")</f>
        <v>0.18</v>
      </c>
      <c r="Q98" s="226">
        <f t="array" ref="Q98">iferror(if(isblank($A98),"",index('Supplemental intervention-level'!$M:$M,match(1,('Supplemental intervention-level'!$C:$C=$A98)*('Supplemental intervention-level'!$A:$A="HKI"),0))),"Not specified")</f>
        <v>0.18</v>
      </c>
      <c r="R98" s="226">
        <f t="array" ref="R98">iferror(if(isblank($A98),"",index('Supplemental intervention-level'!$M:$M,match(1,('Supplemental intervention-level'!$C:$C=$A98)*('Supplemental intervention-level'!$A:$A="HKI"),0))),"Not specified")</f>
        <v>0.18</v>
      </c>
      <c r="S98" s="226">
        <f t="array" ref="S98">iferror(if(isblank($A98),"",index('Supplemental intervention-level'!$M:$M,match(1,('Supplemental intervention-level'!$C:$C=$A98)*('Supplemental intervention-level'!$A:$A="HKI"),0))),"Not specified")</f>
        <v>0.18</v>
      </c>
      <c r="T98" s="226">
        <f t="array" ref="T98">iferror(if(isblank($A98),"",index('Supplemental intervention-level'!$M:$M,match(1,('Supplemental intervention-level'!$C:$C=$A98)*('Supplemental intervention-level'!$A:$A="HKI"),0))),"Not specified")</f>
        <v>0.18</v>
      </c>
      <c r="U98" s="226">
        <f t="array" ref="U98">iferror(if(isblank($A98),"",index('Supplemental intervention-level'!$M:$M,match(1,('Supplemental intervention-level'!$C:$C=$A98)*('Supplemental intervention-level'!$A:$A="HKI"),0))),"Not specified")</f>
        <v>0.18</v>
      </c>
      <c r="V98" s="226">
        <f t="array" ref="V98">iferror(if(isblank($A98),"",index('Supplemental intervention-level'!$M:$M,match(1,('Supplemental intervention-level'!$C:$C=$A98)*('Supplemental intervention-level'!$A:$A="HKI"),0))),"Not specified")</f>
        <v>0.18</v>
      </c>
      <c r="W98" s="226">
        <f t="array" ref="W98">iferror(if(isblank($A98),"",index('Supplemental intervention-level'!$M:$M,match(1,('Supplemental intervention-level'!$C:$C=$A98)*('Supplemental intervention-level'!$A:$A="HKI"),0))),"Not specified")</f>
        <v>0.18</v>
      </c>
      <c r="X98" s="226">
        <f t="array" ref="X98">iferror(if(isblank($A98),"",index('Supplemental intervention-level'!$M:$M,match(1,('Supplemental intervention-level'!$C:$C=$A98)*('Supplemental intervention-level'!$A:$A="HKI"),0))),"Not specified")</f>
        <v>0.18</v>
      </c>
      <c r="Y98" s="226">
        <f t="array" ref="Y98">iferror(if(isblank($A98),"",index('Supplemental intervention-level'!$M:$M,match(1,('Supplemental intervention-level'!$C:$C=$A98)*('Supplemental intervention-level'!$A:$A="HKI"),0))),"Not specified")</f>
        <v>0.18</v>
      </c>
    </row>
    <row r="99" outlineLevel="1">
      <c r="A99" s="55" t="str">
        <f>IFERROR(__xludf.DUMMYFUNCTION("""COMPUTED_VALUE"""),"Interaction between VAS and vaccines")</f>
        <v>Interaction between VAS and vaccines</v>
      </c>
      <c r="B99" s="226">
        <f t="array" ref="B99">iferror(if(isblank($A99),"",index('Supplemental intervention-level'!$M:$M,match(1,('Supplemental intervention-level'!$C:$C=$A99)*('Supplemental intervention-level'!$A:$A="HKI"),0))),"Not specified")</f>
        <v>0.015</v>
      </c>
      <c r="C99" s="226">
        <f t="array" ref="C99">iferror(if(isblank($A99),"",index('Supplemental intervention-level'!$M:$M,match(1,('Supplemental intervention-level'!$C:$C=$A99)*('Supplemental intervention-level'!$A:$A="HKI"),0))),"Not specified")</f>
        <v>0.015</v>
      </c>
      <c r="D99" s="226">
        <f t="array" ref="D99">iferror(if(isblank($A99),"",index('Supplemental intervention-level'!$M:$M,match(1,('Supplemental intervention-level'!$C:$C=$A99)*('Supplemental intervention-level'!$A:$A="HKI"),0))),"Not specified")</f>
        <v>0.015</v>
      </c>
      <c r="E99" s="226">
        <f t="array" ref="E99">iferror(if(isblank($A99),"",index('Supplemental intervention-level'!$M:$M,match(1,('Supplemental intervention-level'!$C:$C=$A99)*('Supplemental intervention-level'!$A:$A="HKI"),0))),"Not specified")</f>
        <v>0.015</v>
      </c>
      <c r="F99" s="226">
        <f t="array" ref="F99">iferror(if(isblank($A99),"",index('Supplemental intervention-level'!$M:$M,match(1,('Supplemental intervention-level'!$C:$C=$A99)*('Supplemental intervention-level'!$A:$A="HKI"),0))),"Not specified")</f>
        <v>0.015</v>
      </c>
      <c r="G99" s="226">
        <f t="array" ref="G99">iferror(if(isblank($A99),"",index('Supplemental intervention-level'!$M:$M,match(1,('Supplemental intervention-level'!$C:$C=$A99)*('Supplemental intervention-level'!$A:$A="HKI"),0))),"Not specified")</f>
        <v>0.015</v>
      </c>
      <c r="H99" s="226">
        <f t="array" ref="H99">iferror(if(isblank($A99),"",index('Supplemental intervention-level'!$M:$M,match(1,('Supplemental intervention-level'!$C:$C=$A99)*('Supplemental intervention-level'!$A:$A="HKI"),0))),"Not specified")</f>
        <v>0.015</v>
      </c>
      <c r="I99" s="226">
        <f t="array" ref="I99">iferror(if(isblank($A99),"",index('Supplemental intervention-level'!$M:$M,match(1,('Supplemental intervention-level'!$C:$C=$A99)*('Supplemental intervention-level'!$A:$A="HKI"),0))),"Not specified")</f>
        <v>0.015</v>
      </c>
      <c r="J99" s="226">
        <f t="array" ref="J99">iferror(if(isblank($A99),"",index('Supplemental intervention-level'!$M:$M,match(1,('Supplemental intervention-level'!$C:$C=$A99)*('Supplemental intervention-level'!$A:$A="HKI"),0))),"Not specified")</f>
        <v>0.015</v>
      </c>
      <c r="K99" s="226">
        <f t="array" ref="K99">iferror(if(isblank($A99),"",index('Supplemental intervention-level'!$M:$M,match(1,('Supplemental intervention-level'!$C:$C=$A99)*('Supplemental intervention-level'!$A:$A="HKI"),0))),"Not specified")</f>
        <v>0.015</v>
      </c>
      <c r="L99" s="226">
        <f t="array" ref="L99">iferror(if(isblank($A99),"",index('Supplemental intervention-level'!$M:$M,match(1,('Supplemental intervention-level'!$C:$C=$A99)*('Supplemental intervention-level'!$A:$A="HKI"),0))),"Not specified")</f>
        <v>0.015</v>
      </c>
      <c r="M99" s="226">
        <f t="array" ref="M99">iferror(if(isblank($A99),"",index('Supplemental intervention-level'!$M:$M,match(1,('Supplemental intervention-level'!$C:$C=$A99)*('Supplemental intervention-level'!$A:$A="HKI"),0))),"Not specified")</f>
        <v>0.015</v>
      </c>
      <c r="N99" s="226">
        <f t="array" ref="N99">iferror(if(isblank($A99),"",index('Supplemental intervention-level'!$M:$M,match(1,('Supplemental intervention-level'!$C:$C=$A99)*('Supplemental intervention-level'!$A:$A="HKI"),0))),"Not specified")</f>
        <v>0.015</v>
      </c>
      <c r="O99" s="226">
        <f t="array" ref="O99">iferror(if(isblank($A99),"",index('Supplemental intervention-level'!$M:$M,match(1,('Supplemental intervention-level'!$C:$C=$A99)*('Supplemental intervention-level'!$A:$A="HKI"),0))),"Not specified")</f>
        <v>0.015</v>
      </c>
      <c r="P99" s="226">
        <f t="array" ref="P99">iferror(if(isblank($A99),"",index('Supplemental intervention-level'!$M:$M,match(1,('Supplemental intervention-level'!$C:$C=$A99)*('Supplemental intervention-level'!$A:$A="HKI"),0))),"Not specified")</f>
        <v>0.015</v>
      </c>
      <c r="Q99" s="226">
        <f t="array" ref="Q99">iferror(if(isblank($A99),"",index('Supplemental intervention-level'!$M:$M,match(1,('Supplemental intervention-level'!$C:$C=$A99)*('Supplemental intervention-level'!$A:$A="HKI"),0))),"Not specified")</f>
        <v>0.015</v>
      </c>
      <c r="R99" s="226">
        <f t="array" ref="R99">iferror(if(isblank($A99),"",index('Supplemental intervention-level'!$M:$M,match(1,('Supplemental intervention-level'!$C:$C=$A99)*('Supplemental intervention-level'!$A:$A="HKI"),0))),"Not specified")</f>
        <v>0.015</v>
      </c>
      <c r="S99" s="226">
        <f t="array" ref="S99">iferror(if(isblank($A99),"",index('Supplemental intervention-level'!$M:$M,match(1,('Supplemental intervention-level'!$C:$C=$A99)*('Supplemental intervention-level'!$A:$A="HKI"),0))),"Not specified")</f>
        <v>0.015</v>
      </c>
      <c r="T99" s="226">
        <f t="array" ref="T99">iferror(if(isblank($A99),"",index('Supplemental intervention-level'!$M:$M,match(1,('Supplemental intervention-level'!$C:$C=$A99)*('Supplemental intervention-level'!$A:$A="HKI"),0))),"Not specified")</f>
        <v>0.015</v>
      </c>
      <c r="U99" s="226">
        <f t="array" ref="U99">iferror(if(isblank($A99),"",index('Supplemental intervention-level'!$M:$M,match(1,('Supplemental intervention-level'!$C:$C=$A99)*('Supplemental intervention-level'!$A:$A="HKI"),0))),"Not specified")</f>
        <v>0.015</v>
      </c>
      <c r="V99" s="226">
        <f t="array" ref="V99">iferror(if(isblank($A99),"",index('Supplemental intervention-level'!$M:$M,match(1,('Supplemental intervention-level'!$C:$C=$A99)*('Supplemental intervention-level'!$A:$A="HKI"),0))),"Not specified")</f>
        <v>0.015</v>
      </c>
      <c r="W99" s="226">
        <f t="array" ref="W99">iferror(if(isblank($A99),"",index('Supplemental intervention-level'!$M:$M,match(1,('Supplemental intervention-level'!$C:$C=$A99)*('Supplemental intervention-level'!$A:$A="HKI"),0))),"Not specified")</f>
        <v>0.015</v>
      </c>
      <c r="X99" s="226">
        <f t="array" ref="X99">iferror(if(isblank($A99),"",index('Supplemental intervention-level'!$M:$M,match(1,('Supplemental intervention-level'!$C:$C=$A99)*('Supplemental intervention-level'!$A:$A="HKI"),0))),"Not specified")</f>
        <v>0.015</v>
      </c>
      <c r="Y99" s="226">
        <f t="array" ref="Y99">iferror(if(isblank($A99),"",index('Supplemental intervention-level'!$M:$M,match(1,('Supplemental intervention-level'!$C:$C=$A99)*('Supplemental intervention-level'!$A:$A="HKI"),0))),"Not specified")</f>
        <v>0.015</v>
      </c>
    </row>
    <row r="100" outlineLevel="1">
      <c r="A100" s="116" t="str">
        <f>IFERROR(__xludf.DUMMYFUNCTION("""COMPUTED_VALUE"""),"Effect on fertility")</f>
        <v>Effect on fertility</v>
      </c>
      <c r="B100" s="226" t="str">
        <f t="array" ref="B100">iferror(if(isblank($A100),"",index('Supplemental intervention-level'!$M:$M,match(1,('Supplemental intervention-level'!$C:$C=$A100)*('Supplemental intervention-level'!$A:$A="HKI"),0))),"Not specified")</f>
        <v>Not specified</v>
      </c>
      <c r="C100" s="226" t="str">
        <f t="array" ref="C100">iferror(if(isblank($A100),"",index('Supplemental intervention-level'!$M:$M,match(1,('Supplemental intervention-level'!$C:$C=$A100)*('Supplemental intervention-level'!$A:$A="HKI"),0))),"Not specified")</f>
        <v>Not specified</v>
      </c>
      <c r="D100" s="226" t="str">
        <f t="array" ref="D100">iferror(if(isblank($A100),"",index('Supplemental intervention-level'!$M:$M,match(1,('Supplemental intervention-level'!$C:$C=$A100)*('Supplemental intervention-level'!$A:$A="HKI"),0))),"Not specified")</f>
        <v>Not specified</v>
      </c>
      <c r="E100" s="226" t="str">
        <f t="array" ref="E100">iferror(if(isblank($A100),"",index('Supplemental intervention-level'!$M:$M,match(1,('Supplemental intervention-level'!$C:$C=$A100)*('Supplemental intervention-level'!$A:$A="HKI"),0))),"Not specified")</f>
        <v>Not specified</v>
      </c>
      <c r="F100" s="226" t="str">
        <f t="array" ref="F100">iferror(if(isblank($A100),"",index('Supplemental intervention-level'!$M:$M,match(1,('Supplemental intervention-level'!$C:$C=$A100)*('Supplemental intervention-level'!$A:$A="HKI"),0))),"Not specified")</f>
        <v>Not specified</v>
      </c>
      <c r="G100" s="226" t="str">
        <f t="array" ref="G100">iferror(if(isblank($A100),"",index('Supplemental intervention-level'!$M:$M,match(1,('Supplemental intervention-level'!$C:$C=$A100)*('Supplemental intervention-level'!$A:$A="HKI"),0))),"Not specified")</f>
        <v>Not specified</v>
      </c>
      <c r="H100" s="226" t="str">
        <f t="array" ref="H100">iferror(if(isblank($A100),"",index('Supplemental intervention-level'!$M:$M,match(1,('Supplemental intervention-level'!$C:$C=$A100)*('Supplemental intervention-level'!$A:$A="HKI"),0))),"Not specified")</f>
        <v>Not specified</v>
      </c>
      <c r="I100" s="226" t="str">
        <f t="array" ref="I100">iferror(if(isblank($A100),"",index('Supplemental intervention-level'!$M:$M,match(1,('Supplemental intervention-level'!$C:$C=$A100)*('Supplemental intervention-level'!$A:$A="HKI"),0))),"Not specified")</f>
        <v>Not specified</v>
      </c>
      <c r="J100" s="226" t="str">
        <f t="array" ref="J100">iferror(if(isblank($A100),"",index('Supplemental intervention-level'!$M:$M,match(1,('Supplemental intervention-level'!$C:$C=$A100)*('Supplemental intervention-level'!$A:$A="HKI"),0))),"Not specified")</f>
        <v>Not specified</v>
      </c>
      <c r="K100" s="226" t="str">
        <f t="array" ref="K100">iferror(if(isblank($A100),"",index('Supplemental intervention-level'!$M:$M,match(1,('Supplemental intervention-level'!$C:$C=$A100)*('Supplemental intervention-level'!$A:$A="HKI"),0))),"Not specified")</f>
        <v>Not specified</v>
      </c>
      <c r="L100" s="226" t="str">
        <f t="array" ref="L100">iferror(if(isblank($A100),"",index('Supplemental intervention-level'!$M:$M,match(1,('Supplemental intervention-level'!$C:$C=$A100)*('Supplemental intervention-level'!$A:$A="HKI"),0))),"Not specified")</f>
        <v>Not specified</v>
      </c>
      <c r="M100" s="226" t="str">
        <f t="array" ref="M100">iferror(if(isblank($A100),"",index('Supplemental intervention-level'!$M:$M,match(1,('Supplemental intervention-level'!$C:$C=$A100)*('Supplemental intervention-level'!$A:$A="HKI"),0))),"Not specified")</f>
        <v>Not specified</v>
      </c>
      <c r="N100" s="226" t="str">
        <f t="array" ref="N100">iferror(if(isblank($A100),"",index('Supplemental intervention-level'!$M:$M,match(1,('Supplemental intervention-level'!$C:$C=$A100)*('Supplemental intervention-level'!$A:$A="HKI"),0))),"Not specified")</f>
        <v>Not specified</v>
      </c>
      <c r="O100" s="226" t="str">
        <f t="array" ref="O100">iferror(if(isblank($A100),"",index('Supplemental intervention-level'!$M:$M,match(1,('Supplemental intervention-level'!$C:$C=$A100)*('Supplemental intervention-level'!$A:$A="HKI"),0))),"Not specified")</f>
        <v>Not specified</v>
      </c>
      <c r="P100" s="226" t="str">
        <f t="array" ref="P100">iferror(if(isblank($A100),"",index('Supplemental intervention-level'!$M:$M,match(1,('Supplemental intervention-level'!$C:$C=$A100)*('Supplemental intervention-level'!$A:$A="HKI"),0))),"Not specified")</f>
        <v>Not specified</v>
      </c>
      <c r="Q100" s="226" t="str">
        <f t="array" ref="Q100">iferror(if(isblank($A100),"",index('Supplemental intervention-level'!$M:$M,match(1,('Supplemental intervention-level'!$C:$C=$A100)*('Supplemental intervention-level'!$A:$A="HKI"),0))),"Not specified")</f>
        <v>Not specified</v>
      </c>
      <c r="R100" s="226" t="str">
        <f t="array" ref="R100">iferror(if(isblank($A100),"",index('Supplemental intervention-level'!$M:$M,match(1,('Supplemental intervention-level'!$C:$C=$A100)*('Supplemental intervention-level'!$A:$A="HKI"),0))),"Not specified")</f>
        <v>Not specified</v>
      </c>
      <c r="S100" s="226" t="str">
        <f t="array" ref="S100">iferror(if(isblank($A100),"",index('Supplemental intervention-level'!$M:$M,match(1,('Supplemental intervention-level'!$C:$C=$A100)*('Supplemental intervention-level'!$A:$A="HKI"),0))),"Not specified")</f>
        <v>Not specified</v>
      </c>
      <c r="T100" s="226" t="str">
        <f t="array" ref="T100">iferror(if(isblank($A100),"",index('Supplemental intervention-level'!$M:$M,match(1,('Supplemental intervention-level'!$C:$C=$A100)*('Supplemental intervention-level'!$A:$A="HKI"),0))),"Not specified")</f>
        <v>Not specified</v>
      </c>
      <c r="U100" s="226" t="str">
        <f t="array" ref="U100">iferror(if(isblank($A100),"",index('Supplemental intervention-level'!$M:$M,match(1,('Supplemental intervention-level'!$C:$C=$A100)*('Supplemental intervention-level'!$A:$A="HKI"),0))),"Not specified")</f>
        <v>Not specified</v>
      </c>
      <c r="V100" s="226" t="str">
        <f t="array" ref="V100">iferror(if(isblank($A100),"",index('Supplemental intervention-level'!$M:$M,match(1,('Supplemental intervention-level'!$C:$C=$A100)*('Supplemental intervention-level'!$A:$A="HKI"),0))),"Not specified")</f>
        <v>Not specified</v>
      </c>
      <c r="W100" s="226" t="str">
        <f t="array" ref="W100">iferror(if(isblank($A100),"",index('Supplemental intervention-level'!$M:$M,match(1,('Supplemental intervention-level'!$C:$C=$A100)*('Supplemental intervention-level'!$A:$A="HKI"),0))),"Not specified")</f>
        <v>Not specified</v>
      </c>
      <c r="X100" s="226" t="str">
        <f t="array" ref="X100">iferror(if(isblank($A100),"",index('Supplemental intervention-level'!$M:$M,match(1,('Supplemental intervention-level'!$C:$C=$A100)*('Supplemental intervention-level'!$A:$A="HKI"),0))),"Not specified")</f>
        <v>Not specified</v>
      </c>
      <c r="Y100" s="226" t="str">
        <f t="array" ref="Y100">iferror(if(isblank($A100),"",index('Supplemental intervention-level'!$M:$M,match(1,('Supplemental intervention-level'!$C:$C=$A100)*('Supplemental intervention-level'!$A:$A="HKI"),0))),"Not specified")</f>
        <v>Not specified</v>
      </c>
    </row>
    <row r="101" outlineLevel="1">
      <c r="A101" s="116" t="str">
        <f>IFERROR(__xludf.DUMMYFUNCTION("""COMPUTED_VALUE"""),"Treatment costs averted from prevention")</f>
        <v>Treatment costs averted from prevention</v>
      </c>
      <c r="B101" s="226">
        <f t="array" ref="B101">iferror(if(isblank($A101),"",index('Supplemental intervention-level'!$M:$M,match(1,('Supplemental intervention-level'!$C:$C=$A101)*('Supplemental intervention-level'!$A:$A="HKI"),0))),"Not specified")</f>
        <v>0.2</v>
      </c>
      <c r="C101" s="226">
        <f t="array" ref="C101">iferror(if(isblank($A101),"",index('Supplemental intervention-level'!$M:$M,match(1,('Supplemental intervention-level'!$C:$C=$A101)*('Supplemental intervention-level'!$A:$A="HKI"),0))),"Not specified")</f>
        <v>0.2</v>
      </c>
      <c r="D101" s="226">
        <f t="array" ref="D101">iferror(if(isblank($A101),"",index('Supplemental intervention-level'!$M:$M,match(1,('Supplemental intervention-level'!$C:$C=$A101)*('Supplemental intervention-level'!$A:$A="HKI"),0))),"Not specified")</f>
        <v>0.2</v>
      </c>
      <c r="E101" s="226">
        <f t="array" ref="E101">iferror(if(isblank($A101),"",index('Supplemental intervention-level'!$M:$M,match(1,('Supplemental intervention-level'!$C:$C=$A101)*('Supplemental intervention-level'!$A:$A="HKI"),0))),"Not specified")</f>
        <v>0.2</v>
      </c>
      <c r="F101" s="226">
        <f t="array" ref="F101">iferror(if(isblank($A101),"",index('Supplemental intervention-level'!$M:$M,match(1,('Supplemental intervention-level'!$C:$C=$A101)*('Supplemental intervention-level'!$A:$A="HKI"),0))),"Not specified")</f>
        <v>0.2</v>
      </c>
      <c r="G101" s="226">
        <f t="array" ref="G101">iferror(if(isblank($A101),"",index('Supplemental intervention-level'!$M:$M,match(1,('Supplemental intervention-level'!$C:$C=$A101)*('Supplemental intervention-level'!$A:$A="HKI"),0))),"Not specified")</f>
        <v>0.2</v>
      </c>
      <c r="H101" s="226">
        <f t="array" ref="H101">iferror(if(isblank($A101),"",index('Supplemental intervention-level'!$M:$M,match(1,('Supplemental intervention-level'!$C:$C=$A101)*('Supplemental intervention-level'!$A:$A="HKI"),0))),"Not specified")</f>
        <v>0.2</v>
      </c>
      <c r="I101" s="226">
        <f t="array" ref="I101">iferror(if(isblank($A101),"",index('Supplemental intervention-level'!$M:$M,match(1,('Supplemental intervention-level'!$C:$C=$A101)*('Supplemental intervention-level'!$A:$A="HKI"),0))),"Not specified")</f>
        <v>0.2</v>
      </c>
      <c r="J101" s="226">
        <f t="array" ref="J101">iferror(if(isblank($A101),"",index('Supplemental intervention-level'!$M:$M,match(1,('Supplemental intervention-level'!$C:$C=$A101)*('Supplemental intervention-level'!$A:$A="HKI"),0))),"Not specified")</f>
        <v>0.2</v>
      </c>
      <c r="K101" s="226">
        <f t="array" ref="K101">iferror(if(isblank($A101),"",index('Supplemental intervention-level'!$M:$M,match(1,('Supplemental intervention-level'!$C:$C=$A101)*('Supplemental intervention-level'!$A:$A="HKI"),0))),"Not specified")</f>
        <v>0.2</v>
      </c>
      <c r="L101" s="226">
        <f t="array" ref="L101">iferror(if(isblank($A101),"",index('Supplemental intervention-level'!$M:$M,match(1,('Supplemental intervention-level'!$C:$C=$A101)*('Supplemental intervention-level'!$A:$A="HKI"),0))),"Not specified")</f>
        <v>0.2</v>
      </c>
      <c r="M101" s="226">
        <f t="array" ref="M101">iferror(if(isblank($A101),"",index('Supplemental intervention-level'!$M:$M,match(1,('Supplemental intervention-level'!$C:$C=$A101)*('Supplemental intervention-level'!$A:$A="HKI"),0))),"Not specified")</f>
        <v>0.2</v>
      </c>
      <c r="N101" s="226">
        <f t="array" ref="N101">iferror(if(isblank($A101),"",index('Supplemental intervention-level'!$M:$M,match(1,('Supplemental intervention-level'!$C:$C=$A101)*('Supplemental intervention-level'!$A:$A="HKI"),0))),"Not specified")</f>
        <v>0.2</v>
      </c>
      <c r="O101" s="226">
        <f t="array" ref="O101">iferror(if(isblank($A101),"",index('Supplemental intervention-level'!$M:$M,match(1,('Supplemental intervention-level'!$C:$C=$A101)*('Supplemental intervention-level'!$A:$A="HKI"),0))),"Not specified")</f>
        <v>0.2</v>
      </c>
      <c r="P101" s="226">
        <f t="array" ref="P101">iferror(if(isblank($A101),"",index('Supplemental intervention-level'!$M:$M,match(1,('Supplemental intervention-level'!$C:$C=$A101)*('Supplemental intervention-level'!$A:$A="HKI"),0))),"Not specified")</f>
        <v>0.2</v>
      </c>
      <c r="Q101" s="226">
        <f t="array" ref="Q101">iferror(if(isblank($A101),"",index('Supplemental intervention-level'!$M:$M,match(1,('Supplemental intervention-level'!$C:$C=$A101)*('Supplemental intervention-level'!$A:$A="HKI"),0))),"Not specified")</f>
        <v>0.2</v>
      </c>
      <c r="R101" s="226">
        <f t="array" ref="R101">iferror(if(isblank($A101),"",index('Supplemental intervention-level'!$M:$M,match(1,('Supplemental intervention-level'!$C:$C=$A101)*('Supplemental intervention-level'!$A:$A="HKI"),0))),"Not specified")</f>
        <v>0.2</v>
      </c>
      <c r="S101" s="226">
        <f t="array" ref="S101">iferror(if(isblank($A101),"",index('Supplemental intervention-level'!$M:$M,match(1,('Supplemental intervention-level'!$C:$C=$A101)*('Supplemental intervention-level'!$A:$A="HKI"),0))),"Not specified")</f>
        <v>0.2</v>
      </c>
      <c r="T101" s="226">
        <f t="array" ref="T101">iferror(if(isblank($A101),"",index('Supplemental intervention-level'!$M:$M,match(1,('Supplemental intervention-level'!$C:$C=$A101)*('Supplemental intervention-level'!$A:$A="HKI"),0))),"Not specified")</f>
        <v>0.2</v>
      </c>
      <c r="U101" s="226">
        <f t="array" ref="U101">iferror(if(isblank($A101),"",index('Supplemental intervention-level'!$M:$M,match(1,('Supplemental intervention-level'!$C:$C=$A101)*('Supplemental intervention-level'!$A:$A="HKI"),0))),"Not specified")</f>
        <v>0.2</v>
      </c>
      <c r="V101" s="226">
        <f t="array" ref="V101">iferror(if(isblank($A101),"",index('Supplemental intervention-level'!$M:$M,match(1,('Supplemental intervention-level'!$C:$C=$A101)*('Supplemental intervention-level'!$A:$A="HKI"),0))),"Not specified")</f>
        <v>0.2</v>
      </c>
      <c r="W101" s="226">
        <f t="array" ref="W101">iferror(if(isblank($A101),"",index('Supplemental intervention-level'!$M:$M,match(1,('Supplemental intervention-level'!$C:$C=$A101)*('Supplemental intervention-level'!$A:$A="HKI"),0))),"Not specified")</f>
        <v>0.2</v>
      </c>
      <c r="X101" s="226">
        <f t="array" ref="X101">iferror(if(isblank($A101),"",index('Supplemental intervention-level'!$M:$M,match(1,('Supplemental intervention-level'!$C:$C=$A101)*('Supplemental intervention-level'!$A:$A="HKI"),0))),"Not specified")</f>
        <v>0.2</v>
      </c>
      <c r="Y101" s="226">
        <f t="array" ref="Y101">iferror(if(isblank($A101),"",index('Supplemental intervention-level'!$M:$M,match(1,('Supplemental intervention-level'!$C:$C=$A101)*('Supplemental intervention-level'!$A:$A="HKI"),0))),"Not specified")</f>
        <v>0.2</v>
      </c>
    </row>
    <row r="102" outlineLevel="1">
      <c r="A102" s="116" t="str">
        <f>IFERROR(__xludf.DUMMYFUNCTION("""COMPUTED_VALUE"""),"Marginal funding goes to lower priority areas")</f>
        <v>Marginal funding goes to lower priority areas</v>
      </c>
      <c r="B102" s="226">
        <f t="array" ref="B102">iferror(if(isblank($A102),"",index('Supplemental intervention-level'!$M:$M,match(1,('Supplemental intervention-level'!$C:$C=$A102)*('Supplemental intervention-level'!$A:$A="HKI"),0))),"Not specified")</f>
        <v>0</v>
      </c>
      <c r="C102" s="226">
        <f t="array" ref="C102">iferror(if(isblank($A102),"",index('Supplemental intervention-level'!$M:$M,match(1,('Supplemental intervention-level'!$C:$C=$A102)*('Supplemental intervention-level'!$A:$A="HKI"),0))),"Not specified")</f>
        <v>0</v>
      </c>
      <c r="D102" s="226">
        <f t="array" ref="D102">iferror(if(isblank($A102),"",index('Supplemental intervention-level'!$M:$M,match(1,('Supplemental intervention-level'!$C:$C=$A102)*('Supplemental intervention-level'!$A:$A="HKI"),0))),"Not specified")</f>
        <v>0</v>
      </c>
      <c r="E102" s="226">
        <f t="array" ref="E102">iferror(if(isblank($A102),"",index('Supplemental intervention-level'!$M:$M,match(1,('Supplemental intervention-level'!$C:$C=$A102)*('Supplemental intervention-level'!$A:$A="HKI"),0))),"Not specified")</f>
        <v>0</v>
      </c>
      <c r="F102" s="226">
        <f t="array" ref="F102">iferror(if(isblank($A102),"",index('Supplemental intervention-level'!$M:$M,match(1,('Supplemental intervention-level'!$C:$C=$A102)*('Supplemental intervention-level'!$A:$A="HKI"),0))),"Not specified")</f>
        <v>0</v>
      </c>
      <c r="G102" s="226">
        <f t="array" ref="G102">iferror(if(isblank($A102),"",index('Supplemental intervention-level'!$M:$M,match(1,('Supplemental intervention-level'!$C:$C=$A102)*('Supplemental intervention-level'!$A:$A="HKI"),0))),"Not specified")</f>
        <v>0</v>
      </c>
      <c r="H102" s="227">
        <v>0.17</v>
      </c>
      <c r="I102" s="226">
        <f t="array" ref="I102">iferror(if(isblank($A102),"",index('Supplemental intervention-level'!$M:$M,match(1,('Supplemental intervention-level'!$C:$C=$A102)*('Supplemental intervention-level'!$A:$A="HKI"),0))),"Not specified")</f>
        <v>0</v>
      </c>
      <c r="J102" s="226">
        <f t="array" ref="J102">iferror(if(isblank($A102),"",index('Supplemental intervention-level'!$M:$M,match(1,('Supplemental intervention-level'!$C:$C=$A102)*('Supplemental intervention-level'!$A:$A="HKI"),0))),"Not specified")</f>
        <v>0</v>
      </c>
      <c r="K102" s="226">
        <f t="array" ref="K102">iferror(if(isblank($A102),"",index('Supplemental intervention-level'!$M:$M,match(1,('Supplemental intervention-level'!$C:$C=$A102)*('Supplemental intervention-level'!$A:$A="HKI"),0))),"Not specified")</f>
        <v>0</v>
      </c>
      <c r="L102" s="226">
        <f t="array" ref="L102">iferror(if(isblank($A102),"",index('Supplemental intervention-level'!$M:$M,match(1,('Supplemental intervention-level'!$C:$C=$A102)*('Supplemental intervention-level'!$A:$A="HKI"),0))),"Not specified")</f>
        <v>0</v>
      </c>
      <c r="M102" s="226">
        <f t="array" ref="M102">iferror(if(isblank($A102),"",index('Supplemental intervention-level'!$M:$M,match(1,('Supplemental intervention-level'!$C:$C=$A102)*('Supplemental intervention-level'!$A:$A="HKI"),0))),"Not specified")</f>
        <v>0</v>
      </c>
      <c r="N102" s="226">
        <f t="array" ref="N102">iferror(if(isblank($A102),"",index('Supplemental intervention-level'!$M:$M,match(1,('Supplemental intervention-level'!$C:$C=$A102)*('Supplemental intervention-level'!$A:$A="HKI"),0))),"Not specified")</f>
        <v>0</v>
      </c>
      <c r="O102" s="226">
        <f t="array" ref="O102">iferror(if(isblank($A102),"",index('Supplemental intervention-level'!$M:$M,match(1,('Supplemental intervention-level'!$C:$C=$A102)*('Supplemental intervention-level'!$A:$A="HKI"),0))),"Not specified")</f>
        <v>0</v>
      </c>
      <c r="P102" s="226">
        <f t="array" ref="P102">iferror(if(isblank($A102),"",index('Supplemental intervention-level'!$M:$M,match(1,('Supplemental intervention-level'!$C:$C=$A102)*('Supplemental intervention-level'!$A:$A="HKI"),0))),"Not specified")</f>
        <v>0</v>
      </c>
      <c r="Q102" s="226">
        <f t="array" ref="Q102">iferror(if(isblank($A102),"",index('Supplemental intervention-level'!$M:$M,match(1,('Supplemental intervention-level'!$C:$C=$A102)*('Supplemental intervention-level'!$A:$A="HKI"),0))),"Not specified")</f>
        <v>0</v>
      </c>
      <c r="R102" s="226">
        <f t="array" ref="R102">iferror(if(isblank($A102),"",index('Supplemental intervention-level'!$M:$M,match(1,('Supplemental intervention-level'!$C:$C=$A102)*('Supplemental intervention-level'!$A:$A="HKI"),0))),"Not specified")</f>
        <v>0</v>
      </c>
      <c r="S102" s="226">
        <f t="array" ref="S102">iferror(if(isblank($A102),"",index('Supplemental intervention-level'!$M:$M,match(1,('Supplemental intervention-level'!$C:$C=$A102)*('Supplemental intervention-level'!$A:$A="HKI"),0))),"Not specified")</f>
        <v>0</v>
      </c>
      <c r="T102" s="226">
        <f t="array" ref="T102">iferror(if(isblank($A102),"",index('Supplemental intervention-level'!$M:$M,match(1,('Supplemental intervention-level'!$C:$C=$A102)*('Supplemental intervention-level'!$A:$A="HKI"),0))),"Not specified")</f>
        <v>0</v>
      </c>
      <c r="U102" s="226">
        <f t="array" ref="U102">iferror(if(isblank($A102),"",index('Supplemental intervention-level'!$M:$M,match(1,('Supplemental intervention-level'!$C:$C=$A102)*('Supplemental intervention-level'!$A:$A="HKI"),0))),"Not specified")</f>
        <v>0</v>
      </c>
      <c r="V102" s="226">
        <f t="array" ref="V102">iferror(if(isblank($A102),"",index('Supplemental intervention-level'!$M:$M,match(1,('Supplemental intervention-level'!$C:$C=$A102)*('Supplemental intervention-level'!$A:$A="HKI"),0))),"Not specified")</f>
        <v>0</v>
      </c>
      <c r="W102" s="226">
        <f t="array" ref="W102">iferror(if(isblank($A102),"",index('Supplemental intervention-level'!$M:$M,match(1,('Supplemental intervention-level'!$C:$C=$A102)*('Supplemental intervention-level'!$A:$A="HKI"),0))),"Not specified")</f>
        <v>0</v>
      </c>
      <c r="X102" s="226">
        <f t="array" ref="X102">iferror(if(isblank($A102),"",index('Supplemental intervention-level'!$M:$M,match(1,('Supplemental intervention-level'!$C:$C=$A102)*('Supplemental intervention-level'!$A:$A="HKI"),0))),"Not specified")</f>
        <v>0</v>
      </c>
      <c r="Y102" s="226">
        <f t="array" ref="Y102">iferror(if(isblank($A102),"",index('Supplemental intervention-level'!$M:$M,match(1,('Supplemental intervention-level'!$C:$C=$A102)*('Supplemental intervention-level'!$A:$A="HKI"),0))),"Not specified")</f>
        <v>0</v>
      </c>
    </row>
    <row r="103">
      <c r="A103" s="225"/>
      <c r="B103" s="218"/>
      <c r="C103" s="218"/>
      <c r="D103" s="218"/>
      <c r="E103" s="218"/>
      <c r="F103" s="218"/>
      <c r="G103" s="218"/>
      <c r="H103" s="218"/>
      <c r="I103" s="218"/>
      <c r="J103" s="218"/>
      <c r="K103" s="218"/>
      <c r="L103" s="218"/>
      <c r="M103" s="218"/>
      <c r="N103" s="218"/>
      <c r="O103" s="218"/>
      <c r="P103" s="218"/>
      <c r="Q103" s="218"/>
      <c r="R103" s="218"/>
      <c r="S103" s="218"/>
      <c r="T103" s="218"/>
      <c r="U103" s="218"/>
      <c r="V103" s="218"/>
      <c r="W103" s="218"/>
      <c r="X103" s="218"/>
      <c r="Y103" s="218"/>
    </row>
    <row r="104">
      <c r="A104" s="225" t="s">
        <v>203</v>
      </c>
      <c r="B104" s="218">
        <f t="shared" ref="B104:Y104" si="28">1+sum(B93:B102)</f>
        <v>1.665</v>
      </c>
      <c r="C104" s="218">
        <f t="shared" si="28"/>
        <v>1.665</v>
      </c>
      <c r="D104" s="218">
        <f t="shared" si="28"/>
        <v>1.665</v>
      </c>
      <c r="E104" s="218">
        <f t="shared" si="28"/>
        <v>1.665</v>
      </c>
      <c r="F104" s="218">
        <f t="shared" si="28"/>
        <v>1.665</v>
      </c>
      <c r="G104" s="218">
        <f t="shared" si="28"/>
        <v>1.665</v>
      </c>
      <c r="H104" s="218">
        <f t="shared" si="28"/>
        <v>1.835</v>
      </c>
      <c r="I104" s="218">
        <f t="shared" si="28"/>
        <v>1.665</v>
      </c>
      <c r="J104" s="218">
        <f t="shared" si="28"/>
        <v>1.665</v>
      </c>
      <c r="K104" s="218">
        <f t="shared" si="28"/>
        <v>1.665</v>
      </c>
      <c r="L104" s="218">
        <f t="shared" si="28"/>
        <v>1.665</v>
      </c>
      <c r="M104" s="218">
        <f t="shared" si="28"/>
        <v>1.665</v>
      </c>
      <c r="N104" s="218">
        <f t="shared" si="28"/>
        <v>1.665</v>
      </c>
      <c r="O104" s="218">
        <f t="shared" si="28"/>
        <v>1.665</v>
      </c>
      <c r="P104" s="218">
        <f t="shared" si="28"/>
        <v>1.665</v>
      </c>
      <c r="Q104" s="218">
        <f t="shared" si="28"/>
        <v>1.665</v>
      </c>
      <c r="R104" s="218">
        <f t="shared" si="28"/>
        <v>1.665</v>
      </c>
      <c r="S104" s="218">
        <f t="shared" si="28"/>
        <v>1.665</v>
      </c>
      <c r="T104" s="218">
        <f t="shared" si="28"/>
        <v>1.665</v>
      </c>
      <c r="U104" s="218">
        <f t="shared" si="28"/>
        <v>1.665</v>
      </c>
      <c r="V104" s="218">
        <f t="shared" si="28"/>
        <v>1.665</v>
      </c>
      <c r="W104" s="218">
        <f t="shared" si="28"/>
        <v>1.665</v>
      </c>
      <c r="X104" s="218">
        <f t="shared" si="28"/>
        <v>1.665</v>
      </c>
      <c r="Y104" s="218">
        <f t="shared" si="28"/>
        <v>1.665</v>
      </c>
    </row>
    <row r="105">
      <c r="A105" s="91"/>
      <c r="B105" s="539"/>
      <c r="C105" s="296"/>
      <c r="D105" s="296"/>
      <c r="E105" s="296"/>
      <c r="F105" s="296"/>
      <c r="G105" s="296"/>
      <c r="H105" s="296"/>
      <c r="I105" s="296"/>
      <c r="J105" s="296"/>
      <c r="K105" s="296"/>
      <c r="L105" s="296"/>
      <c r="M105" s="296"/>
      <c r="N105" s="296"/>
      <c r="O105" s="296"/>
      <c r="P105" s="296"/>
      <c r="Q105" s="296"/>
      <c r="R105" s="296"/>
      <c r="S105" s="296"/>
      <c r="T105" s="296"/>
      <c r="U105" s="296"/>
      <c r="V105" s="296"/>
      <c r="W105" s="296"/>
      <c r="X105" s="296"/>
      <c r="Y105" s="296"/>
    </row>
    <row r="106">
      <c r="A106" s="160" t="s">
        <v>212</v>
      </c>
      <c r="B106" s="397"/>
      <c r="C106" s="397"/>
      <c r="D106" s="397"/>
      <c r="E106" s="397"/>
      <c r="F106" s="397"/>
      <c r="G106" s="397"/>
      <c r="H106" s="397"/>
      <c r="I106" s="397"/>
      <c r="J106" s="397"/>
      <c r="K106" s="397"/>
      <c r="L106" s="397"/>
      <c r="M106" s="397"/>
      <c r="N106" s="397"/>
      <c r="O106" s="397"/>
      <c r="P106" s="397"/>
      <c r="Q106" s="397"/>
      <c r="R106" s="397"/>
      <c r="S106" s="397"/>
      <c r="T106" s="397"/>
      <c r="U106" s="397"/>
      <c r="V106" s="397"/>
      <c r="W106" s="397"/>
      <c r="X106" s="397"/>
      <c r="Y106" s="397"/>
    </row>
    <row r="107">
      <c r="A107" s="398"/>
      <c r="B107" s="291"/>
      <c r="C107" s="291"/>
      <c r="D107" s="291"/>
      <c r="E107" s="291"/>
      <c r="F107" s="291"/>
      <c r="G107" s="291"/>
      <c r="H107" s="291"/>
      <c r="I107" s="291"/>
      <c r="J107" s="291"/>
      <c r="K107" s="291"/>
      <c r="L107" s="291"/>
      <c r="M107" s="291"/>
      <c r="N107" s="291"/>
      <c r="O107" s="291"/>
      <c r="P107" s="291"/>
      <c r="Q107" s="291"/>
      <c r="R107" s="291"/>
      <c r="S107" s="291"/>
      <c r="T107" s="291"/>
      <c r="U107" s="291"/>
      <c r="V107" s="291"/>
      <c r="W107" s="291"/>
      <c r="X107" s="291"/>
      <c r="Y107" s="291"/>
    </row>
    <row r="108">
      <c r="A108" s="91" t="s">
        <v>600</v>
      </c>
      <c r="B108" s="416">
        <f t="shared" ref="B108:Y108" si="29">B84*B104</f>
        <v>13847.14297</v>
      </c>
      <c r="C108" s="416">
        <f t="shared" si="29"/>
        <v>7567.63686</v>
      </c>
      <c r="D108" s="416">
        <f t="shared" si="29"/>
        <v>5944.910402</v>
      </c>
      <c r="E108" s="416">
        <f t="shared" si="29"/>
        <v>9333.217998</v>
      </c>
      <c r="F108" s="416">
        <f t="shared" si="29"/>
        <v>6410.46381</v>
      </c>
      <c r="G108" s="416">
        <f t="shared" si="29"/>
        <v>3549.662262</v>
      </c>
      <c r="H108" s="416">
        <f t="shared" si="29"/>
        <v>5806.687638</v>
      </c>
      <c r="I108" s="416">
        <f t="shared" si="29"/>
        <v>20993.44911</v>
      </c>
      <c r="J108" s="416">
        <f t="shared" si="29"/>
        <v>40680.67259</v>
      </c>
      <c r="K108" s="416">
        <f t="shared" si="29"/>
        <v>11676.15471</v>
      </c>
      <c r="L108" s="416">
        <f t="shared" si="29"/>
        <v>2855.235003</v>
      </c>
      <c r="M108" s="416">
        <f t="shared" si="29"/>
        <v>5578.111987</v>
      </c>
      <c r="N108" s="416">
        <f t="shared" si="29"/>
        <v>3649.014746</v>
      </c>
      <c r="O108" s="416">
        <f t="shared" si="29"/>
        <v>6931.195448</v>
      </c>
      <c r="P108" s="416">
        <f t="shared" si="29"/>
        <v>15542.2924</v>
      </c>
      <c r="Q108" s="416">
        <f t="shared" si="29"/>
        <v>1688.17142</v>
      </c>
      <c r="R108" s="416">
        <f t="shared" si="29"/>
        <v>3199.180802</v>
      </c>
      <c r="S108" s="416">
        <f t="shared" si="29"/>
        <v>7747.058717</v>
      </c>
      <c r="T108" s="416">
        <f t="shared" si="29"/>
        <v>2492.742979</v>
      </c>
      <c r="U108" s="416">
        <f t="shared" si="29"/>
        <v>2250.281388</v>
      </c>
      <c r="V108" s="416">
        <f t="shared" si="29"/>
        <v>2782.451652</v>
      </c>
      <c r="W108" s="416">
        <f t="shared" si="29"/>
        <v>3100.167845</v>
      </c>
      <c r="X108" s="416">
        <f t="shared" si="29"/>
        <v>1739.463836</v>
      </c>
      <c r="Y108" s="416">
        <f t="shared" si="29"/>
        <v>4608.18366</v>
      </c>
    </row>
    <row r="109">
      <c r="A109" s="202" t="s">
        <v>601</v>
      </c>
      <c r="B109" s="546">
        <f t="shared" ref="B109:Y109" si="30">B108/B16</f>
        <v>0.05969002066</v>
      </c>
      <c r="C109" s="546">
        <f t="shared" si="30"/>
        <v>0.04845862857</v>
      </c>
      <c r="D109" s="546">
        <f t="shared" si="30"/>
        <v>0.02770271176</v>
      </c>
      <c r="E109" s="546">
        <f t="shared" si="30"/>
        <v>0.04349189988</v>
      </c>
      <c r="F109" s="546">
        <f t="shared" si="30"/>
        <v>0.03543489644</v>
      </c>
      <c r="G109" s="546">
        <f t="shared" si="30"/>
        <v>0.01654108537</v>
      </c>
      <c r="H109" s="546">
        <f t="shared" si="30"/>
        <v>0.034741987</v>
      </c>
      <c r="I109" s="546">
        <f t="shared" si="30"/>
        <v>0.0907896766</v>
      </c>
      <c r="J109" s="546">
        <f t="shared" si="30"/>
        <v>0.1471367856</v>
      </c>
      <c r="K109" s="546">
        <f t="shared" si="30"/>
        <v>0.05440976003</v>
      </c>
      <c r="L109" s="546">
        <f t="shared" si="30"/>
        <v>0.01330512101</v>
      </c>
      <c r="M109" s="546">
        <f t="shared" si="30"/>
        <v>0.02599346636</v>
      </c>
      <c r="N109" s="546">
        <f t="shared" si="30"/>
        <v>0.01700405841</v>
      </c>
      <c r="O109" s="546">
        <f t="shared" si="30"/>
        <v>0.03229870539</v>
      </c>
      <c r="P109" s="546">
        <f t="shared" si="30"/>
        <v>0.07242559052</v>
      </c>
      <c r="Q109" s="546">
        <f t="shared" si="30"/>
        <v>0.007866716752</v>
      </c>
      <c r="R109" s="546">
        <f t="shared" si="30"/>
        <v>0.01490787542</v>
      </c>
      <c r="S109" s="546">
        <f t="shared" si="30"/>
        <v>0.03610054991</v>
      </c>
      <c r="T109" s="546">
        <f t="shared" si="30"/>
        <v>0.01161594298</v>
      </c>
      <c r="U109" s="546">
        <f t="shared" si="30"/>
        <v>0.01048609524</v>
      </c>
      <c r="V109" s="546">
        <f t="shared" si="30"/>
        <v>0.01296595758</v>
      </c>
      <c r="W109" s="546">
        <f t="shared" si="30"/>
        <v>0.01444648454</v>
      </c>
      <c r="X109" s="546">
        <f t="shared" si="30"/>
        <v>0.008105734486</v>
      </c>
      <c r="Y109" s="546">
        <f t="shared" si="30"/>
        <v>0.02147369347</v>
      </c>
    </row>
    <row r="110">
      <c r="A110" s="221"/>
      <c r="B110" s="417"/>
      <c r="C110" s="417"/>
      <c r="D110" s="417"/>
      <c r="E110" s="417"/>
      <c r="F110" s="417"/>
      <c r="G110" s="417"/>
      <c r="H110" s="417"/>
      <c r="I110" s="417"/>
      <c r="J110" s="417"/>
      <c r="K110" s="417"/>
      <c r="L110" s="417"/>
      <c r="M110" s="417"/>
      <c r="N110" s="417"/>
      <c r="O110" s="417"/>
      <c r="P110" s="417"/>
      <c r="Q110" s="417"/>
      <c r="R110" s="417"/>
      <c r="S110" s="417"/>
      <c r="T110" s="417"/>
      <c r="U110" s="417"/>
      <c r="V110" s="417"/>
      <c r="W110" s="417"/>
      <c r="X110" s="417"/>
      <c r="Y110" s="417"/>
    </row>
    <row r="111">
      <c r="A111" s="221" t="s">
        <v>214</v>
      </c>
      <c r="B111" s="206">
        <f t="array" ref="B111">B109/index(GiveDirectly!$B:$B,match("Units of value generated per philanthropic dollar spent, after accounting for all adjustments",GiveDirectly!$A:$A,0))</f>
        <v>17.79383417</v>
      </c>
      <c r="C111" s="206">
        <f t="array" ref="C111">C109/index(GiveDirectly!$B:$B,match("Units of value generated per philanthropic dollar spent, after accounting for all adjustments",GiveDirectly!$A:$A,0))</f>
        <v>14.44571122</v>
      </c>
      <c r="D111" s="206">
        <f t="array" ref="D111">D109/index(GiveDirectly!$B:$B,match("Units of value generated per philanthropic dollar spent, after accounting for all adjustments",GiveDirectly!$A:$A,0))</f>
        <v>8.258289306</v>
      </c>
      <c r="E111" s="206">
        <f t="array" ref="E111">E109/index(GiveDirectly!$B:$B,match("Units of value generated per philanthropic dollar spent, after accounting for all adjustments",GiveDirectly!$A:$A,0))</f>
        <v>12.96510951</v>
      </c>
      <c r="F111" s="206">
        <f t="array" ref="F111">F109/index(GiveDirectly!$B:$B,match("Units of value generated per philanthropic dollar spent, after accounting for all adjustments",GiveDirectly!$A:$A,0))</f>
        <v>10.56328452</v>
      </c>
      <c r="G111" s="206">
        <f t="array" ref="G111">G109/index(GiveDirectly!$B:$B,match("Units of value generated per philanthropic dollar spent, after accounting for all adjustments",GiveDirectly!$A:$A,0))</f>
        <v>4.930963785</v>
      </c>
      <c r="H111" s="206">
        <f t="array" ref="H111">H109/index(GiveDirectly!$B:$B,match("Units of value generated per philanthropic dollar spent, after accounting for all adjustments",GiveDirectly!$A:$A,0))</f>
        <v>10.35672544</v>
      </c>
      <c r="I111" s="206">
        <f t="array" ref="I111">I109/index(GiveDirectly!$B:$B,match("Units of value generated per philanthropic dollar spent, after accounting for all adjustments",GiveDirectly!$A:$A,0))</f>
        <v>27.06476614</v>
      </c>
      <c r="J111" s="206">
        <f t="array" ref="J111">J109/index(GiveDirectly!$B:$B,match("Units of value generated per philanthropic dollar spent, after accounting for all adjustments",GiveDirectly!$A:$A,0))</f>
        <v>43.86206498</v>
      </c>
      <c r="K111" s="206">
        <f t="array" ref="K111">K109/index(GiveDirectly!$B:$B,match("Units of value generated per philanthropic dollar spent, after accounting for all adjustments",GiveDirectly!$A:$A,0))</f>
        <v>16.21976734</v>
      </c>
      <c r="L111" s="206">
        <f t="array" ref="L111">L109/index(GiveDirectly!$B:$B,match("Units of value generated per philanthropic dollar spent, after accounting for all adjustments",GiveDirectly!$A:$A,0))</f>
        <v>3.966309852</v>
      </c>
      <c r="M111" s="206">
        <f t="array" ref="M111">M109/index(GiveDirectly!$B:$B,match("Units of value generated per philanthropic dollar spent, after accounting for all adjustments",GiveDirectly!$A:$A,0))</f>
        <v>7.748756408</v>
      </c>
      <c r="N111" s="206">
        <f t="array" ref="N111">N109/index(GiveDirectly!$B:$B,match("Units of value generated per philanthropic dollar spent, after accounting for all adjustments",GiveDirectly!$A:$A,0))</f>
        <v>5.068977901</v>
      </c>
      <c r="O111" s="206">
        <f t="array" ref="O111">O109/index(GiveDirectly!$B:$B,match("Units of value generated per philanthropic dollar spent, after accounting for all adjustments",GiveDirectly!$A:$A,0))</f>
        <v>9.628373411</v>
      </c>
      <c r="P111" s="206">
        <f t="array" ref="P111">P109/index(GiveDirectly!$B:$B,match("Units of value generated per philanthropic dollar spent, after accounting for all adjustments",GiveDirectly!$A:$A,0))</f>
        <v>21.59035855</v>
      </c>
      <c r="Q111" s="206">
        <f t="array" ref="Q111">Q109/index(GiveDirectly!$B:$B,match("Units of value generated per philanthropic dollar spent, after accounting for all adjustments",GiveDirectly!$A:$A,0))</f>
        <v>2.345099764</v>
      </c>
      <c r="R111" s="206">
        <f t="array" ref="R111">R109/index(GiveDirectly!$B:$B,match("Units of value generated per philanthropic dollar spent, after accounting for all adjustments",GiveDirectly!$A:$A,0))</f>
        <v>4.444097357</v>
      </c>
      <c r="S111" s="206">
        <f t="array" ref="S111">S109/index(GiveDirectly!$B:$B,match("Units of value generated per philanthropic dollar spent, after accounting for all adjustments",GiveDirectly!$A:$A,0))</f>
        <v>10.76171848</v>
      </c>
      <c r="T111" s="206">
        <f t="array" ref="T111">T109/index(GiveDirectly!$B:$B,match("Units of value generated per philanthropic dollar spent, after accounting for all adjustments",GiveDirectly!$A:$A,0))</f>
        <v>3.462759116</v>
      </c>
      <c r="U111" s="206">
        <f t="array" ref="U111">U109/index(GiveDirectly!$B:$B,match("Units of value generated per philanthropic dollar spent, after accounting for all adjustments",GiveDirectly!$A:$A,0))</f>
        <v>3.12594698</v>
      </c>
      <c r="V111" s="206">
        <f t="array" ref="V111">V109/index(GiveDirectly!$B:$B,match("Units of value generated per philanthropic dollar spent, after accounting for all adjustments",GiveDirectly!$A:$A,0))</f>
        <v>3.865203875</v>
      </c>
      <c r="W111" s="206">
        <f t="array" ref="W111">W109/index(GiveDirectly!$B:$B,match("Units of value generated per philanthropic dollar spent, after accounting for all adjustments",GiveDirectly!$A:$A,0))</f>
        <v>4.30655489</v>
      </c>
      <c r="X111" s="206">
        <f t="array" ref="X111">X109/index(GiveDirectly!$B:$B,match("Units of value generated per philanthropic dollar spent, after accounting for all adjustments",GiveDirectly!$A:$A,0))</f>
        <v>2.416351908</v>
      </c>
      <c r="Y111" s="206">
        <f t="array" ref="Y111">Y109/index(GiveDirectly!$B:$B,match("Units of value generated per philanthropic dollar spent, after accounting for all adjustments",GiveDirectly!$A:$A,0))</f>
        <v>6.401394011</v>
      </c>
    </row>
    <row r="112">
      <c r="A112" s="8"/>
      <c r="B112" s="296"/>
      <c r="C112" s="296"/>
      <c r="D112" s="296"/>
      <c r="E112" s="296"/>
      <c r="F112" s="296"/>
      <c r="G112" s="296"/>
      <c r="H112" s="296"/>
      <c r="I112" s="296"/>
      <c r="J112" s="296"/>
      <c r="K112" s="296"/>
      <c r="L112" s="296"/>
      <c r="M112" s="296"/>
      <c r="N112" s="296"/>
      <c r="O112" s="296"/>
      <c r="P112" s="296"/>
      <c r="Q112" s="296"/>
      <c r="R112" s="296"/>
      <c r="S112" s="296"/>
      <c r="T112" s="296"/>
      <c r="U112" s="296"/>
      <c r="V112" s="296"/>
      <c r="W112" s="296"/>
      <c r="X112" s="296"/>
      <c r="Y112" s="296"/>
    </row>
    <row r="113">
      <c r="A113" s="160" t="s">
        <v>215</v>
      </c>
      <c r="B113" s="397"/>
      <c r="C113" s="397"/>
      <c r="D113" s="397"/>
      <c r="E113" s="397"/>
      <c r="F113" s="397"/>
      <c r="G113" s="397"/>
      <c r="H113" s="397"/>
      <c r="I113" s="397"/>
      <c r="J113" s="397"/>
      <c r="K113" s="397"/>
      <c r="L113" s="397"/>
      <c r="M113" s="397"/>
      <c r="N113" s="397"/>
      <c r="O113" s="397"/>
      <c r="P113" s="397"/>
      <c r="Q113" s="397"/>
      <c r="R113" s="397"/>
      <c r="S113" s="397"/>
      <c r="T113" s="397"/>
      <c r="U113" s="397"/>
      <c r="V113" s="397"/>
      <c r="W113" s="397"/>
      <c r="X113" s="397"/>
      <c r="Y113" s="397"/>
    </row>
    <row r="114" outlineLevel="1">
      <c r="A114" s="291"/>
      <c r="C114" s="291"/>
      <c r="D114" s="291"/>
      <c r="E114" s="291"/>
      <c r="G114" s="291"/>
      <c r="H114" s="291"/>
      <c r="I114" s="291"/>
      <c r="J114" s="291"/>
      <c r="K114" s="291"/>
      <c r="L114" s="291"/>
      <c r="M114" s="291"/>
      <c r="N114" s="291"/>
      <c r="O114" s="291"/>
      <c r="P114" s="291"/>
      <c r="Q114" s="291"/>
      <c r="R114" s="291"/>
      <c r="S114" s="291"/>
      <c r="T114" s="291"/>
      <c r="U114" s="291"/>
      <c r="V114" s="291"/>
      <c r="W114" s="291"/>
      <c r="X114" s="291"/>
      <c r="Y114" s="291"/>
    </row>
    <row r="115" outlineLevel="1">
      <c r="A115" s="418" t="s">
        <v>316</v>
      </c>
      <c r="B115" s="547"/>
      <c r="C115" s="548"/>
      <c r="D115" s="548"/>
      <c r="E115" s="548"/>
      <c r="G115" s="548"/>
      <c r="J115" s="548"/>
      <c r="K115" s="548"/>
      <c r="L115" s="548"/>
      <c r="M115" s="548"/>
      <c r="N115" s="548"/>
      <c r="O115" s="548"/>
      <c r="P115" s="548"/>
      <c r="Q115" s="548"/>
      <c r="R115" s="548"/>
      <c r="S115" s="548"/>
      <c r="T115" s="548"/>
      <c r="U115" s="548"/>
      <c r="V115" s="548"/>
      <c r="W115" s="548"/>
      <c r="X115" s="548"/>
      <c r="Y115" s="548"/>
    </row>
    <row r="116" outlineLevel="1">
      <c r="A116" s="549" t="s">
        <v>21</v>
      </c>
      <c r="B116" s="550">
        <f t="shared" ref="B116:Y116" si="31">B7*B17</f>
        <v>0.4552119941</v>
      </c>
      <c r="C116" s="550">
        <f t="shared" si="31"/>
        <v>0.7277979782</v>
      </c>
      <c r="D116" s="550">
        <f t="shared" si="31"/>
        <v>0.4740613537</v>
      </c>
      <c r="E116" s="550">
        <f t="shared" si="31"/>
        <v>0.4740613537</v>
      </c>
      <c r="F116" s="550">
        <f t="shared" si="31"/>
        <v>0.7702469518</v>
      </c>
      <c r="G116" s="550">
        <f t="shared" si="31"/>
        <v>0.4740613537</v>
      </c>
      <c r="H116" s="550">
        <f t="shared" si="31"/>
        <v>0.6086726275</v>
      </c>
      <c r="I116" s="550">
        <f t="shared" si="31"/>
        <v>0.3466999041</v>
      </c>
      <c r="J116" s="550">
        <f t="shared" si="31"/>
        <v>0.3109171677</v>
      </c>
      <c r="K116" s="550">
        <f t="shared" si="31"/>
        <v>0.4740613537</v>
      </c>
      <c r="L116" s="550">
        <f t="shared" si="31"/>
        <v>0.4740613537</v>
      </c>
      <c r="M116" s="550">
        <f t="shared" si="31"/>
        <v>0.4740613537</v>
      </c>
      <c r="N116" s="550">
        <f t="shared" si="31"/>
        <v>0.4740613537</v>
      </c>
      <c r="O116" s="550">
        <f t="shared" si="31"/>
        <v>0.4740613537</v>
      </c>
      <c r="P116" s="550">
        <f t="shared" si="31"/>
        <v>0.4740613537</v>
      </c>
      <c r="Q116" s="550">
        <f t="shared" si="31"/>
        <v>0.4740613537</v>
      </c>
      <c r="R116" s="550">
        <f t="shared" si="31"/>
        <v>0.4740613537</v>
      </c>
      <c r="S116" s="550">
        <f t="shared" si="31"/>
        <v>0.4740613537</v>
      </c>
      <c r="T116" s="550">
        <f t="shared" si="31"/>
        <v>0.4740613537</v>
      </c>
      <c r="U116" s="550">
        <f t="shared" si="31"/>
        <v>0.4740613537</v>
      </c>
      <c r="V116" s="550">
        <f t="shared" si="31"/>
        <v>0.4740613537</v>
      </c>
      <c r="W116" s="550">
        <f t="shared" si="31"/>
        <v>0.4740613537</v>
      </c>
      <c r="X116" s="550">
        <f t="shared" si="31"/>
        <v>0.4740613537</v>
      </c>
      <c r="Y116" s="550">
        <f t="shared" si="31"/>
        <v>0.4740613537</v>
      </c>
    </row>
    <row r="117" outlineLevel="1">
      <c r="A117" s="551" t="s">
        <v>602</v>
      </c>
      <c r="B117" s="552">
        <f t="shared" ref="B117:Y117" si="32">B8*B$17</f>
        <v>0.06780831142</v>
      </c>
      <c r="C117" s="552">
        <f t="shared" si="32"/>
        <v>0.06780802183</v>
      </c>
      <c r="D117" s="552">
        <f t="shared" si="32"/>
        <v>0.0709151391</v>
      </c>
      <c r="E117" s="552">
        <f t="shared" si="32"/>
        <v>0.0709151391</v>
      </c>
      <c r="F117" s="552">
        <f t="shared" si="32"/>
        <v>0.067808274</v>
      </c>
      <c r="G117" s="552">
        <f t="shared" si="32"/>
        <v>0.0709151391</v>
      </c>
      <c r="H117" s="552">
        <f t="shared" si="32"/>
        <v>0.0709151391</v>
      </c>
      <c r="I117" s="552">
        <f t="shared" si="32"/>
        <v>0.06780841927</v>
      </c>
      <c r="J117" s="552">
        <f t="shared" si="32"/>
        <v>0.06780847403</v>
      </c>
      <c r="K117" s="552">
        <f t="shared" si="32"/>
        <v>0.0709151391</v>
      </c>
      <c r="L117" s="552">
        <f t="shared" si="32"/>
        <v>0.0709151391</v>
      </c>
      <c r="M117" s="552">
        <f t="shared" si="32"/>
        <v>0.0709151391</v>
      </c>
      <c r="N117" s="552">
        <f t="shared" si="32"/>
        <v>0.0709151391</v>
      </c>
      <c r="O117" s="552">
        <f t="shared" si="32"/>
        <v>0.0709151391</v>
      </c>
      <c r="P117" s="552">
        <f t="shared" si="32"/>
        <v>0.0709151391</v>
      </c>
      <c r="Q117" s="552">
        <f t="shared" si="32"/>
        <v>0.0709151391</v>
      </c>
      <c r="R117" s="552">
        <f t="shared" si="32"/>
        <v>0.0709151391</v>
      </c>
      <c r="S117" s="552">
        <f t="shared" si="32"/>
        <v>0.0709151391</v>
      </c>
      <c r="T117" s="552">
        <f t="shared" si="32"/>
        <v>0.0709151391</v>
      </c>
      <c r="U117" s="552">
        <f t="shared" si="32"/>
        <v>0.0709151391</v>
      </c>
      <c r="V117" s="552">
        <f t="shared" si="32"/>
        <v>0.0709151391</v>
      </c>
      <c r="W117" s="552">
        <f t="shared" si="32"/>
        <v>0.0709151391</v>
      </c>
      <c r="X117" s="552">
        <f t="shared" si="32"/>
        <v>0.0709151391</v>
      </c>
      <c r="Y117" s="552">
        <f t="shared" si="32"/>
        <v>0.0709151391</v>
      </c>
    </row>
    <row r="118" outlineLevel="1">
      <c r="A118" s="549" t="s">
        <v>317</v>
      </c>
      <c r="B118" s="550">
        <f t="shared" ref="B118:Y118" si="33">B9*B17</f>
        <v>0.05970642038</v>
      </c>
      <c r="C118" s="550">
        <f t="shared" si="33"/>
        <v>0</v>
      </c>
      <c r="D118" s="550">
        <f t="shared" si="33"/>
        <v>0.1346112737</v>
      </c>
      <c r="E118" s="550">
        <f t="shared" si="33"/>
        <v>0.1346112737</v>
      </c>
      <c r="F118" s="550">
        <f t="shared" si="33"/>
        <v>0.1373527742</v>
      </c>
      <c r="G118" s="550">
        <f t="shared" si="33"/>
        <v>0.1346112737</v>
      </c>
      <c r="H118" s="550">
        <f t="shared" si="33"/>
        <v>0</v>
      </c>
      <c r="I118" s="550">
        <f t="shared" si="33"/>
        <v>0.1466676767</v>
      </c>
      <c r="J118" s="550">
        <f t="shared" si="33"/>
        <v>0.2230152723</v>
      </c>
      <c r="K118" s="550">
        <f t="shared" si="33"/>
        <v>0.1346112737</v>
      </c>
      <c r="L118" s="550">
        <f t="shared" si="33"/>
        <v>0.1346112737</v>
      </c>
      <c r="M118" s="550">
        <f t="shared" si="33"/>
        <v>0.1346112737</v>
      </c>
      <c r="N118" s="550">
        <f t="shared" si="33"/>
        <v>0.1346112737</v>
      </c>
      <c r="O118" s="550">
        <f t="shared" si="33"/>
        <v>0.1346112737</v>
      </c>
      <c r="P118" s="550">
        <f t="shared" si="33"/>
        <v>0.1346112737</v>
      </c>
      <c r="Q118" s="550">
        <f t="shared" si="33"/>
        <v>0.1346112737</v>
      </c>
      <c r="R118" s="550">
        <f t="shared" si="33"/>
        <v>0.1346112737</v>
      </c>
      <c r="S118" s="550">
        <f t="shared" si="33"/>
        <v>0.1346112737</v>
      </c>
      <c r="T118" s="550">
        <f t="shared" si="33"/>
        <v>0.1346112737</v>
      </c>
      <c r="U118" s="550">
        <f t="shared" si="33"/>
        <v>0.1346112737</v>
      </c>
      <c r="V118" s="550">
        <f t="shared" si="33"/>
        <v>0.1346112737</v>
      </c>
      <c r="W118" s="550">
        <f t="shared" si="33"/>
        <v>0.1346112737</v>
      </c>
      <c r="X118" s="550">
        <f t="shared" si="33"/>
        <v>0.1346112737</v>
      </c>
      <c r="Y118" s="550">
        <f t="shared" si="33"/>
        <v>0.1346112737</v>
      </c>
    </row>
    <row r="119" outlineLevel="1">
      <c r="A119" s="551" t="s">
        <v>603</v>
      </c>
      <c r="B119" s="552">
        <f t="shared" ref="B119:Y119" si="34">B10*B$17</f>
        <v>0.1564872741</v>
      </c>
      <c r="C119" s="552">
        <f t="shared" si="34"/>
        <v>0</v>
      </c>
      <c r="D119" s="552">
        <f t="shared" si="34"/>
        <v>0.03253623344</v>
      </c>
      <c r="E119" s="552">
        <f t="shared" si="34"/>
        <v>0.03253623344</v>
      </c>
      <c r="F119" s="552">
        <f t="shared" si="34"/>
        <v>0</v>
      </c>
      <c r="G119" s="552">
        <f t="shared" si="34"/>
        <v>0.03253623344</v>
      </c>
      <c r="H119" s="552">
        <f t="shared" si="34"/>
        <v>0.03253623344</v>
      </c>
      <c r="I119" s="552">
        <f t="shared" si="34"/>
        <v>0</v>
      </c>
      <c r="J119" s="552">
        <f t="shared" si="34"/>
        <v>0</v>
      </c>
      <c r="K119" s="552">
        <f t="shared" si="34"/>
        <v>0.03253623344</v>
      </c>
      <c r="L119" s="552">
        <f t="shared" si="34"/>
        <v>0.03253623344</v>
      </c>
      <c r="M119" s="552">
        <f t="shared" si="34"/>
        <v>0.03253623344</v>
      </c>
      <c r="N119" s="552">
        <f t="shared" si="34"/>
        <v>0.03253623344</v>
      </c>
      <c r="O119" s="552">
        <f t="shared" si="34"/>
        <v>0.03253623344</v>
      </c>
      <c r="P119" s="552">
        <f t="shared" si="34"/>
        <v>0.03253623344</v>
      </c>
      <c r="Q119" s="552">
        <f t="shared" si="34"/>
        <v>0.03253623344</v>
      </c>
      <c r="R119" s="552">
        <f t="shared" si="34"/>
        <v>0.03253623344</v>
      </c>
      <c r="S119" s="552">
        <f t="shared" si="34"/>
        <v>0.03253623344</v>
      </c>
      <c r="T119" s="552">
        <f t="shared" si="34"/>
        <v>0.03253623344</v>
      </c>
      <c r="U119" s="552">
        <f t="shared" si="34"/>
        <v>0.03253623344</v>
      </c>
      <c r="V119" s="552">
        <f t="shared" si="34"/>
        <v>0.03253623344</v>
      </c>
      <c r="W119" s="552">
        <f t="shared" si="34"/>
        <v>0.03253623344</v>
      </c>
      <c r="X119" s="552">
        <f t="shared" si="34"/>
        <v>0.03253623344</v>
      </c>
      <c r="Y119" s="552">
        <f t="shared" si="34"/>
        <v>0.03253623344</v>
      </c>
    </row>
    <row r="120" outlineLevel="1">
      <c r="A120" s="553" t="s">
        <v>604</v>
      </c>
      <c r="B120" s="554">
        <f t="shared" ref="B120:Y120" si="35">B11*B$17</f>
        <v>0.316806</v>
      </c>
      <c r="C120" s="554">
        <f t="shared" si="35"/>
        <v>0.340974</v>
      </c>
      <c r="D120" s="554">
        <f t="shared" si="35"/>
        <v>0.305196</v>
      </c>
      <c r="E120" s="554">
        <f t="shared" si="35"/>
        <v>0.305196</v>
      </c>
      <c r="F120" s="554">
        <f t="shared" si="35"/>
        <v>0.418032</v>
      </c>
      <c r="G120" s="554">
        <f t="shared" si="35"/>
        <v>0.305196</v>
      </c>
      <c r="H120" s="554">
        <f t="shared" si="35"/>
        <v>0.305196</v>
      </c>
      <c r="I120" s="554">
        <f t="shared" si="35"/>
        <v>0.240504</v>
      </c>
      <c r="J120" s="554">
        <f t="shared" si="35"/>
        <v>0.257889</v>
      </c>
      <c r="K120" s="554">
        <f t="shared" si="35"/>
        <v>0.305196</v>
      </c>
      <c r="L120" s="554">
        <f t="shared" si="35"/>
        <v>0.305196</v>
      </c>
      <c r="M120" s="554">
        <f t="shared" si="35"/>
        <v>0.305196</v>
      </c>
      <c r="N120" s="554">
        <f t="shared" si="35"/>
        <v>0.305196</v>
      </c>
      <c r="O120" s="554">
        <f t="shared" si="35"/>
        <v>0.305196</v>
      </c>
      <c r="P120" s="554">
        <f t="shared" si="35"/>
        <v>0.305196</v>
      </c>
      <c r="Q120" s="554">
        <f t="shared" si="35"/>
        <v>0.305196</v>
      </c>
      <c r="R120" s="554">
        <f t="shared" si="35"/>
        <v>0.305196</v>
      </c>
      <c r="S120" s="554">
        <f t="shared" si="35"/>
        <v>0.305196</v>
      </c>
      <c r="T120" s="554">
        <f t="shared" si="35"/>
        <v>0.305196</v>
      </c>
      <c r="U120" s="554">
        <f t="shared" si="35"/>
        <v>0.305196</v>
      </c>
      <c r="V120" s="554">
        <f t="shared" si="35"/>
        <v>0.305196</v>
      </c>
      <c r="W120" s="554">
        <f t="shared" si="35"/>
        <v>0.305196</v>
      </c>
      <c r="X120" s="554">
        <f t="shared" si="35"/>
        <v>0.305196</v>
      </c>
      <c r="Y120" s="554">
        <f t="shared" si="35"/>
        <v>0.305196</v>
      </c>
    </row>
    <row r="121" outlineLevel="1">
      <c r="A121" s="555" t="s">
        <v>321</v>
      </c>
      <c r="B121" s="556">
        <f t="shared" ref="B121:Y121" si="36">sum(B116:B120)</f>
        <v>1.05602</v>
      </c>
      <c r="C121" s="556">
        <f t="shared" si="36"/>
        <v>1.13658</v>
      </c>
      <c r="D121" s="556">
        <f t="shared" si="36"/>
        <v>1.01732</v>
      </c>
      <c r="E121" s="556">
        <f t="shared" si="36"/>
        <v>1.01732</v>
      </c>
      <c r="F121" s="556">
        <f t="shared" si="36"/>
        <v>1.39344</v>
      </c>
      <c r="G121" s="556">
        <f t="shared" si="36"/>
        <v>1.01732</v>
      </c>
      <c r="H121" s="556">
        <f t="shared" si="36"/>
        <v>1.01732</v>
      </c>
      <c r="I121" s="556">
        <f t="shared" si="36"/>
        <v>0.80168</v>
      </c>
      <c r="J121" s="556">
        <f t="shared" si="36"/>
        <v>0.859629914</v>
      </c>
      <c r="K121" s="556">
        <f t="shared" si="36"/>
        <v>1.01732</v>
      </c>
      <c r="L121" s="556">
        <f t="shared" si="36"/>
        <v>1.01732</v>
      </c>
      <c r="M121" s="556">
        <f t="shared" si="36"/>
        <v>1.01732</v>
      </c>
      <c r="N121" s="556">
        <f t="shared" si="36"/>
        <v>1.01732</v>
      </c>
      <c r="O121" s="556">
        <f t="shared" si="36"/>
        <v>1.01732</v>
      </c>
      <c r="P121" s="556">
        <f t="shared" si="36"/>
        <v>1.01732</v>
      </c>
      <c r="Q121" s="556">
        <f t="shared" si="36"/>
        <v>1.01732</v>
      </c>
      <c r="R121" s="556">
        <f t="shared" si="36"/>
        <v>1.01732</v>
      </c>
      <c r="S121" s="556">
        <f t="shared" si="36"/>
        <v>1.01732</v>
      </c>
      <c r="T121" s="556">
        <f t="shared" si="36"/>
        <v>1.01732</v>
      </c>
      <c r="U121" s="556">
        <f t="shared" si="36"/>
        <v>1.01732</v>
      </c>
      <c r="V121" s="556">
        <f t="shared" si="36"/>
        <v>1.01732</v>
      </c>
      <c r="W121" s="556">
        <f t="shared" si="36"/>
        <v>1.01732</v>
      </c>
      <c r="X121" s="556">
        <f t="shared" si="36"/>
        <v>1.01732</v>
      </c>
      <c r="Y121" s="556">
        <f t="shared" si="36"/>
        <v>1.01732</v>
      </c>
    </row>
    <row r="122" outlineLevel="1">
      <c r="A122" s="425" t="s">
        <v>322</v>
      </c>
      <c r="B122" s="525">
        <f t="shared" ref="B122:Y122" si="37">B121-B17</f>
        <v>0</v>
      </c>
      <c r="C122" s="525">
        <f t="shared" si="37"/>
        <v>0</v>
      </c>
      <c r="D122" s="525">
        <f t="shared" si="37"/>
        <v>0</v>
      </c>
      <c r="E122" s="525">
        <f t="shared" si="37"/>
        <v>0</v>
      </c>
      <c r="F122" s="525">
        <f t="shared" si="37"/>
        <v>0</v>
      </c>
      <c r="G122" s="525">
        <f t="shared" si="37"/>
        <v>0</v>
      </c>
      <c r="H122" s="525">
        <f t="shared" si="37"/>
        <v>0</v>
      </c>
      <c r="I122" s="525">
        <f t="shared" si="37"/>
        <v>0</v>
      </c>
      <c r="J122" s="525">
        <f t="shared" si="37"/>
        <v>-0.00000008596299994</v>
      </c>
      <c r="K122" s="525">
        <f t="shared" si="37"/>
        <v>0</v>
      </c>
      <c r="L122" s="525">
        <f t="shared" si="37"/>
        <v>0</v>
      </c>
      <c r="M122" s="525">
        <f t="shared" si="37"/>
        <v>0</v>
      </c>
      <c r="N122" s="525">
        <f t="shared" si="37"/>
        <v>0</v>
      </c>
      <c r="O122" s="525">
        <f t="shared" si="37"/>
        <v>0</v>
      </c>
      <c r="P122" s="525">
        <f t="shared" si="37"/>
        <v>0</v>
      </c>
      <c r="Q122" s="525">
        <f t="shared" si="37"/>
        <v>0</v>
      </c>
      <c r="R122" s="525">
        <f t="shared" si="37"/>
        <v>0</v>
      </c>
      <c r="S122" s="525">
        <f t="shared" si="37"/>
        <v>0</v>
      </c>
      <c r="T122" s="525">
        <f t="shared" si="37"/>
        <v>0</v>
      </c>
      <c r="U122" s="525">
        <f t="shared" si="37"/>
        <v>0</v>
      </c>
      <c r="V122" s="525">
        <f t="shared" si="37"/>
        <v>0</v>
      </c>
      <c r="W122" s="525">
        <f t="shared" si="37"/>
        <v>0</v>
      </c>
      <c r="X122" s="525">
        <f t="shared" si="37"/>
        <v>0</v>
      </c>
      <c r="Y122" s="525">
        <f t="shared" si="37"/>
        <v>0</v>
      </c>
    </row>
    <row r="123" outlineLevel="1">
      <c r="A123" s="367"/>
      <c r="B123" s="548"/>
      <c r="C123" s="548"/>
      <c r="D123" s="548"/>
      <c r="E123" s="548"/>
      <c r="F123" s="548"/>
      <c r="G123" s="548"/>
      <c r="H123" s="548"/>
      <c r="I123" s="548"/>
      <c r="J123" s="548"/>
      <c r="K123" s="548"/>
      <c r="L123" s="548"/>
      <c r="M123" s="548"/>
      <c r="N123" s="548"/>
      <c r="O123" s="548"/>
      <c r="P123" s="548"/>
      <c r="Q123" s="548"/>
      <c r="R123" s="548"/>
      <c r="S123" s="548"/>
      <c r="T123" s="548"/>
      <c r="U123" s="548"/>
      <c r="V123" s="548"/>
      <c r="W123" s="548"/>
      <c r="X123" s="548"/>
      <c r="Y123" s="548"/>
    </row>
    <row r="124" outlineLevel="1">
      <c r="A124" s="418" t="s">
        <v>323</v>
      </c>
      <c r="B124" s="548"/>
      <c r="C124" s="548"/>
      <c r="D124" s="548"/>
      <c r="E124" s="548"/>
      <c r="F124" s="548"/>
      <c r="G124" s="548"/>
      <c r="H124" s="548"/>
      <c r="I124" s="548"/>
      <c r="J124" s="548"/>
      <c r="K124" s="548"/>
      <c r="L124" s="548"/>
      <c r="M124" s="548"/>
      <c r="N124" s="548"/>
      <c r="O124" s="548"/>
      <c r="P124" s="548"/>
      <c r="Q124" s="548"/>
      <c r="R124" s="548"/>
      <c r="S124" s="548"/>
      <c r="T124" s="548"/>
      <c r="U124" s="548"/>
      <c r="V124" s="548"/>
      <c r="W124" s="548"/>
      <c r="X124" s="548"/>
      <c r="Y124" s="548"/>
    </row>
    <row r="125" outlineLevel="1">
      <c r="A125" s="367" t="s">
        <v>21</v>
      </c>
      <c r="B125" s="557">
        <f t="shared" ref="B125:Y125" si="38">B7*B16</f>
        <v>100000</v>
      </c>
      <c r="C125" s="557">
        <f t="shared" si="38"/>
        <v>100000</v>
      </c>
      <c r="D125" s="557">
        <f t="shared" si="38"/>
        <v>100000</v>
      </c>
      <c r="E125" s="557">
        <f t="shared" si="38"/>
        <v>100000</v>
      </c>
      <c r="F125" s="557">
        <f t="shared" si="38"/>
        <v>100000</v>
      </c>
      <c r="G125" s="557">
        <f t="shared" si="38"/>
        <v>100000</v>
      </c>
      <c r="H125" s="557">
        <f t="shared" si="38"/>
        <v>100000</v>
      </c>
      <c r="I125" s="557">
        <f t="shared" si="38"/>
        <v>100000</v>
      </c>
      <c r="J125" s="557">
        <f t="shared" si="38"/>
        <v>100000</v>
      </c>
      <c r="K125" s="557">
        <f t="shared" si="38"/>
        <v>100000</v>
      </c>
      <c r="L125" s="557">
        <f t="shared" si="38"/>
        <v>100000</v>
      </c>
      <c r="M125" s="557">
        <f t="shared" si="38"/>
        <v>100000</v>
      </c>
      <c r="N125" s="557">
        <f t="shared" si="38"/>
        <v>100000</v>
      </c>
      <c r="O125" s="557">
        <f t="shared" si="38"/>
        <v>100000</v>
      </c>
      <c r="P125" s="557">
        <f t="shared" si="38"/>
        <v>100000</v>
      </c>
      <c r="Q125" s="557">
        <f t="shared" si="38"/>
        <v>100000</v>
      </c>
      <c r="R125" s="557">
        <f t="shared" si="38"/>
        <v>100000</v>
      </c>
      <c r="S125" s="557">
        <f t="shared" si="38"/>
        <v>100000</v>
      </c>
      <c r="T125" s="557">
        <f t="shared" si="38"/>
        <v>100000</v>
      </c>
      <c r="U125" s="557">
        <f t="shared" si="38"/>
        <v>100000</v>
      </c>
      <c r="V125" s="557">
        <f t="shared" si="38"/>
        <v>100000</v>
      </c>
      <c r="W125" s="557">
        <f t="shared" si="38"/>
        <v>100000</v>
      </c>
      <c r="X125" s="557">
        <f t="shared" si="38"/>
        <v>100000</v>
      </c>
      <c r="Y125" s="557">
        <f t="shared" si="38"/>
        <v>100000</v>
      </c>
    </row>
    <row r="126" outlineLevel="1">
      <c r="A126" s="551" t="s">
        <v>602</v>
      </c>
      <c r="B126" s="248">
        <f t="shared" ref="B126:Y126" si="39">B8*B$16</f>
        <v>14895.98523</v>
      </c>
      <c r="C126" s="248">
        <f t="shared" si="39"/>
        <v>9316.874168</v>
      </c>
      <c r="D126" s="248">
        <f t="shared" si="39"/>
        <v>14959.06353</v>
      </c>
      <c r="E126" s="248">
        <f t="shared" si="39"/>
        <v>14959.06353</v>
      </c>
      <c r="F126" s="248">
        <f t="shared" si="39"/>
        <v>8803.44594</v>
      </c>
      <c r="G126" s="248">
        <f t="shared" si="39"/>
        <v>14959.06353</v>
      </c>
      <c r="H126" s="248">
        <f t="shared" si="39"/>
        <v>11650.78499</v>
      </c>
      <c r="I126" s="248">
        <f t="shared" si="39"/>
        <v>19558.24576</v>
      </c>
      <c r="J126" s="248">
        <f t="shared" si="39"/>
        <v>21809.17655</v>
      </c>
      <c r="K126" s="248">
        <f t="shared" si="39"/>
        <v>14959.06353</v>
      </c>
      <c r="L126" s="248">
        <f t="shared" si="39"/>
        <v>14959.06353</v>
      </c>
      <c r="M126" s="248">
        <f t="shared" si="39"/>
        <v>14959.06353</v>
      </c>
      <c r="N126" s="248">
        <f t="shared" si="39"/>
        <v>14959.06353</v>
      </c>
      <c r="O126" s="248">
        <f t="shared" si="39"/>
        <v>14959.06353</v>
      </c>
      <c r="P126" s="248">
        <f t="shared" si="39"/>
        <v>14959.06353</v>
      </c>
      <c r="Q126" s="248">
        <f t="shared" si="39"/>
        <v>14959.06353</v>
      </c>
      <c r="R126" s="248">
        <f t="shared" si="39"/>
        <v>14959.06353</v>
      </c>
      <c r="S126" s="248">
        <f t="shared" si="39"/>
        <v>14959.06353</v>
      </c>
      <c r="T126" s="248">
        <f t="shared" si="39"/>
        <v>14959.06353</v>
      </c>
      <c r="U126" s="248">
        <f t="shared" si="39"/>
        <v>14959.06353</v>
      </c>
      <c r="V126" s="248">
        <f t="shared" si="39"/>
        <v>14959.06353</v>
      </c>
      <c r="W126" s="248">
        <f t="shared" si="39"/>
        <v>14959.06353</v>
      </c>
      <c r="X126" s="248">
        <f t="shared" si="39"/>
        <v>14959.06353</v>
      </c>
      <c r="Y126" s="248">
        <f t="shared" si="39"/>
        <v>14959.06353</v>
      </c>
    </row>
    <row r="127" outlineLevel="1">
      <c r="A127" s="142" t="s">
        <v>317</v>
      </c>
      <c r="B127" s="248">
        <f t="shared" ref="B127:Y127" si="40">B9*B$16</f>
        <v>13116.17909</v>
      </c>
      <c r="C127" s="248">
        <f t="shared" si="40"/>
        <v>0</v>
      </c>
      <c r="D127" s="248">
        <f t="shared" si="40"/>
        <v>28395.32746</v>
      </c>
      <c r="E127" s="248">
        <f t="shared" si="40"/>
        <v>28395.32746</v>
      </c>
      <c r="F127" s="248">
        <f t="shared" si="40"/>
        <v>17832.30351</v>
      </c>
      <c r="G127" s="248">
        <f t="shared" si="40"/>
        <v>28395.32746</v>
      </c>
      <c r="H127" s="248">
        <f t="shared" si="40"/>
        <v>0</v>
      </c>
      <c r="I127" s="248">
        <f t="shared" si="40"/>
        <v>42303.92768</v>
      </c>
      <c r="J127" s="248">
        <f t="shared" si="40"/>
        <v>71728.19497</v>
      </c>
      <c r="K127" s="248">
        <f t="shared" si="40"/>
        <v>28395.32746</v>
      </c>
      <c r="L127" s="248">
        <f t="shared" si="40"/>
        <v>28395.32746</v>
      </c>
      <c r="M127" s="248">
        <f t="shared" si="40"/>
        <v>28395.32746</v>
      </c>
      <c r="N127" s="248">
        <f t="shared" si="40"/>
        <v>28395.32746</v>
      </c>
      <c r="O127" s="248">
        <f t="shared" si="40"/>
        <v>28395.32746</v>
      </c>
      <c r="P127" s="248">
        <f t="shared" si="40"/>
        <v>28395.32746</v>
      </c>
      <c r="Q127" s="248">
        <f t="shared" si="40"/>
        <v>28395.32746</v>
      </c>
      <c r="R127" s="248">
        <f t="shared" si="40"/>
        <v>28395.32746</v>
      </c>
      <c r="S127" s="248">
        <f t="shared" si="40"/>
        <v>28395.32746</v>
      </c>
      <c r="T127" s="248">
        <f t="shared" si="40"/>
        <v>28395.32746</v>
      </c>
      <c r="U127" s="248">
        <f t="shared" si="40"/>
        <v>28395.32746</v>
      </c>
      <c r="V127" s="248">
        <f t="shared" si="40"/>
        <v>28395.32746</v>
      </c>
      <c r="W127" s="248">
        <f t="shared" si="40"/>
        <v>28395.32746</v>
      </c>
      <c r="X127" s="248">
        <f t="shared" si="40"/>
        <v>28395.32746</v>
      </c>
      <c r="Y127" s="248">
        <f t="shared" si="40"/>
        <v>28395.32746</v>
      </c>
    </row>
    <row r="128" outlineLevel="1">
      <c r="A128" s="551" t="s">
        <v>603</v>
      </c>
      <c r="B128" s="248">
        <f t="shared" ref="B128:Y128" si="41">B10*B$16</f>
        <v>34376.79063</v>
      </c>
      <c r="C128" s="248">
        <f t="shared" si="41"/>
        <v>0</v>
      </c>
      <c r="D128" s="248">
        <f t="shared" si="41"/>
        <v>6863.295896</v>
      </c>
      <c r="E128" s="248">
        <f t="shared" si="41"/>
        <v>6863.295896</v>
      </c>
      <c r="F128" s="248">
        <f t="shared" si="41"/>
        <v>0</v>
      </c>
      <c r="G128" s="248">
        <f t="shared" si="41"/>
        <v>6863.295896</v>
      </c>
      <c r="H128" s="248">
        <f t="shared" si="41"/>
        <v>5345.440548</v>
      </c>
      <c r="I128" s="248">
        <f t="shared" si="41"/>
        <v>0</v>
      </c>
      <c r="J128" s="248">
        <f t="shared" si="41"/>
        <v>0</v>
      </c>
      <c r="K128" s="248">
        <f t="shared" si="41"/>
        <v>6863.295896</v>
      </c>
      <c r="L128" s="248">
        <f t="shared" si="41"/>
        <v>6863.295896</v>
      </c>
      <c r="M128" s="248">
        <f t="shared" si="41"/>
        <v>6863.295896</v>
      </c>
      <c r="N128" s="248">
        <f t="shared" si="41"/>
        <v>6863.295896</v>
      </c>
      <c r="O128" s="248">
        <f t="shared" si="41"/>
        <v>6863.295896</v>
      </c>
      <c r="P128" s="248">
        <f t="shared" si="41"/>
        <v>6863.295896</v>
      </c>
      <c r="Q128" s="248">
        <f t="shared" si="41"/>
        <v>6863.295896</v>
      </c>
      <c r="R128" s="248">
        <f t="shared" si="41"/>
        <v>6863.295896</v>
      </c>
      <c r="S128" s="248">
        <f t="shared" si="41"/>
        <v>6863.295896</v>
      </c>
      <c r="T128" s="248">
        <f t="shared" si="41"/>
        <v>6863.295896</v>
      </c>
      <c r="U128" s="248">
        <f t="shared" si="41"/>
        <v>6863.295896</v>
      </c>
      <c r="V128" s="248">
        <f t="shared" si="41"/>
        <v>6863.295896</v>
      </c>
      <c r="W128" s="248">
        <f t="shared" si="41"/>
        <v>6863.295896</v>
      </c>
      <c r="X128" s="248">
        <f t="shared" si="41"/>
        <v>6863.295896</v>
      </c>
      <c r="Y128" s="248">
        <f t="shared" si="41"/>
        <v>6863.295896</v>
      </c>
    </row>
    <row r="129" outlineLevel="1">
      <c r="A129" s="553" t="s">
        <v>604</v>
      </c>
      <c r="B129" s="558">
        <f t="shared" ref="B129:Y129" si="42">B11*B$16</f>
        <v>69595.26641</v>
      </c>
      <c r="C129" s="558">
        <f t="shared" si="42"/>
        <v>46850.08893</v>
      </c>
      <c r="D129" s="558">
        <f t="shared" si="42"/>
        <v>64379.00867</v>
      </c>
      <c r="E129" s="558">
        <f t="shared" si="42"/>
        <v>64379.00867</v>
      </c>
      <c r="F129" s="558">
        <f t="shared" si="42"/>
        <v>54272.46405</v>
      </c>
      <c r="G129" s="558">
        <f t="shared" si="42"/>
        <v>64379.00867</v>
      </c>
      <c r="H129" s="558">
        <f t="shared" si="42"/>
        <v>50141.23951</v>
      </c>
      <c r="I129" s="558">
        <f t="shared" si="42"/>
        <v>69369.5029</v>
      </c>
      <c r="J129" s="558">
        <f t="shared" si="42"/>
        <v>82944.59964</v>
      </c>
      <c r="K129" s="558">
        <f t="shared" si="42"/>
        <v>64379.00867</v>
      </c>
      <c r="L129" s="558">
        <f t="shared" si="42"/>
        <v>64379.00867</v>
      </c>
      <c r="M129" s="558">
        <f t="shared" si="42"/>
        <v>64379.00867</v>
      </c>
      <c r="N129" s="558">
        <f t="shared" si="42"/>
        <v>64379.00867</v>
      </c>
      <c r="O129" s="558">
        <f t="shared" si="42"/>
        <v>64379.00867</v>
      </c>
      <c r="P129" s="558">
        <f t="shared" si="42"/>
        <v>64379.00867</v>
      </c>
      <c r="Q129" s="558">
        <f t="shared" si="42"/>
        <v>64379.00867</v>
      </c>
      <c r="R129" s="558">
        <f t="shared" si="42"/>
        <v>64379.00867</v>
      </c>
      <c r="S129" s="558">
        <f t="shared" si="42"/>
        <v>64379.00867</v>
      </c>
      <c r="T129" s="558">
        <f t="shared" si="42"/>
        <v>64379.00867</v>
      </c>
      <c r="U129" s="558">
        <f t="shared" si="42"/>
        <v>64379.00867</v>
      </c>
      <c r="V129" s="558">
        <f t="shared" si="42"/>
        <v>64379.00867</v>
      </c>
      <c r="W129" s="558">
        <f t="shared" si="42"/>
        <v>64379.00867</v>
      </c>
      <c r="X129" s="558">
        <f t="shared" si="42"/>
        <v>64379.00867</v>
      </c>
      <c r="Y129" s="558">
        <f t="shared" si="42"/>
        <v>64379.00867</v>
      </c>
    </row>
    <row r="130" outlineLevel="1">
      <c r="A130" s="367" t="s">
        <v>324</v>
      </c>
      <c r="B130" s="557">
        <f t="shared" ref="B130:Y130" si="43">sum(B125:B129)</f>
        <v>231984.2214</v>
      </c>
      <c r="C130" s="557">
        <f t="shared" si="43"/>
        <v>156166.9631</v>
      </c>
      <c r="D130" s="557">
        <f t="shared" si="43"/>
        <v>214596.6956</v>
      </c>
      <c r="E130" s="557">
        <f t="shared" si="43"/>
        <v>214596.6956</v>
      </c>
      <c r="F130" s="557">
        <f t="shared" si="43"/>
        <v>180908.2135</v>
      </c>
      <c r="G130" s="557">
        <f t="shared" si="43"/>
        <v>214596.6956</v>
      </c>
      <c r="H130" s="557">
        <f t="shared" si="43"/>
        <v>167137.465</v>
      </c>
      <c r="I130" s="557">
        <f t="shared" si="43"/>
        <v>231231.6763</v>
      </c>
      <c r="J130" s="557">
        <f t="shared" si="43"/>
        <v>276481.9712</v>
      </c>
      <c r="K130" s="557">
        <f t="shared" si="43"/>
        <v>214596.6956</v>
      </c>
      <c r="L130" s="557">
        <f t="shared" si="43"/>
        <v>214596.6956</v>
      </c>
      <c r="M130" s="557">
        <f t="shared" si="43"/>
        <v>214596.6956</v>
      </c>
      <c r="N130" s="557">
        <f t="shared" si="43"/>
        <v>214596.6956</v>
      </c>
      <c r="O130" s="557">
        <f t="shared" si="43"/>
        <v>214596.6956</v>
      </c>
      <c r="P130" s="557">
        <f t="shared" si="43"/>
        <v>214596.6956</v>
      </c>
      <c r="Q130" s="557">
        <f t="shared" si="43"/>
        <v>214596.6956</v>
      </c>
      <c r="R130" s="557">
        <f t="shared" si="43"/>
        <v>214596.6956</v>
      </c>
      <c r="S130" s="557">
        <f t="shared" si="43"/>
        <v>214596.6956</v>
      </c>
      <c r="T130" s="557">
        <f t="shared" si="43"/>
        <v>214596.6956</v>
      </c>
      <c r="U130" s="557">
        <f t="shared" si="43"/>
        <v>214596.6956</v>
      </c>
      <c r="V130" s="557">
        <f t="shared" si="43"/>
        <v>214596.6956</v>
      </c>
      <c r="W130" s="557">
        <f t="shared" si="43"/>
        <v>214596.6956</v>
      </c>
      <c r="X130" s="557">
        <f t="shared" si="43"/>
        <v>214596.6956</v>
      </c>
      <c r="Y130" s="557">
        <f t="shared" si="43"/>
        <v>214596.6956</v>
      </c>
    </row>
    <row r="131" outlineLevel="1">
      <c r="A131" s="367"/>
      <c r="B131" s="548"/>
      <c r="C131" s="548"/>
      <c r="D131" s="548"/>
      <c r="E131" s="548"/>
      <c r="F131" s="548"/>
      <c r="G131" s="548"/>
      <c r="H131" s="548"/>
      <c r="I131" s="548"/>
      <c r="J131" s="548"/>
      <c r="K131" s="548"/>
      <c r="L131" s="548"/>
      <c r="M131" s="548"/>
      <c r="N131" s="548"/>
      <c r="O131" s="548"/>
      <c r="P131" s="548"/>
      <c r="Q131" s="548"/>
      <c r="R131" s="548"/>
      <c r="S131" s="548"/>
      <c r="T131" s="548"/>
      <c r="U131" s="548"/>
      <c r="V131" s="548"/>
      <c r="W131" s="548"/>
      <c r="X131" s="548"/>
      <c r="Y131" s="548"/>
    </row>
    <row r="132" outlineLevel="1">
      <c r="A132" s="362" t="s">
        <v>325</v>
      </c>
      <c r="B132" s="242"/>
      <c r="C132" s="242"/>
      <c r="D132" s="242"/>
      <c r="E132" s="242"/>
      <c r="F132" s="242"/>
      <c r="G132" s="242"/>
      <c r="H132" s="242"/>
      <c r="I132" s="242"/>
      <c r="J132" s="242"/>
      <c r="K132" s="242"/>
      <c r="L132" s="242"/>
      <c r="M132" s="242"/>
      <c r="N132" s="242"/>
      <c r="O132" s="242"/>
      <c r="P132" s="242"/>
      <c r="Q132" s="242"/>
      <c r="R132" s="242"/>
      <c r="S132" s="242"/>
      <c r="T132" s="242"/>
      <c r="U132" s="242"/>
      <c r="V132" s="242"/>
      <c r="W132" s="242"/>
      <c r="X132" s="242"/>
      <c r="Y132" s="242"/>
    </row>
    <row r="133" outlineLevel="1">
      <c r="A133" s="195" t="s">
        <v>326</v>
      </c>
      <c r="B133" s="101">
        <f t="shared" ref="B133:Y133" si="44">sum(B125,B127:B128)</f>
        <v>147492.9697</v>
      </c>
      <c r="C133" s="101">
        <f t="shared" si="44"/>
        <v>100000</v>
      </c>
      <c r="D133" s="101">
        <f t="shared" si="44"/>
        <v>135258.6234</v>
      </c>
      <c r="E133" s="101">
        <f t="shared" si="44"/>
        <v>135258.6234</v>
      </c>
      <c r="F133" s="101">
        <f t="shared" si="44"/>
        <v>117832.3035</v>
      </c>
      <c r="G133" s="101">
        <f t="shared" si="44"/>
        <v>135258.6234</v>
      </c>
      <c r="H133" s="101">
        <f t="shared" si="44"/>
        <v>105345.4405</v>
      </c>
      <c r="I133" s="101">
        <f t="shared" si="44"/>
        <v>142303.9277</v>
      </c>
      <c r="J133" s="101">
        <f t="shared" si="44"/>
        <v>171728.195</v>
      </c>
      <c r="K133" s="101">
        <f t="shared" si="44"/>
        <v>135258.6234</v>
      </c>
      <c r="L133" s="101">
        <f t="shared" si="44"/>
        <v>135258.6234</v>
      </c>
      <c r="M133" s="101">
        <f t="shared" si="44"/>
        <v>135258.6234</v>
      </c>
      <c r="N133" s="101">
        <f t="shared" si="44"/>
        <v>135258.6234</v>
      </c>
      <c r="O133" s="101">
        <f t="shared" si="44"/>
        <v>135258.6234</v>
      </c>
      <c r="P133" s="101">
        <f t="shared" si="44"/>
        <v>135258.6234</v>
      </c>
      <c r="Q133" s="101">
        <f t="shared" si="44"/>
        <v>135258.6234</v>
      </c>
      <c r="R133" s="101">
        <f t="shared" si="44"/>
        <v>135258.6234</v>
      </c>
      <c r="S133" s="101">
        <f t="shared" si="44"/>
        <v>135258.6234</v>
      </c>
      <c r="T133" s="101">
        <f t="shared" si="44"/>
        <v>135258.6234</v>
      </c>
      <c r="U133" s="101">
        <f t="shared" si="44"/>
        <v>135258.6234</v>
      </c>
      <c r="V133" s="101">
        <f t="shared" si="44"/>
        <v>135258.6234</v>
      </c>
      <c r="W133" s="101">
        <f t="shared" si="44"/>
        <v>135258.6234</v>
      </c>
      <c r="X133" s="101">
        <f t="shared" si="44"/>
        <v>135258.6234</v>
      </c>
      <c r="Y133" s="101">
        <f t="shared" si="44"/>
        <v>135258.6234</v>
      </c>
    </row>
    <row r="134" outlineLevel="1">
      <c r="A134" s="195" t="s">
        <v>327</v>
      </c>
      <c r="B134" s="101">
        <f t="shared" ref="B134:Y134" si="45">sum(B126,B129)</f>
        <v>84491.25164</v>
      </c>
      <c r="C134" s="101">
        <f t="shared" si="45"/>
        <v>56166.9631</v>
      </c>
      <c r="D134" s="101">
        <f t="shared" si="45"/>
        <v>79338.0722</v>
      </c>
      <c r="E134" s="101">
        <f t="shared" si="45"/>
        <v>79338.0722</v>
      </c>
      <c r="F134" s="101">
        <f t="shared" si="45"/>
        <v>63075.90999</v>
      </c>
      <c r="G134" s="101">
        <f t="shared" si="45"/>
        <v>79338.0722</v>
      </c>
      <c r="H134" s="101">
        <f t="shared" si="45"/>
        <v>61792.0245</v>
      </c>
      <c r="I134" s="101">
        <f t="shared" si="45"/>
        <v>88927.74866</v>
      </c>
      <c r="J134" s="101">
        <f t="shared" si="45"/>
        <v>104753.7762</v>
      </c>
      <c r="K134" s="101">
        <f t="shared" si="45"/>
        <v>79338.0722</v>
      </c>
      <c r="L134" s="101">
        <f t="shared" si="45"/>
        <v>79338.0722</v>
      </c>
      <c r="M134" s="101">
        <f t="shared" si="45"/>
        <v>79338.0722</v>
      </c>
      <c r="N134" s="101">
        <f t="shared" si="45"/>
        <v>79338.0722</v>
      </c>
      <c r="O134" s="101">
        <f t="shared" si="45"/>
        <v>79338.0722</v>
      </c>
      <c r="P134" s="101">
        <f t="shared" si="45"/>
        <v>79338.0722</v>
      </c>
      <c r="Q134" s="101">
        <f t="shared" si="45"/>
        <v>79338.0722</v>
      </c>
      <c r="R134" s="101">
        <f t="shared" si="45"/>
        <v>79338.0722</v>
      </c>
      <c r="S134" s="101">
        <f t="shared" si="45"/>
        <v>79338.0722</v>
      </c>
      <c r="T134" s="101">
        <f t="shared" si="45"/>
        <v>79338.0722</v>
      </c>
      <c r="U134" s="101">
        <f t="shared" si="45"/>
        <v>79338.0722</v>
      </c>
      <c r="V134" s="101">
        <f t="shared" si="45"/>
        <v>79338.0722</v>
      </c>
      <c r="W134" s="101">
        <f t="shared" si="45"/>
        <v>79338.0722</v>
      </c>
      <c r="X134" s="101">
        <f t="shared" si="45"/>
        <v>79338.0722</v>
      </c>
      <c r="Y134" s="101">
        <f t="shared" si="45"/>
        <v>79338.0722</v>
      </c>
    </row>
    <row r="135" outlineLevel="1">
      <c r="A135" s="367"/>
      <c r="B135" s="548"/>
      <c r="C135" s="548"/>
      <c r="D135" s="548"/>
      <c r="E135" s="548"/>
      <c r="F135" s="548"/>
      <c r="G135" s="548"/>
      <c r="H135" s="548"/>
      <c r="I135" s="548"/>
      <c r="J135" s="548"/>
      <c r="K135" s="548"/>
      <c r="L135" s="548"/>
      <c r="M135" s="548"/>
      <c r="N135" s="548"/>
      <c r="O135" s="548"/>
      <c r="P135" s="548"/>
      <c r="Q135" s="548"/>
      <c r="R135" s="548"/>
      <c r="S135" s="548"/>
      <c r="T135" s="548"/>
      <c r="U135" s="548"/>
      <c r="V135" s="548"/>
      <c r="W135" s="548"/>
      <c r="X135" s="548"/>
      <c r="Y135" s="548"/>
    </row>
    <row r="136" outlineLevel="1">
      <c r="A136" s="365" t="s">
        <v>328</v>
      </c>
      <c r="B136" s="355"/>
      <c r="C136" s="242"/>
      <c r="D136" s="242"/>
      <c r="E136" s="242"/>
      <c r="F136" s="559"/>
      <c r="G136" s="559"/>
      <c r="H136" s="559"/>
      <c r="I136" s="559"/>
      <c r="J136" s="559"/>
      <c r="K136" s="559"/>
      <c r="L136" s="559"/>
      <c r="M136" s="559"/>
      <c r="N136" s="559"/>
      <c r="O136" s="559"/>
      <c r="P136" s="559"/>
      <c r="Q136" s="559"/>
      <c r="R136" s="559"/>
      <c r="S136" s="559"/>
      <c r="T136" s="559"/>
      <c r="U136" s="559"/>
      <c r="V136" s="559"/>
      <c r="W136" s="559"/>
      <c r="X136" s="559"/>
      <c r="Y136" s="559"/>
    </row>
    <row r="137" outlineLevel="1">
      <c r="A137" s="142" t="s">
        <v>602</v>
      </c>
      <c r="B137" s="334">
        <f>'Value of counterfactual spendin'!$B$46</f>
        <v>0.005639073842</v>
      </c>
      <c r="C137" s="334">
        <f>'Value of counterfactual spendin'!$B$46</f>
        <v>0.005639073842</v>
      </c>
      <c r="D137" s="334">
        <f>'Value of counterfactual spendin'!$B$46</f>
        <v>0.005639073842</v>
      </c>
      <c r="E137" s="334">
        <f>'Value of counterfactual spendin'!$B$46</f>
        <v>0.005639073842</v>
      </c>
      <c r="F137" s="334">
        <f>'Value of counterfactual spendin'!$B$46</f>
        <v>0.005639073842</v>
      </c>
      <c r="G137" s="334">
        <f>'Value of counterfactual spendin'!$B$46</f>
        <v>0.005639073842</v>
      </c>
      <c r="H137" s="334">
        <f>'Value of counterfactual spendin'!$B$46</f>
        <v>0.005639073842</v>
      </c>
      <c r="I137" s="334">
        <f>'Value of counterfactual spendin'!$B$46</f>
        <v>0.005639073842</v>
      </c>
      <c r="J137" s="334">
        <f>'Value of counterfactual spendin'!$B$46</f>
        <v>0.005639073842</v>
      </c>
      <c r="K137" s="334">
        <f>'Value of counterfactual spendin'!$B$46</f>
        <v>0.005639073842</v>
      </c>
      <c r="L137" s="334">
        <f>'Value of counterfactual spendin'!$B$46</f>
        <v>0.005639073842</v>
      </c>
      <c r="M137" s="334">
        <f>'Value of counterfactual spendin'!$B$46</f>
        <v>0.005639073842</v>
      </c>
      <c r="N137" s="334">
        <f>'Value of counterfactual spendin'!$B$46</f>
        <v>0.005639073842</v>
      </c>
      <c r="O137" s="334">
        <f>'Value of counterfactual spendin'!$B$46</f>
        <v>0.005639073842</v>
      </c>
      <c r="P137" s="334">
        <f>'Value of counterfactual spendin'!$B$46</f>
        <v>0.005639073842</v>
      </c>
      <c r="Q137" s="334">
        <f>'Value of counterfactual spendin'!$B$46</f>
        <v>0.005639073842</v>
      </c>
      <c r="R137" s="334">
        <f>'Value of counterfactual spendin'!$B$46</f>
        <v>0.005639073842</v>
      </c>
      <c r="S137" s="334">
        <f>'Value of counterfactual spendin'!$B$46</f>
        <v>0.005639073842</v>
      </c>
      <c r="T137" s="334">
        <f>'Value of counterfactual spendin'!$B$46</f>
        <v>0.005639073842</v>
      </c>
      <c r="U137" s="334">
        <f>'Value of counterfactual spendin'!$B$46</f>
        <v>0.005639073842</v>
      </c>
      <c r="V137" s="334">
        <f>'Value of counterfactual spendin'!$B$46</f>
        <v>0.005639073842</v>
      </c>
      <c r="W137" s="334">
        <f>'Value of counterfactual spendin'!$B$46</f>
        <v>0.005639073842</v>
      </c>
      <c r="X137" s="334">
        <f>'Value of counterfactual spendin'!$B$46</f>
        <v>0.005639073842</v>
      </c>
      <c r="Y137" s="334">
        <f>'Value of counterfactual spendin'!$B$46</f>
        <v>0.005639073842</v>
      </c>
    </row>
    <row r="138" outlineLevel="1">
      <c r="A138" s="142" t="s">
        <v>605</v>
      </c>
      <c r="B138" s="334">
        <f>'Value of counterfactual spendin'!$B45</f>
        <v>0.01109007961</v>
      </c>
      <c r="C138" s="334">
        <f>'Value of counterfactual spendin'!$B45</f>
        <v>0.01109007961</v>
      </c>
      <c r="D138" s="334">
        <f>'Value of counterfactual spendin'!$B45</f>
        <v>0.01109007961</v>
      </c>
      <c r="E138" s="334">
        <f>'Value of counterfactual spendin'!$B45</f>
        <v>0.01109007961</v>
      </c>
      <c r="F138" s="334">
        <f>'Value of counterfactual spendin'!$B45</f>
        <v>0.01109007961</v>
      </c>
      <c r="G138" s="334">
        <f>'Value of counterfactual spendin'!$B$46</f>
        <v>0.005639073842</v>
      </c>
      <c r="H138" s="334">
        <f>'Value of counterfactual spendin'!$B$46</f>
        <v>0.005639073842</v>
      </c>
      <c r="I138" s="334">
        <f>'Value of counterfactual spendin'!$B$46</f>
        <v>0.005639073842</v>
      </c>
      <c r="J138" s="334">
        <f>'Value of counterfactual spendin'!$B$46</f>
        <v>0.005639073842</v>
      </c>
      <c r="K138" s="334">
        <f>'Value of counterfactual spendin'!$B$46</f>
        <v>0.005639073842</v>
      </c>
      <c r="L138" s="334">
        <f>'Value of counterfactual spendin'!$B$46</f>
        <v>0.005639073842</v>
      </c>
      <c r="M138" s="334">
        <f>'Value of counterfactual spendin'!$B$46</f>
        <v>0.005639073842</v>
      </c>
      <c r="N138" s="334">
        <f>'Value of counterfactual spendin'!$B$46</f>
        <v>0.005639073842</v>
      </c>
      <c r="O138" s="334">
        <f>'Value of counterfactual spendin'!$B$46</f>
        <v>0.005639073842</v>
      </c>
      <c r="P138" s="334">
        <f>'Value of counterfactual spendin'!$B$46</f>
        <v>0.005639073842</v>
      </c>
      <c r="Q138" s="334">
        <f>'Value of counterfactual spendin'!$B$46</f>
        <v>0.005639073842</v>
      </c>
      <c r="R138" s="334">
        <f>'Value of counterfactual spendin'!$B$46</f>
        <v>0.005639073842</v>
      </c>
      <c r="S138" s="334">
        <f>'Value of counterfactual spendin'!$B$46</f>
        <v>0.005639073842</v>
      </c>
      <c r="T138" s="334">
        <f>'Value of counterfactual spendin'!$B$46</f>
        <v>0.005639073842</v>
      </c>
      <c r="U138" s="334">
        <f>'Value of counterfactual spendin'!$B$46</f>
        <v>0.005639073842</v>
      </c>
      <c r="V138" s="334">
        <f>'Value of counterfactual spendin'!$B$46</f>
        <v>0.005639073842</v>
      </c>
      <c r="W138" s="334">
        <f>'Value of counterfactual spendin'!$B$46</f>
        <v>0.005639073842</v>
      </c>
      <c r="X138" s="334">
        <f>'Value of counterfactual spendin'!$B$46</f>
        <v>0.005639073842</v>
      </c>
      <c r="Y138" s="334">
        <f>'Value of counterfactual spendin'!$B$46</f>
        <v>0.005639073842</v>
      </c>
    </row>
    <row r="139" outlineLevel="1">
      <c r="A139" s="142" t="s">
        <v>603</v>
      </c>
      <c r="B139" s="334">
        <f>'Value of counterfactual spendin'!$B$42</f>
        <v>0.005071038557</v>
      </c>
      <c r="C139" s="334">
        <f>'Value of counterfactual spendin'!$B$42</f>
        <v>0.005071038557</v>
      </c>
      <c r="D139" s="334">
        <f>'Value of counterfactual spendin'!$B$42</f>
        <v>0.005071038557</v>
      </c>
      <c r="E139" s="334">
        <f>'Value of counterfactual spendin'!$B$42</f>
        <v>0.005071038557</v>
      </c>
      <c r="F139" s="334">
        <f>'Value of counterfactual spendin'!$B$42</f>
        <v>0.005071038557</v>
      </c>
      <c r="G139" s="334">
        <f>'Value of counterfactual spendin'!$B$42</f>
        <v>0.005071038557</v>
      </c>
      <c r="H139" s="334">
        <f>'Value of counterfactual spendin'!$B$42</f>
        <v>0.005071038557</v>
      </c>
      <c r="I139" s="334">
        <f>'Value of counterfactual spendin'!$B$42</f>
        <v>0.005071038557</v>
      </c>
      <c r="J139" s="334">
        <f>'Value of counterfactual spendin'!$B$42</f>
        <v>0.005071038557</v>
      </c>
      <c r="K139" s="334">
        <f>'Value of counterfactual spendin'!$B$42</f>
        <v>0.005071038557</v>
      </c>
      <c r="L139" s="334">
        <f>'Value of counterfactual spendin'!$B$42</f>
        <v>0.005071038557</v>
      </c>
      <c r="M139" s="334">
        <f>'Value of counterfactual spendin'!$B$42</f>
        <v>0.005071038557</v>
      </c>
      <c r="N139" s="334">
        <f>'Value of counterfactual spendin'!$B$42</f>
        <v>0.005071038557</v>
      </c>
      <c r="O139" s="334">
        <f>'Value of counterfactual spendin'!$B$42</f>
        <v>0.005071038557</v>
      </c>
      <c r="P139" s="334">
        <f>'Value of counterfactual spendin'!$B$42</f>
        <v>0.005071038557</v>
      </c>
      <c r="Q139" s="334">
        <f>'Value of counterfactual spendin'!$B$42</f>
        <v>0.005071038557</v>
      </c>
      <c r="R139" s="334">
        <f>'Value of counterfactual spendin'!$B$42</f>
        <v>0.005071038557</v>
      </c>
      <c r="S139" s="334">
        <f>'Value of counterfactual spendin'!$B$42</f>
        <v>0.005071038557</v>
      </c>
      <c r="T139" s="334">
        <f>'Value of counterfactual spendin'!$B$42</f>
        <v>0.005071038557</v>
      </c>
      <c r="U139" s="334">
        <f>'Value of counterfactual spendin'!$B$42</f>
        <v>0.005071038557</v>
      </c>
      <c r="V139" s="334">
        <f>'Value of counterfactual spendin'!$B$42</f>
        <v>0.005071038557</v>
      </c>
      <c r="W139" s="334">
        <f>'Value of counterfactual spendin'!$B$42</f>
        <v>0.005071038557</v>
      </c>
      <c r="X139" s="334">
        <f>'Value of counterfactual spendin'!$B$42</f>
        <v>0.005071038557</v>
      </c>
      <c r="Y139" s="334">
        <f>'Value of counterfactual spendin'!$B$42</f>
        <v>0.005071038557</v>
      </c>
    </row>
    <row r="140" outlineLevel="1">
      <c r="A140" s="142" t="s">
        <v>604</v>
      </c>
      <c r="B140" s="334">
        <f>'Value of counterfactual spendin'!$B$42</f>
        <v>0.005071038557</v>
      </c>
      <c r="C140" s="334">
        <f>'Value of counterfactual spendin'!$B$42</f>
        <v>0.005071038557</v>
      </c>
      <c r="D140" s="334">
        <f>'Value of counterfactual spendin'!$B$42</f>
        <v>0.005071038557</v>
      </c>
      <c r="E140" s="334">
        <f>'Value of counterfactual spendin'!$B$42</f>
        <v>0.005071038557</v>
      </c>
      <c r="F140" s="334">
        <f>'Value of counterfactual spendin'!$B$42</f>
        <v>0.005071038557</v>
      </c>
      <c r="G140" s="334">
        <f>'Value of counterfactual spendin'!$B$42</f>
        <v>0.005071038557</v>
      </c>
      <c r="H140" s="334">
        <f>'Value of counterfactual spendin'!$B$42</f>
        <v>0.005071038557</v>
      </c>
      <c r="I140" s="334">
        <f>'Value of counterfactual spendin'!$B$42</f>
        <v>0.005071038557</v>
      </c>
      <c r="J140" s="334">
        <f>'Value of counterfactual spendin'!$B$42</f>
        <v>0.005071038557</v>
      </c>
      <c r="K140" s="334">
        <f>'Value of counterfactual spendin'!$B$42</f>
        <v>0.005071038557</v>
      </c>
      <c r="L140" s="334">
        <f>'Value of counterfactual spendin'!$B$42</f>
        <v>0.005071038557</v>
      </c>
      <c r="M140" s="334">
        <f>'Value of counterfactual spendin'!$B$42</f>
        <v>0.005071038557</v>
      </c>
      <c r="N140" s="334">
        <f>'Value of counterfactual spendin'!$B$42</f>
        <v>0.005071038557</v>
      </c>
      <c r="O140" s="334">
        <f>'Value of counterfactual spendin'!$B$42</f>
        <v>0.005071038557</v>
      </c>
      <c r="P140" s="334">
        <f>'Value of counterfactual spendin'!$B$42</f>
        <v>0.005071038557</v>
      </c>
      <c r="Q140" s="334">
        <f>'Value of counterfactual spendin'!$B$42</f>
        <v>0.005071038557</v>
      </c>
      <c r="R140" s="334">
        <f>'Value of counterfactual spendin'!$B$42</f>
        <v>0.005071038557</v>
      </c>
      <c r="S140" s="334">
        <f>'Value of counterfactual spendin'!$B$42</f>
        <v>0.005071038557</v>
      </c>
      <c r="T140" s="334">
        <f>'Value of counterfactual spendin'!$B$42</f>
        <v>0.005071038557</v>
      </c>
      <c r="U140" s="334">
        <f>'Value of counterfactual spendin'!$B$42</f>
        <v>0.005071038557</v>
      </c>
      <c r="V140" s="334">
        <f>'Value of counterfactual spendin'!$B$42</f>
        <v>0.005071038557</v>
      </c>
      <c r="W140" s="334">
        <f>'Value of counterfactual spendin'!$B$42</f>
        <v>0.005071038557</v>
      </c>
      <c r="X140" s="334">
        <f>'Value of counterfactual spendin'!$B$42</f>
        <v>0.005071038557</v>
      </c>
      <c r="Y140" s="334">
        <f>'Value of counterfactual spendin'!$B$42</f>
        <v>0.005071038557</v>
      </c>
    </row>
    <row r="141" outlineLevel="1">
      <c r="A141" s="367"/>
      <c r="B141" s="548"/>
      <c r="C141" s="548"/>
      <c r="D141" s="548"/>
      <c r="E141" s="548"/>
      <c r="F141" s="548"/>
      <c r="G141" s="548"/>
      <c r="H141" s="548"/>
      <c r="I141" s="548"/>
      <c r="J141" s="548"/>
      <c r="K141" s="548"/>
      <c r="L141" s="548"/>
      <c r="M141" s="548"/>
      <c r="N141" s="548"/>
      <c r="O141" s="548"/>
      <c r="P141" s="548"/>
      <c r="Q141" s="548"/>
      <c r="R141" s="548"/>
      <c r="S141" s="548"/>
      <c r="T141" s="548"/>
      <c r="U141" s="548"/>
      <c r="V141" s="548"/>
      <c r="W141" s="548"/>
      <c r="X141" s="548"/>
      <c r="Y141" s="548"/>
    </row>
    <row r="142" outlineLevel="1">
      <c r="A142" s="233" t="s">
        <v>606</v>
      </c>
      <c r="B142" s="242"/>
      <c r="C142" s="242"/>
      <c r="D142" s="242"/>
      <c r="E142" s="242"/>
      <c r="F142" s="242"/>
      <c r="G142" s="242"/>
      <c r="H142" s="242"/>
      <c r="I142" s="242"/>
      <c r="J142" s="242"/>
      <c r="K142" s="242"/>
      <c r="L142" s="242"/>
      <c r="M142" s="242"/>
      <c r="N142" s="242"/>
      <c r="O142" s="242"/>
      <c r="P142" s="242"/>
      <c r="Q142" s="242"/>
      <c r="R142" s="242"/>
      <c r="S142" s="242"/>
      <c r="T142" s="242"/>
      <c r="U142" s="242"/>
      <c r="V142" s="242"/>
      <c r="W142" s="242"/>
      <c r="X142" s="242"/>
      <c r="Y142" s="242"/>
    </row>
    <row r="143" outlineLevel="1">
      <c r="A143" s="142" t="s">
        <v>607</v>
      </c>
      <c r="B143" s="127">
        <v>0.1</v>
      </c>
      <c r="C143" s="92">
        <v>0.05</v>
      </c>
      <c r="D143" s="127">
        <v>0.1</v>
      </c>
      <c r="E143" s="127">
        <v>0.1</v>
      </c>
      <c r="F143" s="127">
        <v>0.1</v>
      </c>
      <c r="G143" s="127">
        <v>0.1</v>
      </c>
      <c r="H143" s="127">
        <v>0.05</v>
      </c>
      <c r="I143" s="127">
        <v>0.1</v>
      </c>
      <c r="J143" s="127">
        <v>0.1</v>
      </c>
      <c r="K143" s="92">
        <v>0.1</v>
      </c>
      <c r="L143" s="92">
        <v>0.1</v>
      </c>
      <c r="M143" s="92">
        <v>0.1</v>
      </c>
      <c r="N143" s="92">
        <v>0.1</v>
      </c>
      <c r="O143" s="92">
        <v>0.1</v>
      </c>
      <c r="P143" s="92">
        <v>0.1</v>
      </c>
      <c r="Q143" s="92">
        <v>0.1</v>
      </c>
      <c r="R143" s="92">
        <v>0.1</v>
      </c>
      <c r="S143" s="92">
        <v>0.1</v>
      </c>
      <c r="T143" s="92">
        <v>0.1</v>
      </c>
      <c r="U143" s="92">
        <v>0.1</v>
      </c>
      <c r="V143" s="92">
        <v>0.1</v>
      </c>
      <c r="W143" s="92">
        <v>0.1</v>
      </c>
      <c r="X143" s="92">
        <v>0.1</v>
      </c>
      <c r="Y143" s="92">
        <v>0.1</v>
      </c>
    </row>
    <row r="144" outlineLevel="1">
      <c r="A144" s="142" t="s">
        <v>608</v>
      </c>
      <c r="B144" s="127">
        <v>0.2</v>
      </c>
      <c r="C144" s="127">
        <v>0.33</v>
      </c>
      <c r="D144" s="127">
        <v>0.35</v>
      </c>
      <c r="E144" s="127">
        <v>0.1</v>
      </c>
      <c r="F144" s="127">
        <v>0.35</v>
      </c>
      <c r="G144" s="127">
        <v>0.25</v>
      </c>
      <c r="H144" s="127">
        <v>0.2</v>
      </c>
      <c r="I144" s="127">
        <v>0.25</v>
      </c>
      <c r="J144" s="127">
        <v>0.2</v>
      </c>
      <c r="K144" s="127">
        <v>0.15</v>
      </c>
      <c r="L144" s="127">
        <v>0.15</v>
      </c>
      <c r="M144" s="127">
        <v>0.15</v>
      </c>
      <c r="N144" s="127">
        <v>0.15</v>
      </c>
      <c r="O144" s="127">
        <v>0.15</v>
      </c>
      <c r="P144" s="127">
        <v>0.15</v>
      </c>
      <c r="Q144" s="127">
        <v>0.15</v>
      </c>
      <c r="R144" s="127">
        <v>0.15</v>
      </c>
      <c r="S144" s="127">
        <v>0.15</v>
      </c>
      <c r="T144" s="127">
        <v>0.15</v>
      </c>
      <c r="U144" s="127">
        <v>0.15</v>
      </c>
      <c r="V144" s="127">
        <v>0.15</v>
      </c>
      <c r="W144" s="127">
        <v>0.15</v>
      </c>
      <c r="X144" s="127">
        <v>0.15</v>
      </c>
      <c r="Y144" s="127">
        <v>0.15</v>
      </c>
    </row>
    <row r="145" outlineLevel="1">
      <c r="A145" s="234" t="s">
        <v>609</v>
      </c>
      <c r="B145" s="127">
        <f t="shared" ref="B145:Y145" si="46">1-sum(B143:B144)</f>
        <v>0.7</v>
      </c>
      <c r="C145" s="127">
        <f t="shared" si="46"/>
        <v>0.62</v>
      </c>
      <c r="D145" s="127">
        <f t="shared" si="46"/>
        <v>0.55</v>
      </c>
      <c r="E145" s="127">
        <f t="shared" si="46"/>
        <v>0.8</v>
      </c>
      <c r="F145" s="127">
        <f t="shared" si="46"/>
        <v>0.55</v>
      </c>
      <c r="G145" s="127">
        <f t="shared" si="46"/>
        <v>0.65</v>
      </c>
      <c r="H145" s="127">
        <f t="shared" si="46"/>
        <v>0.75</v>
      </c>
      <c r="I145" s="127">
        <f t="shared" si="46"/>
        <v>0.65</v>
      </c>
      <c r="J145" s="127">
        <f t="shared" si="46"/>
        <v>0.7</v>
      </c>
      <c r="K145" s="127">
        <f t="shared" si="46"/>
        <v>0.75</v>
      </c>
      <c r="L145" s="127">
        <f t="shared" si="46"/>
        <v>0.75</v>
      </c>
      <c r="M145" s="127">
        <f t="shared" si="46"/>
        <v>0.75</v>
      </c>
      <c r="N145" s="127">
        <f t="shared" si="46"/>
        <v>0.75</v>
      </c>
      <c r="O145" s="127">
        <f t="shared" si="46"/>
        <v>0.75</v>
      </c>
      <c r="P145" s="127">
        <f t="shared" si="46"/>
        <v>0.75</v>
      </c>
      <c r="Q145" s="127">
        <f t="shared" si="46"/>
        <v>0.75</v>
      </c>
      <c r="R145" s="127">
        <f t="shared" si="46"/>
        <v>0.75</v>
      </c>
      <c r="S145" s="127">
        <f t="shared" si="46"/>
        <v>0.75</v>
      </c>
      <c r="T145" s="127">
        <f t="shared" si="46"/>
        <v>0.75</v>
      </c>
      <c r="U145" s="127">
        <f t="shared" si="46"/>
        <v>0.75</v>
      </c>
      <c r="V145" s="127">
        <f t="shared" si="46"/>
        <v>0.75</v>
      </c>
      <c r="W145" s="127">
        <f t="shared" si="46"/>
        <v>0.75</v>
      </c>
      <c r="X145" s="127">
        <f t="shared" si="46"/>
        <v>0.75</v>
      </c>
      <c r="Y145" s="127">
        <f t="shared" si="46"/>
        <v>0.75</v>
      </c>
    </row>
    <row r="146" outlineLevel="1">
      <c r="A146" s="142" t="s">
        <v>220</v>
      </c>
      <c r="B146" s="127">
        <v>0.0</v>
      </c>
      <c r="C146" s="127">
        <v>0.0</v>
      </c>
      <c r="D146" s="127">
        <v>0.0</v>
      </c>
      <c r="E146" s="127">
        <v>0.0</v>
      </c>
      <c r="F146" s="127">
        <v>0.0</v>
      </c>
      <c r="G146" s="127">
        <v>0.0</v>
      </c>
      <c r="H146" s="127">
        <v>0.0</v>
      </c>
      <c r="I146" s="127">
        <v>0.0</v>
      </c>
      <c r="J146" s="127">
        <v>0.0</v>
      </c>
      <c r="K146" s="127">
        <v>0.0</v>
      </c>
      <c r="L146" s="127">
        <v>0.0</v>
      </c>
      <c r="M146" s="127">
        <v>0.0</v>
      </c>
      <c r="N146" s="127">
        <v>0.0</v>
      </c>
      <c r="O146" s="127">
        <v>0.0</v>
      </c>
      <c r="P146" s="127">
        <v>0.0</v>
      </c>
      <c r="Q146" s="127">
        <v>0.0</v>
      </c>
      <c r="R146" s="127">
        <v>0.0</v>
      </c>
      <c r="S146" s="127">
        <v>0.0</v>
      </c>
      <c r="T146" s="127">
        <v>0.0</v>
      </c>
      <c r="U146" s="127">
        <v>0.0</v>
      </c>
      <c r="V146" s="127">
        <v>0.0</v>
      </c>
      <c r="W146" s="127">
        <v>0.0</v>
      </c>
      <c r="X146" s="127">
        <v>0.0</v>
      </c>
      <c r="Y146" s="127">
        <v>0.0</v>
      </c>
    </row>
    <row r="147" outlineLevel="1">
      <c r="A147" s="142"/>
      <c r="B147" s="242"/>
      <c r="C147" s="242"/>
      <c r="D147" s="242"/>
      <c r="E147" s="242"/>
      <c r="F147" s="242"/>
      <c r="G147" s="242"/>
      <c r="H147" s="242"/>
      <c r="I147" s="242"/>
      <c r="J147" s="242"/>
      <c r="K147" s="242"/>
      <c r="L147" s="242"/>
      <c r="M147" s="242"/>
      <c r="N147" s="242"/>
      <c r="O147" s="242"/>
      <c r="P147" s="242"/>
      <c r="Q147" s="242"/>
      <c r="R147" s="242"/>
      <c r="S147" s="242"/>
      <c r="T147" s="242"/>
      <c r="U147" s="242"/>
      <c r="V147" s="242"/>
      <c r="W147" s="242"/>
      <c r="X147" s="242"/>
      <c r="Y147" s="242"/>
    </row>
    <row r="148" outlineLevel="1">
      <c r="A148" s="233" t="s">
        <v>334</v>
      </c>
      <c r="B148" s="242"/>
      <c r="C148" s="242"/>
      <c r="D148" s="242"/>
      <c r="E148" s="242"/>
      <c r="F148" s="242"/>
      <c r="G148" s="242"/>
      <c r="H148" s="242"/>
      <c r="I148" s="242"/>
      <c r="J148" s="242"/>
      <c r="K148" s="242"/>
      <c r="L148" s="242"/>
      <c r="M148" s="242"/>
      <c r="N148" s="242"/>
      <c r="O148" s="242"/>
      <c r="P148" s="242"/>
      <c r="Q148" s="242"/>
      <c r="R148" s="242"/>
      <c r="S148" s="242"/>
      <c r="T148" s="242"/>
      <c r="U148" s="242"/>
      <c r="V148" s="242"/>
      <c r="W148" s="242"/>
      <c r="X148" s="242"/>
      <c r="Y148" s="242"/>
    </row>
    <row r="149" outlineLevel="1">
      <c r="A149" s="142" t="s">
        <v>607</v>
      </c>
      <c r="B149" s="127">
        <v>1.0</v>
      </c>
      <c r="C149" s="127">
        <v>1.0</v>
      </c>
      <c r="D149" s="127">
        <v>1.0</v>
      </c>
      <c r="E149" s="127">
        <v>1.0</v>
      </c>
      <c r="F149" s="127">
        <v>1.0</v>
      </c>
      <c r="G149" s="127">
        <v>1.0</v>
      </c>
      <c r="H149" s="127">
        <v>1.0</v>
      </c>
      <c r="I149" s="127">
        <v>1.0</v>
      </c>
      <c r="J149" s="127">
        <v>1.0</v>
      </c>
      <c r="K149" s="127">
        <v>1.0</v>
      </c>
      <c r="L149" s="127">
        <v>1.0</v>
      </c>
      <c r="M149" s="127">
        <v>1.0</v>
      </c>
      <c r="N149" s="127">
        <v>1.0</v>
      </c>
      <c r="O149" s="127">
        <v>1.0</v>
      </c>
      <c r="P149" s="127">
        <v>1.0</v>
      </c>
      <c r="Q149" s="127">
        <v>1.0</v>
      </c>
      <c r="R149" s="127">
        <v>1.0</v>
      </c>
      <c r="S149" s="127">
        <v>1.0</v>
      </c>
      <c r="T149" s="127">
        <v>1.0</v>
      </c>
      <c r="U149" s="127">
        <v>1.0</v>
      </c>
      <c r="V149" s="127">
        <v>1.0</v>
      </c>
      <c r="W149" s="127">
        <v>1.0</v>
      </c>
      <c r="X149" s="127">
        <v>1.0</v>
      </c>
      <c r="Y149" s="127">
        <v>1.0</v>
      </c>
    </row>
    <row r="150" outlineLevel="1">
      <c r="A150" s="142" t="s">
        <v>608</v>
      </c>
      <c r="B150" s="127">
        <v>1.0</v>
      </c>
      <c r="C150" s="127">
        <v>1.0</v>
      </c>
      <c r="D150" s="127">
        <v>1.0</v>
      </c>
      <c r="E150" s="127">
        <v>1.0</v>
      </c>
      <c r="F150" s="127">
        <v>1.0</v>
      </c>
      <c r="G150" s="127">
        <v>1.0</v>
      </c>
      <c r="H150" s="127">
        <v>1.0</v>
      </c>
      <c r="I150" s="127">
        <v>1.0</v>
      </c>
      <c r="J150" s="127">
        <v>1.0</v>
      </c>
      <c r="K150" s="127">
        <v>1.0</v>
      </c>
      <c r="L150" s="127">
        <v>1.0</v>
      </c>
      <c r="M150" s="127">
        <v>1.0</v>
      </c>
      <c r="N150" s="127">
        <v>1.0</v>
      </c>
      <c r="O150" s="127">
        <v>1.0</v>
      </c>
      <c r="P150" s="127">
        <v>1.0</v>
      </c>
      <c r="Q150" s="127">
        <v>1.0</v>
      </c>
      <c r="R150" s="127">
        <v>1.0</v>
      </c>
      <c r="S150" s="127">
        <v>1.0</v>
      </c>
      <c r="T150" s="127">
        <v>1.0</v>
      </c>
      <c r="U150" s="127">
        <v>1.0</v>
      </c>
      <c r="V150" s="127">
        <v>1.0</v>
      </c>
      <c r="W150" s="127">
        <v>1.0</v>
      </c>
      <c r="X150" s="127">
        <v>1.0</v>
      </c>
      <c r="Y150" s="127">
        <v>1.0</v>
      </c>
    </row>
    <row r="151" outlineLevel="1">
      <c r="A151" s="234" t="s">
        <v>609</v>
      </c>
      <c r="B151" s="117">
        <f t="shared" ref="B151:Y151" si="47">sum(B127:B128)/B133</f>
        <v>0.3220015829</v>
      </c>
      <c r="C151" s="117">
        <f t="shared" si="47"/>
        <v>0</v>
      </c>
      <c r="D151" s="117">
        <f t="shared" si="47"/>
        <v>0.2606756041</v>
      </c>
      <c r="E151" s="117">
        <f t="shared" si="47"/>
        <v>0.2606756041</v>
      </c>
      <c r="F151" s="117">
        <f t="shared" si="47"/>
        <v>0.1513362888</v>
      </c>
      <c r="G151" s="117">
        <f t="shared" si="47"/>
        <v>0.2606756041</v>
      </c>
      <c r="H151" s="117">
        <f t="shared" si="47"/>
        <v>0.05074202092</v>
      </c>
      <c r="I151" s="117">
        <f t="shared" si="47"/>
        <v>0.2972787074</v>
      </c>
      <c r="J151" s="117">
        <f t="shared" si="47"/>
        <v>0.4176844401</v>
      </c>
      <c r="K151" s="117">
        <f t="shared" si="47"/>
        <v>0.2606756041</v>
      </c>
      <c r="L151" s="117">
        <f t="shared" si="47"/>
        <v>0.2606756041</v>
      </c>
      <c r="M151" s="117">
        <f t="shared" si="47"/>
        <v>0.2606756041</v>
      </c>
      <c r="N151" s="117">
        <f t="shared" si="47"/>
        <v>0.2606756041</v>
      </c>
      <c r="O151" s="117">
        <f t="shared" si="47"/>
        <v>0.2606756041</v>
      </c>
      <c r="P151" s="117">
        <f t="shared" si="47"/>
        <v>0.2606756041</v>
      </c>
      <c r="Q151" s="117">
        <f t="shared" si="47"/>
        <v>0.2606756041</v>
      </c>
      <c r="R151" s="117">
        <f t="shared" si="47"/>
        <v>0.2606756041</v>
      </c>
      <c r="S151" s="117">
        <f t="shared" si="47"/>
        <v>0.2606756041</v>
      </c>
      <c r="T151" s="117">
        <f t="shared" si="47"/>
        <v>0.2606756041</v>
      </c>
      <c r="U151" s="117">
        <f t="shared" si="47"/>
        <v>0.2606756041</v>
      </c>
      <c r="V151" s="117">
        <f t="shared" si="47"/>
        <v>0.2606756041</v>
      </c>
      <c r="W151" s="117">
        <f t="shared" si="47"/>
        <v>0.2606756041</v>
      </c>
      <c r="X151" s="117">
        <f t="shared" si="47"/>
        <v>0.2606756041</v>
      </c>
      <c r="Y151" s="117">
        <f t="shared" si="47"/>
        <v>0.2606756041</v>
      </c>
    </row>
    <row r="152" outlineLevel="1">
      <c r="A152" s="142" t="s">
        <v>220</v>
      </c>
      <c r="B152" s="127">
        <v>0.0</v>
      </c>
      <c r="C152" s="127">
        <v>0.0</v>
      </c>
      <c r="D152" s="127">
        <v>0.0</v>
      </c>
      <c r="E152" s="127">
        <v>0.0</v>
      </c>
      <c r="F152" s="127">
        <v>0.0</v>
      </c>
      <c r="G152" s="127">
        <v>0.0</v>
      </c>
      <c r="H152" s="127">
        <v>0.0</v>
      </c>
      <c r="I152" s="127">
        <v>0.0</v>
      </c>
      <c r="J152" s="127">
        <v>0.0</v>
      </c>
      <c r="K152" s="127">
        <v>0.0</v>
      </c>
      <c r="L152" s="127">
        <v>0.0</v>
      </c>
      <c r="M152" s="127">
        <v>0.0</v>
      </c>
      <c r="N152" s="127">
        <v>0.0</v>
      </c>
      <c r="O152" s="127">
        <v>0.0</v>
      </c>
      <c r="P152" s="127">
        <v>0.0</v>
      </c>
      <c r="Q152" s="127">
        <v>0.0</v>
      </c>
      <c r="R152" s="127">
        <v>0.0</v>
      </c>
      <c r="S152" s="127">
        <v>0.0</v>
      </c>
      <c r="T152" s="127">
        <v>0.0</v>
      </c>
      <c r="U152" s="127">
        <v>0.0</v>
      </c>
      <c r="V152" s="127">
        <v>0.0</v>
      </c>
      <c r="W152" s="127">
        <v>0.0</v>
      </c>
      <c r="X152" s="127">
        <v>0.0</v>
      </c>
      <c r="Y152" s="127">
        <v>0.0</v>
      </c>
    </row>
    <row r="153" outlineLevel="1">
      <c r="A153" s="142"/>
      <c r="B153" s="242"/>
      <c r="C153" s="242"/>
      <c r="D153" s="242"/>
      <c r="E153" s="242"/>
      <c r="F153" s="242"/>
      <c r="G153" s="242"/>
      <c r="H153" s="242"/>
      <c r="I153" s="242"/>
      <c r="J153" s="242"/>
      <c r="K153" s="242"/>
      <c r="L153" s="242"/>
      <c r="M153" s="242"/>
      <c r="N153" s="242"/>
      <c r="O153" s="242"/>
      <c r="P153" s="242"/>
      <c r="Q153" s="242"/>
      <c r="R153" s="242"/>
      <c r="S153" s="242"/>
      <c r="T153" s="242"/>
      <c r="U153" s="242"/>
      <c r="V153" s="242"/>
      <c r="W153" s="242"/>
      <c r="X153" s="242"/>
      <c r="Y153" s="242"/>
    </row>
    <row r="154" outlineLevel="1">
      <c r="A154" s="233" t="s">
        <v>610</v>
      </c>
      <c r="B154" s="242"/>
      <c r="C154" s="242"/>
      <c r="D154" s="242"/>
      <c r="E154" s="242"/>
      <c r="F154" s="242"/>
      <c r="G154" s="242"/>
      <c r="H154" s="242"/>
      <c r="I154" s="242"/>
      <c r="J154" s="242"/>
      <c r="K154" s="242"/>
      <c r="L154" s="242"/>
      <c r="M154" s="242"/>
      <c r="N154" s="242"/>
      <c r="O154" s="242"/>
      <c r="P154" s="242"/>
      <c r="Q154" s="242"/>
      <c r="R154" s="242"/>
      <c r="S154" s="242"/>
      <c r="T154" s="242"/>
      <c r="U154" s="242"/>
      <c r="V154" s="242"/>
      <c r="W154" s="242"/>
      <c r="X154" s="242"/>
      <c r="Y154" s="242"/>
    </row>
    <row r="155" outlineLevel="1">
      <c r="A155" s="142" t="s">
        <v>607</v>
      </c>
      <c r="B155" s="242"/>
      <c r="C155" s="242"/>
      <c r="D155" s="242"/>
      <c r="E155" s="242"/>
      <c r="F155" s="242"/>
      <c r="G155" s="242"/>
      <c r="H155" s="242"/>
      <c r="I155" s="242"/>
      <c r="J155" s="242"/>
      <c r="K155" s="242"/>
      <c r="L155" s="242"/>
      <c r="M155" s="242"/>
      <c r="N155" s="242"/>
      <c r="O155" s="242"/>
      <c r="P155" s="242"/>
      <c r="Q155" s="242"/>
      <c r="R155" s="242"/>
      <c r="S155" s="242"/>
      <c r="T155" s="242"/>
      <c r="U155" s="242"/>
      <c r="V155" s="242"/>
      <c r="W155" s="242"/>
      <c r="X155" s="242"/>
      <c r="Y155" s="242"/>
    </row>
    <row r="156" outlineLevel="1">
      <c r="A156" s="142" t="s">
        <v>611</v>
      </c>
      <c r="B156" s="370">
        <v>0.0</v>
      </c>
      <c r="C156" s="370">
        <v>0.0</v>
      </c>
      <c r="D156" s="370">
        <v>0.0</v>
      </c>
      <c r="E156" s="370">
        <v>0.0</v>
      </c>
      <c r="F156" s="370">
        <v>0.0</v>
      </c>
      <c r="G156" s="370">
        <v>0.0</v>
      </c>
      <c r="H156" s="370">
        <v>0.0</v>
      </c>
      <c r="I156" s="370">
        <v>0.0</v>
      </c>
      <c r="J156" s="370">
        <v>0.0</v>
      </c>
      <c r="K156" s="370">
        <v>0.0</v>
      </c>
      <c r="L156" s="370">
        <v>0.0</v>
      </c>
      <c r="M156" s="370">
        <v>0.0</v>
      </c>
      <c r="N156" s="370">
        <v>0.0</v>
      </c>
      <c r="O156" s="370">
        <v>0.0</v>
      </c>
      <c r="P156" s="370">
        <v>0.0</v>
      </c>
      <c r="Q156" s="370">
        <v>0.0</v>
      </c>
      <c r="R156" s="370">
        <v>0.0</v>
      </c>
      <c r="S156" s="370">
        <v>0.0</v>
      </c>
      <c r="T156" s="370">
        <v>0.0</v>
      </c>
      <c r="U156" s="370">
        <v>0.0</v>
      </c>
      <c r="V156" s="370">
        <v>0.0</v>
      </c>
      <c r="W156" s="370">
        <v>0.0</v>
      </c>
      <c r="X156" s="370">
        <v>0.0</v>
      </c>
      <c r="Y156" s="370">
        <v>0.0</v>
      </c>
    </row>
    <row r="157" outlineLevel="1">
      <c r="A157" s="142" t="s">
        <v>440</v>
      </c>
      <c r="B157" s="370">
        <v>0.0</v>
      </c>
      <c r="C157" s="370">
        <v>0.0</v>
      </c>
      <c r="D157" s="370">
        <v>0.0</v>
      </c>
      <c r="E157" s="370">
        <v>0.0</v>
      </c>
      <c r="F157" s="370">
        <v>0.0</v>
      </c>
      <c r="G157" s="370">
        <v>0.0</v>
      </c>
      <c r="H157" s="370">
        <v>0.0</v>
      </c>
      <c r="I157" s="370">
        <v>0.0</v>
      </c>
      <c r="J157" s="370">
        <v>0.0</v>
      </c>
      <c r="K157" s="370">
        <v>0.0</v>
      </c>
      <c r="L157" s="370">
        <v>0.0</v>
      </c>
      <c r="M157" s="370">
        <v>0.0</v>
      </c>
      <c r="N157" s="370">
        <v>0.0</v>
      </c>
      <c r="O157" s="370">
        <v>0.0</v>
      </c>
      <c r="P157" s="370">
        <v>0.0</v>
      </c>
      <c r="Q157" s="370">
        <v>0.0</v>
      </c>
      <c r="R157" s="370">
        <v>0.0</v>
      </c>
      <c r="S157" s="370">
        <v>0.0</v>
      </c>
      <c r="T157" s="370">
        <v>0.0</v>
      </c>
      <c r="U157" s="370">
        <v>0.0</v>
      </c>
      <c r="V157" s="370">
        <v>0.0</v>
      </c>
      <c r="W157" s="370">
        <v>0.0</v>
      </c>
      <c r="X157" s="370">
        <v>0.0</v>
      </c>
      <c r="Y157" s="370">
        <v>0.0</v>
      </c>
    </row>
    <row r="158" outlineLevel="1">
      <c r="A158" s="142" t="s">
        <v>336</v>
      </c>
      <c r="B158" s="101">
        <f t="shared" ref="B158:Y158" si="48">B125</f>
        <v>100000</v>
      </c>
      <c r="C158" s="101">
        <f t="shared" si="48"/>
        <v>100000</v>
      </c>
      <c r="D158" s="101">
        <f t="shared" si="48"/>
        <v>100000</v>
      </c>
      <c r="E158" s="101">
        <f t="shared" si="48"/>
        <v>100000</v>
      </c>
      <c r="F158" s="101">
        <f t="shared" si="48"/>
        <v>100000</v>
      </c>
      <c r="G158" s="101">
        <f t="shared" si="48"/>
        <v>100000</v>
      </c>
      <c r="H158" s="101">
        <f t="shared" si="48"/>
        <v>100000</v>
      </c>
      <c r="I158" s="101">
        <f t="shared" si="48"/>
        <v>100000</v>
      </c>
      <c r="J158" s="101">
        <f t="shared" si="48"/>
        <v>100000</v>
      </c>
      <c r="K158" s="101">
        <f t="shared" si="48"/>
        <v>100000</v>
      </c>
      <c r="L158" s="101">
        <f t="shared" si="48"/>
        <v>100000</v>
      </c>
      <c r="M158" s="101">
        <f t="shared" si="48"/>
        <v>100000</v>
      </c>
      <c r="N158" s="101">
        <f t="shared" si="48"/>
        <v>100000</v>
      </c>
      <c r="O158" s="101">
        <f t="shared" si="48"/>
        <v>100000</v>
      </c>
      <c r="P158" s="101">
        <f t="shared" si="48"/>
        <v>100000</v>
      </c>
      <c r="Q158" s="101">
        <f t="shared" si="48"/>
        <v>100000</v>
      </c>
      <c r="R158" s="101">
        <f t="shared" si="48"/>
        <v>100000</v>
      </c>
      <c r="S158" s="101">
        <f t="shared" si="48"/>
        <v>100000</v>
      </c>
      <c r="T158" s="101">
        <f t="shared" si="48"/>
        <v>100000</v>
      </c>
      <c r="U158" s="101">
        <f t="shared" si="48"/>
        <v>100000</v>
      </c>
      <c r="V158" s="101">
        <f t="shared" si="48"/>
        <v>100000</v>
      </c>
      <c r="W158" s="101">
        <f t="shared" si="48"/>
        <v>100000</v>
      </c>
      <c r="X158" s="101">
        <f t="shared" si="48"/>
        <v>100000</v>
      </c>
      <c r="Y158" s="101">
        <f t="shared" si="48"/>
        <v>100000</v>
      </c>
    </row>
    <row r="159" outlineLevel="1">
      <c r="A159" s="142" t="s">
        <v>337</v>
      </c>
      <c r="B159" s="370">
        <v>0.0</v>
      </c>
      <c r="C159" s="370">
        <v>0.0</v>
      </c>
      <c r="D159" s="370">
        <v>0.0</v>
      </c>
      <c r="E159" s="370">
        <v>0.0</v>
      </c>
      <c r="F159" s="370">
        <v>0.0</v>
      </c>
      <c r="G159" s="370">
        <v>0.0</v>
      </c>
      <c r="H159" s="370">
        <v>0.0</v>
      </c>
      <c r="I159" s="370">
        <v>0.0</v>
      </c>
      <c r="J159" s="370">
        <v>0.0</v>
      </c>
      <c r="K159" s="370">
        <v>0.0</v>
      </c>
      <c r="L159" s="370">
        <v>0.0</v>
      </c>
      <c r="M159" s="370">
        <v>0.0</v>
      </c>
      <c r="N159" s="370">
        <v>0.0</v>
      </c>
      <c r="O159" s="370">
        <v>0.0</v>
      </c>
      <c r="P159" s="370">
        <v>0.0</v>
      </c>
      <c r="Q159" s="370">
        <v>0.0</v>
      </c>
      <c r="R159" s="370">
        <v>0.0</v>
      </c>
      <c r="S159" s="370">
        <v>0.0</v>
      </c>
      <c r="T159" s="370">
        <v>0.0</v>
      </c>
      <c r="U159" s="370">
        <v>0.0</v>
      </c>
      <c r="V159" s="370">
        <v>0.0</v>
      </c>
      <c r="W159" s="370">
        <v>0.0</v>
      </c>
      <c r="X159" s="370">
        <v>0.0</v>
      </c>
      <c r="Y159" s="370">
        <v>0.0</v>
      </c>
    </row>
    <row r="160" outlineLevel="1">
      <c r="A160" s="142"/>
      <c r="B160" s="242"/>
      <c r="C160" s="242"/>
      <c r="D160" s="242"/>
      <c r="E160" s="242"/>
      <c r="F160" s="242"/>
      <c r="G160" s="242"/>
      <c r="H160" s="242"/>
      <c r="I160" s="242"/>
      <c r="J160" s="242"/>
      <c r="K160" s="242"/>
      <c r="L160" s="242"/>
      <c r="M160" s="242"/>
      <c r="N160" s="242"/>
      <c r="O160" s="242"/>
      <c r="P160" s="242"/>
      <c r="Q160" s="242"/>
      <c r="R160" s="242"/>
      <c r="S160" s="242"/>
      <c r="T160" s="242"/>
      <c r="U160" s="242"/>
      <c r="V160" s="242"/>
      <c r="W160" s="242"/>
      <c r="X160" s="242"/>
      <c r="Y160" s="242"/>
    </row>
    <row r="161" outlineLevel="1">
      <c r="A161" s="142" t="s">
        <v>608</v>
      </c>
      <c r="B161" s="242"/>
      <c r="C161" s="242"/>
      <c r="D161" s="242"/>
      <c r="E161" s="242"/>
      <c r="F161" s="242"/>
      <c r="G161" s="242"/>
      <c r="H161" s="242"/>
      <c r="I161" s="242"/>
      <c r="J161" s="242"/>
      <c r="K161" s="242"/>
      <c r="L161" s="242"/>
      <c r="M161" s="242"/>
      <c r="N161" s="242"/>
      <c r="O161" s="242"/>
      <c r="P161" s="242"/>
      <c r="Q161" s="242"/>
      <c r="R161" s="242"/>
      <c r="S161" s="242"/>
      <c r="T161" s="242"/>
      <c r="U161" s="242"/>
      <c r="V161" s="242"/>
      <c r="W161" s="242"/>
      <c r="X161" s="242"/>
      <c r="Y161" s="242"/>
    </row>
    <row r="162" outlineLevel="1">
      <c r="A162" s="142" t="s">
        <v>611</v>
      </c>
      <c r="B162" s="370">
        <v>0.0</v>
      </c>
      <c r="C162" s="370">
        <v>0.0</v>
      </c>
      <c r="D162" s="370">
        <v>0.0</v>
      </c>
      <c r="E162" s="370">
        <v>0.0</v>
      </c>
      <c r="F162" s="370">
        <v>0.0</v>
      </c>
      <c r="G162" s="370">
        <v>0.0</v>
      </c>
      <c r="H162" s="370">
        <v>0.0</v>
      </c>
      <c r="I162" s="370">
        <v>0.0</v>
      </c>
      <c r="J162" s="370">
        <v>0.0</v>
      </c>
      <c r="K162" s="370">
        <v>0.0</v>
      </c>
      <c r="L162" s="370">
        <v>0.0</v>
      </c>
      <c r="M162" s="370">
        <v>0.0</v>
      </c>
      <c r="N162" s="370">
        <v>0.0</v>
      </c>
      <c r="O162" s="370">
        <v>0.0</v>
      </c>
      <c r="P162" s="370">
        <v>0.0</v>
      </c>
      <c r="Q162" s="370">
        <v>0.0</v>
      </c>
      <c r="R162" s="370">
        <v>0.0</v>
      </c>
      <c r="S162" s="370">
        <v>0.0</v>
      </c>
      <c r="T162" s="370">
        <v>0.0</v>
      </c>
      <c r="U162" s="370">
        <v>0.0</v>
      </c>
      <c r="V162" s="370">
        <v>0.0</v>
      </c>
      <c r="W162" s="370">
        <v>0.0</v>
      </c>
      <c r="X162" s="370">
        <v>0.0</v>
      </c>
      <c r="Y162" s="370">
        <v>0.0</v>
      </c>
    </row>
    <row r="163" outlineLevel="1">
      <c r="A163" s="142" t="s">
        <v>440</v>
      </c>
      <c r="B163" s="101">
        <f t="shared" ref="B163:Y163" si="49">B125</f>
        <v>100000</v>
      </c>
      <c r="C163" s="101">
        <f t="shared" si="49"/>
        <v>100000</v>
      </c>
      <c r="D163" s="101">
        <f t="shared" si="49"/>
        <v>100000</v>
      </c>
      <c r="E163" s="101">
        <f t="shared" si="49"/>
        <v>100000</v>
      </c>
      <c r="F163" s="101">
        <f t="shared" si="49"/>
        <v>100000</v>
      </c>
      <c r="G163" s="101">
        <f t="shared" si="49"/>
        <v>100000</v>
      </c>
      <c r="H163" s="101">
        <f t="shared" si="49"/>
        <v>100000</v>
      </c>
      <c r="I163" s="101">
        <f t="shared" si="49"/>
        <v>100000</v>
      </c>
      <c r="J163" s="101">
        <f t="shared" si="49"/>
        <v>100000</v>
      </c>
      <c r="K163" s="101">
        <f t="shared" si="49"/>
        <v>100000</v>
      </c>
      <c r="L163" s="101">
        <f t="shared" si="49"/>
        <v>100000</v>
      </c>
      <c r="M163" s="101">
        <f t="shared" si="49"/>
        <v>100000</v>
      </c>
      <c r="N163" s="101">
        <f t="shared" si="49"/>
        <v>100000</v>
      </c>
      <c r="O163" s="101">
        <f t="shared" si="49"/>
        <v>100000</v>
      </c>
      <c r="P163" s="101">
        <f t="shared" si="49"/>
        <v>100000</v>
      </c>
      <c r="Q163" s="101">
        <f t="shared" si="49"/>
        <v>100000</v>
      </c>
      <c r="R163" s="101">
        <f t="shared" si="49"/>
        <v>100000</v>
      </c>
      <c r="S163" s="101">
        <f t="shared" si="49"/>
        <v>100000</v>
      </c>
      <c r="T163" s="101">
        <f t="shared" si="49"/>
        <v>100000</v>
      </c>
      <c r="U163" s="101">
        <f t="shared" si="49"/>
        <v>100000</v>
      </c>
      <c r="V163" s="101">
        <f t="shared" si="49"/>
        <v>100000</v>
      </c>
      <c r="W163" s="101">
        <f t="shared" si="49"/>
        <v>100000</v>
      </c>
      <c r="X163" s="101">
        <f t="shared" si="49"/>
        <v>100000</v>
      </c>
      <c r="Y163" s="101">
        <f t="shared" si="49"/>
        <v>100000</v>
      </c>
    </row>
    <row r="164" outlineLevel="1">
      <c r="A164" s="142" t="s">
        <v>336</v>
      </c>
      <c r="B164" s="370">
        <v>0.0</v>
      </c>
      <c r="C164" s="370">
        <v>0.0</v>
      </c>
      <c r="D164" s="370">
        <v>0.0</v>
      </c>
      <c r="E164" s="370">
        <v>0.0</v>
      </c>
      <c r="F164" s="370">
        <v>0.0</v>
      </c>
      <c r="G164" s="370">
        <v>0.0</v>
      </c>
      <c r="H164" s="370">
        <v>0.0</v>
      </c>
      <c r="I164" s="370">
        <v>0.0</v>
      </c>
      <c r="J164" s="370">
        <v>0.0</v>
      </c>
      <c r="K164" s="370">
        <v>0.0</v>
      </c>
      <c r="L164" s="370">
        <v>0.0</v>
      </c>
      <c r="M164" s="370">
        <v>0.0</v>
      </c>
      <c r="N164" s="370">
        <v>0.0</v>
      </c>
      <c r="O164" s="370">
        <v>0.0</v>
      </c>
      <c r="P164" s="370">
        <v>0.0</v>
      </c>
      <c r="Q164" s="370">
        <v>0.0</v>
      </c>
      <c r="R164" s="370">
        <v>0.0</v>
      </c>
      <c r="S164" s="370">
        <v>0.0</v>
      </c>
      <c r="T164" s="370">
        <v>0.0</v>
      </c>
      <c r="U164" s="370">
        <v>0.0</v>
      </c>
      <c r="V164" s="370">
        <v>0.0</v>
      </c>
      <c r="W164" s="370">
        <v>0.0</v>
      </c>
      <c r="X164" s="370">
        <v>0.0</v>
      </c>
      <c r="Y164" s="370">
        <v>0.0</v>
      </c>
    </row>
    <row r="165" outlineLevel="1">
      <c r="A165" s="142" t="s">
        <v>337</v>
      </c>
      <c r="B165" s="370">
        <v>0.0</v>
      </c>
      <c r="C165" s="370">
        <v>0.0</v>
      </c>
      <c r="D165" s="370">
        <v>0.0</v>
      </c>
      <c r="E165" s="370">
        <v>0.0</v>
      </c>
      <c r="F165" s="370">
        <v>0.0</v>
      </c>
      <c r="G165" s="370">
        <v>0.0</v>
      </c>
      <c r="H165" s="370">
        <v>0.0</v>
      </c>
      <c r="I165" s="370">
        <v>0.0</v>
      </c>
      <c r="J165" s="370">
        <v>0.0</v>
      </c>
      <c r="K165" s="370">
        <v>0.0</v>
      </c>
      <c r="L165" s="370">
        <v>0.0</v>
      </c>
      <c r="M165" s="370">
        <v>0.0</v>
      </c>
      <c r="N165" s="370">
        <v>0.0</v>
      </c>
      <c r="O165" s="370">
        <v>0.0</v>
      </c>
      <c r="P165" s="370">
        <v>0.0</v>
      </c>
      <c r="Q165" s="370">
        <v>0.0</v>
      </c>
      <c r="R165" s="370">
        <v>0.0</v>
      </c>
      <c r="S165" s="370">
        <v>0.0</v>
      </c>
      <c r="T165" s="370">
        <v>0.0</v>
      </c>
      <c r="U165" s="370">
        <v>0.0</v>
      </c>
      <c r="V165" s="370">
        <v>0.0</v>
      </c>
      <c r="W165" s="370">
        <v>0.0</v>
      </c>
      <c r="X165" s="370">
        <v>0.0</v>
      </c>
      <c r="Y165" s="370">
        <v>0.0</v>
      </c>
    </row>
    <row r="166" outlineLevel="1">
      <c r="A166" s="142"/>
      <c r="B166" s="242"/>
      <c r="C166" s="242"/>
      <c r="D166" s="242"/>
      <c r="E166" s="242"/>
      <c r="F166" s="242"/>
      <c r="G166" s="242"/>
      <c r="H166" s="242"/>
      <c r="I166" s="242"/>
      <c r="J166" s="242"/>
      <c r="K166" s="242"/>
      <c r="L166" s="242"/>
      <c r="M166" s="242"/>
      <c r="N166" s="242"/>
      <c r="O166" s="242"/>
      <c r="P166" s="242"/>
      <c r="Q166" s="242"/>
      <c r="R166" s="242"/>
      <c r="S166" s="242"/>
      <c r="T166" s="242"/>
      <c r="U166" s="242"/>
      <c r="V166" s="242"/>
      <c r="W166" s="242"/>
      <c r="X166" s="242"/>
      <c r="Y166" s="242"/>
    </row>
    <row r="167" outlineLevel="1">
      <c r="A167" s="234" t="s">
        <v>609</v>
      </c>
      <c r="B167" s="242"/>
      <c r="C167" s="242"/>
      <c r="D167" s="242"/>
      <c r="E167" s="242"/>
      <c r="F167" s="242"/>
      <c r="G167" s="242"/>
      <c r="H167" s="242"/>
      <c r="I167" s="242"/>
      <c r="J167" s="242"/>
      <c r="K167" s="242"/>
      <c r="L167" s="242"/>
      <c r="M167" s="242"/>
      <c r="N167" s="242"/>
      <c r="O167" s="242"/>
      <c r="P167" s="242"/>
      <c r="Q167" s="242"/>
      <c r="R167" s="242"/>
      <c r="S167" s="242"/>
      <c r="T167" s="242"/>
      <c r="U167" s="242"/>
      <c r="V167" s="242"/>
      <c r="W167" s="242"/>
      <c r="X167" s="242"/>
      <c r="Y167" s="242"/>
    </row>
    <row r="168" outlineLevel="1">
      <c r="A168" s="142" t="s">
        <v>611</v>
      </c>
      <c r="B168" s="248">
        <f t="shared" ref="B168:Y168" si="50">-B126*(1-B151)</f>
        <v>-10099.45441</v>
      </c>
      <c r="C168" s="248">
        <f t="shared" si="50"/>
        <v>-9316.874168</v>
      </c>
      <c r="D168" s="248">
        <f t="shared" si="50"/>
        <v>-11059.60061</v>
      </c>
      <c r="E168" s="248">
        <f t="shared" si="50"/>
        <v>-11059.60061</v>
      </c>
      <c r="F168" s="248">
        <f t="shared" si="50"/>
        <v>-7471.165103</v>
      </c>
      <c r="G168" s="248">
        <f t="shared" si="50"/>
        <v>-11059.60061</v>
      </c>
      <c r="H168" s="248">
        <f t="shared" si="50"/>
        <v>-11059.60061</v>
      </c>
      <c r="I168" s="248">
        <f t="shared" si="50"/>
        <v>-13743.99574</v>
      </c>
      <c r="J168" s="248">
        <f t="shared" si="50"/>
        <v>-12699.82285</v>
      </c>
      <c r="K168" s="248">
        <f t="shared" si="50"/>
        <v>-11059.60061</v>
      </c>
      <c r="L168" s="248">
        <f t="shared" si="50"/>
        <v>-11059.60061</v>
      </c>
      <c r="M168" s="248">
        <f t="shared" si="50"/>
        <v>-11059.60061</v>
      </c>
      <c r="N168" s="248">
        <f t="shared" si="50"/>
        <v>-11059.60061</v>
      </c>
      <c r="O168" s="248">
        <f t="shared" si="50"/>
        <v>-11059.60061</v>
      </c>
      <c r="P168" s="248">
        <f t="shared" si="50"/>
        <v>-11059.60061</v>
      </c>
      <c r="Q168" s="248">
        <f t="shared" si="50"/>
        <v>-11059.60061</v>
      </c>
      <c r="R168" s="248">
        <f t="shared" si="50"/>
        <v>-11059.60061</v>
      </c>
      <c r="S168" s="248">
        <f t="shared" si="50"/>
        <v>-11059.60061</v>
      </c>
      <c r="T168" s="248">
        <f t="shared" si="50"/>
        <v>-11059.60061</v>
      </c>
      <c r="U168" s="248">
        <f t="shared" si="50"/>
        <v>-11059.60061</v>
      </c>
      <c r="V168" s="248">
        <f t="shared" si="50"/>
        <v>-11059.60061</v>
      </c>
      <c r="W168" s="248">
        <f t="shared" si="50"/>
        <v>-11059.60061</v>
      </c>
      <c r="X168" s="248">
        <f t="shared" si="50"/>
        <v>-11059.60061</v>
      </c>
      <c r="Y168" s="248">
        <f t="shared" si="50"/>
        <v>-11059.60061</v>
      </c>
    </row>
    <row r="169" outlineLevel="1">
      <c r="A169" s="142" t="s">
        <v>440</v>
      </c>
      <c r="B169" s="370">
        <v>0.0</v>
      </c>
      <c r="C169" s="370">
        <v>0.0</v>
      </c>
      <c r="D169" s="370">
        <v>0.0</v>
      </c>
      <c r="E169" s="370">
        <v>0.0</v>
      </c>
      <c r="F169" s="370">
        <v>0.0</v>
      </c>
      <c r="G169" s="370">
        <v>0.0</v>
      </c>
      <c r="H169" s="370">
        <v>0.0</v>
      </c>
      <c r="I169" s="370">
        <v>0.0</v>
      </c>
      <c r="J169" s="370">
        <v>0.0</v>
      </c>
      <c r="K169" s="370">
        <v>0.0</v>
      </c>
      <c r="L169" s="370">
        <v>0.0</v>
      </c>
      <c r="M169" s="370">
        <v>0.0</v>
      </c>
      <c r="N169" s="370">
        <v>0.0</v>
      </c>
      <c r="O169" s="370">
        <v>0.0</v>
      </c>
      <c r="P169" s="370">
        <v>0.0</v>
      </c>
      <c r="Q169" s="370">
        <v>0.0</v>
      </c>
      <c r="R169" s="370">
        <v>0.0</v>
      </c>
      <c r="S169" s="370">
        <v>0.0</v>
      </c>
      <c r="T169" s="370">
        <v>0.0</v>
      </c>
      <c r="U169" s="370">
        <v>0.0</v>
      </c>
      <c r="V169" s="370">
        <v>0.0</v>
      </c>
      <c r="W169" s="370">
        <v>0.0</v>
      </c>
      <c r="X169" s="370">
        <v>0.0</v>
      </c>
      <c r="Y169" s="370">
        <v>0.0</v>
      </c>
    </row>
    <row r="170" outlineLevel="1">
      <c r="A170" s="142" t="s">
        <v>336</v>
      </c>
      <c r="B170" s="370">
        <v>0.0</v>
      </c>
      <c r="C170" s="370">
        <v>0.0</v>
      </c>
      <c r="D170" s="370">
        <v>0.0</v>
      </c>
      <c r="E170" s="370">
        <v>0.0</v>
      </c>
      <c r="F170" s="370">
        <v>0.0</v>
      </c>
      <c r="G170" s="370">
        <v>0.0</v>
      </c>
      <c r="H170" s="370">
        <v>0.0</v>
      </c>
      <c r="I170" s="370">
        <v>0.0</v>
      </c>
      <c r="J170" s="370">
        <v>0.0</v>
      </c>
      <c r="K170" s="370">
        <v>0.0</v>
      </c>
      <c r="L170" s="370">
        <v>0.0</v>
      </c>
      <c r="M170" s="370">
        <v>0.0</v>
      </c>
      <c r="N170" s="370">
        <v>0.0</v>
      </c>
      <c r="O170" s="370">
        <v>0.0</v>
      </c>
      <c r="P170" s="370">
        <v>0.0</v>
      </c>
      <c r="Q170" s="370">
        <v>0.0</v>
      </c>
      <c r="R170" s="370">
        <v>0.0</v>
      </c>
      <c r="S170" s="370">
        <v>0.0</v>
      </c>
      <c r="T170" s="370">
        <v>0.0</v>
      </c>
      <c r="U170" s="370">
        <v>0.0</v>
      </c>
      <c r="V170" s="370">
        <v>0.0</v>
      </c>
      <c r="W170" s="370">
        <v>0.0</v>
      </c>
      <c r="X170" s="370">
        <v>0.0</v>
      </c>
      <c r="Y170" s="370">
        <v>0.0</v>
      </c>
    </row>
    <row r="171" outlineLevel="1">
      <c r="A171" s="142" t="s">
        <v>337</v>
      </c>
      <c r="B171" s="248">
        <f t="shared" ref="B171:Y171" si="51">-B129*(1-B151)</f>
        <v>-47185.48046</v>
      </c>
      <c r="C171" s="248">
        <f t="shared" si="51"/>
        <v>-46850.08893</v>
      </c>
      <c r="D171" s="248">
        <f t="shared" si="51"/>
        <v>-47596.97169</v>
      </c>
      <c r="E171" s="248">
        <f t="shared" si="51"/>
        <v>-47596.97169</v>
      </c>
      <c r="F171" s="248">
        <f t="shared" si="51"/>
        <v>-46059.07076</v>
      </c>
      <c r="G171" s="248">
        <f t="shared" si="51"/>
        <v>-47596.97169</v>
      </c>
      <c r="H171" s="248">
        <f t="shared" si="51"/>
        <v>-47596.97169</v>
      </c>
      <c r="I171" s="248">
        <f t="shared" si="51"/>
        <v>-48747.42675</v>
      </c>
      <c r="J171" s="248">
        <f t="shared" si="51"/>
        <v>-48299.93098</v>
      </c>
      <c r="K171" s="248">
        <f t="shared" si="51"/>
        <v>-47596.97169</v>
      </c>
      <c r="L171" s="248">
        <f t="shared" si="51"/>
        <v>-47596.97169</v>
      </c>
      <c r="M171" s="248">
        <f t="shared" si="51"/>
        <v>-47596.97169</v>
      </c>
      <c r="N171" s="248">
        <f t="shared" si="51"/>
        <v>-47596.97169</v>
      </c>
      <c r="O171" s="248">
        <f t="shared" si="51"/>
        <v>-47596.97169</v>
      </c>
      <c r="P171" s="248">
        <f t="shared" si="51"/>
        <v>-47596.97169</v>
      </c>
      <c r="Q171" s="248">
        <f t="shared" si="51"/>
        <v>-47596.97169</v>
      </c>
      <c r="R171" s="248">
        <f t="shared" si="51"/>
        <v>-47596.97169</v>
      </c>
      <c r="S171" s="248">
        <f t="shared" si="51"/>
        <v>-47596.97169</v>
      </c>
      <c r="T171" s="248">
        <f t="shared" si="51"/>
        <v>-47596.97169</v>
      </c>
      <c r="U171" s="248">
        <f t="shared" si="51"/>
        <v>-47596.97169</v>
      </c>
      <c r="V171" s="248">
        <f t="shared" si="51"/>
        <v>-47596.97169</v>
      </c>
      <c r="W171" s="248">
        <f t="shared" si="51"/>
        <v>-47596.97169</v>
      </c>
      <c r="X171" s="248">
        <f t="shared" si="51"/>
        <v>-47596.97169</v>
      </c>
      <c r="Y171" s="248">
        <f t="shared" si="51"/>
        <v>-47596.97169</v>
      </c>
    </row>
    <row r="172" outlineLevel="1">
      <c r="A172" s="142"/>
      <c r="B172" s="242"/>
      <c r="C172" s="242"/>
      <c r="D172" s="242"/>
      <c r="E172" s="242"/>
      <c r="F172" s="242"/>
      <c r="G172" s="242"/>
      <c r="H172" s="242"/>
      <c r="I172" s="242"/>
      <c r="J172" s="242"/>
      <c r="K172" s="242"/>
      <c r="L172" s="242"/>
      <c r="M172" s="242"/>
      <c r="N172" s="242"/>
      <c r="O172" s="242"/>
      <c r="P172" s="242"/>
      <c r="Q172" s="242"/>
      <c r="R172" s="242"/>
      <c r="S172" s="242"/>
      <c r="T172" s="242"/>
      <c r="U172" s="242"/>
      <c r="V172" s="242"/>
      <c r="W172" s="242"/>
      <c r="X172" s="242"/>
      <c r="Y172" s="242"/>
    </row>
    <row r="173" outlineLevel="1">
      <c r="A173" s="142" t="s">
        <v>220</v>
      </c>
      <c r="B173" s="242"/>
      <c r="C173" s="95"/>
      <c r="D173" s="242"/>
      <c r="E173" s="242"/>
      <c r="F173" s="242"/>
      <c r="G173" s="242"/>
      <c r="H173" s="242"/>
      <c r="I173" s="242"/>
      <c r="J173" s="242"/>
      <c r="K173" s="242"/>
      <c r="L173" s="242"/>
      <c r="M173" s="242"/>
      <c r="N173" s="242"/>
      <c r="O173" s="242"/>
      <c r="P173" s="242"/>
      <c r="Q173" s="242"/>
      <c r="R173" s="242"/>
      <c r="S173" s="242"/>
      <c r="T173" s="242"/>
      <c r="U173" s="242"/>
      <c r="V173" s="242"/>
      <c r="W173" s="242"/>
      <c r="X173" s="242"/>
      <c r="Y173" s="242"/>
    </row>
    <row r="174" outlineLevel="1">
      <c r="A174" s="142" t="s">
        <v>611</v>
      </c>
      <c r="B174" s="248">
        <f t="shared" ref="B174:Y174" si="52">-B126</f>
        <v>-14895.98523</v>
      </c>
      <c r="C174" s="248">
        <f t="shared" si="52"/>
        <v>-9316.874168</v>
      </c>
      <c r="D174" s="248">
        <f t="shared" si="52"/>
        <v>-14959.06353</v>
      </c>
      <c r="E174" s="248">
        <f t="shared" si="52"/>
        <v>-14959.06353</v>
      </c>
      <c r="F174" s="248">
        <f t="shared" si="52"/>
        <v>-8803.44594</v>
      </c>
      <c r="G174" s="248">
        <f t="shared" si="52"/>
        <v>-14959.06353</v>
      </c>
      <c r="H174" s="248">
        <f t="shared" si="52"/>
        <v>-11650.78499</v>
      </c>
      <c r="I174" s="248">
        <f t="shared" si="52"/>
        <v>-19558.24576</v>
      </c>
      <c r="J174" s="248">
        <f t="shared" si="52"/>
        <v>-21809.17655</v>
      </c>
      <c r="K174" s="248">
        <f t="shared" si="52"/>
        <v>-14959.06353</v>
      </c>
      <c r="L174" s="248">
        <f t="shared" si="52"/>
        <v>-14959.06353</v>
      </c>
      <c r="M174" s="248">
        <f t="shared" si="52"/>
        <v>-14959.06353</v>
      </c>
      <c r="N174" s="248">
        <f t="shared" si="52"/>
        <v>-14959.06353</v>
      </c>
      <c r="O174" s="248">
        <f t="shared" si="52"/>
        <v>-14959.06353</v>
      </c>
      <c r="P174" s="248">
        <f t="shared" si="52"/>
        <v>-14959.06353</v>
      </c>
      <c r="Q174" s="248">
        <f t="shared" si="52"/>
        <v>-14959.06353</v>
      </c>
      <c r="R174" s="248">
        <f t="shared" si="52"/>
        <v>-14959.06353</v>
      </c>
      <c r="S174" s="248">
        <f t="shared" si="52"/>
        <v>-14959.06353</v>
      </c>
      <c r="T174" s="248">
        <f t="shared" si="52"/>
        <v>-14959.06353</v>
      </c>
      <c r="U174" s="248">
        <f t="shared" si="52"/>
        <v>-14959.06353</v>
      </c>
      <c r="V174" s="248">
        <f t="shared" si="52"/>
        <v>-14959.06353</v>
      </c>
      <c r="W174" s="248">
        <f t="shared" si="52"/>
        <v>-14959.06353</v>
      </c>
      <c r="X174" s="248">
        <f t="shared" si="52"/>
        <v>-14959.06353</v>
      </c>
      <c r="Y174" s="248">
        <f t="shared" si="52"/>
        <v>-14959.06353</v>
      </c>
    </row>
    <row r="175" outlineLevel="1">
      <c r="A175" s="142" t="s">
        <v>440</v>
      </c>
      <c r="B175" s="248">
        <f t="shared" ref="B175:Y175" si="53">-B127</f>
        <v>-13116.17909</v>
      </c>
      <c r="C175" s="248">
        <f t="shared" si="53"/>
        <v>0</v>
      </c>
      <c r="D175" s="248">
        <f t="shared" si="53"/>
        <v>-28395.32746</v>
      </c>
      <c r="E175" s="248">
        <f t="shared" si="53"/>
        <v>-28395.32746</v>
      </c>
      <c r="F175" s="248">
        <f t="shared" si="53"/>
        <v>-17832.30351</v>
      </c>
      <c r="G175" s="248">
        <f t="shared" si="53"/>
        <v>-28395.32746</v>
      </c>
      <c r="H175" s="248">
        <f t="shared" si="53"/>
        <v>0</v>
      </c>
      <c r="I175" s="248">
        <f t="shared" si="53"/>
        <v>-42303.92768</v>
      </c>
      <c r="J175" s="248">
        <f t="shared" si="53"/>
        <v>-71728.19497</v>
      </c>
      <c r="K175" s="248">
        <f t="shared" si="53"/>
        <v>-28395.32746</v>
      </c>
      <c r="L175" s="248">
        <f t="shared" si="53"/>
        <v>-28395.32746</v>
      </c>
      <c r="M175" s="248">
        <f t="shared" si="53"/>
        <v>-28395.32746</v>
      </c>
      <c r="N175" s="248">
        <f t="shared" si="53"/>
        <v>-28395.32746</v>
      </c>
      <c r="O175" s="248">
        <f t="shared" si="53"/>
        <v>-28395.32746</v>
      </c>
      <c r="P175" s="248">
        <f t="shared" si="53"/>
        <v>-28395.32746</v>
      </c>
      <c r="Q175" s="248">
        <f t="shared" si="53"/>
        <v>-28395.32746</v>
      </c>
      <c r="R175" s="248">
        <f t="shared" si="53"/>
        <v>-28395.32746</v>
      </c>
      <c r="S175" s="248">
        <f t="shared" si="53"/>
        <v>-28395.32746</v>
      </c>
      <c r="T175" s="248">
        <f t="shared" si="53"/>
        <v>-28395.32746</v>
      </c>
      <c r="U175" s="248">
        <f t="shared" si="53"/>
        <v>-28395.32746</v>
      </c>
      <c r="V175" s="248">
        <f t="shared" si="53"/>
        <v>-28395.32746</v>
      </c>
      <c r="W175" s="248">
        <f t="shared" si="53"/>
        <v>-28395.32746</v>
      </c>
      <c r="X175" s="248">
        <f t="shared" si="53"/>
        <v>-28395.32746</v>
      </c>
      <c r="Y175" s="248">
        <f t="shared" si="53"/>
        <v>-28395.32746</v>
      </c>
    </row>
    <row r="176" outlineLevel="1">
      <c r="A176" s="142" t="s">
        <v>336</v>
      </c>
      <c r="B176" s="248">
        <f t="shared" ref="B176:Y176" si="54">-B128</f>
        <v>-34376.79063</v>
      </c>
      <c r="C176" s="248">
        <f t="shared" si="54"/>
        <v>0</v>
      </c>
      <c r="D176" s="248">
        <f t="shared" si="54"/>
        <v>-6863.295896</v>
      </c>
      <c r="E176" s="248">
        <f t="shared" si="54"/>
        <v>-6863.295896</v>
      </c>
      <c r="F176" s="248">
        <f t="shared" si="54"/>
        <v>0</v>
      </c>
      <c r="G176" s="248">
        <f t="shared" si="54"/>
        <v>-6863.295896</v>
      </c>
      <c r="H176" s="248">
        <f t="shared" si="54"/>
        <v>-5345.440548</v>
      </c>
      <c r="I176" s="248">
        <f t="shared" si="54"/>
        <v>0</v>
      </c>
      <c r="J176" s="248">
        <f t="shared" si="54"/>
        <v>0</v>
      </c>
      <c r="K176" s="248">
        <f t="shared" si="54"/>
        <v>-6863.295896</v>
      </c>
      <c r="L176" s="248">
        <f t="shared" si="54"/>
        <v>-6863.295896</v>
      </c>
      <c r="M176" s="248">
        <f t="shared" si="54"/>
        <v>-6863.295896</v>
      </c>
      <c r="N176" s="248">
        <f t="shared" si="54"/>
        <v>-6863.295896</v>
      </c>
      <c r="O176" s="248">
        <f t="shared" si="54"/>
        <v>-6863.295896</v>
      </c>
      <c r="P176" s="248">
        <f t="shared" si="54"/>
        <v>-6863.295896</v>
      </c>
      <c r="Q176" s="248">
        <f t="shared" si="54"/>
        <v>-6863.295896</v>
      </c>
      <c r="R176" s="248">
        <f t="shared" si="54"/>
        <v>-6863.295896</v>
      </c>
      <c r="S176" s="248">
        <f t="shared" si="54"/>
        <v>-6863.295896</v>
      </c>
      <c r="T176" s="248">
        <f t="shared" si="54"/>
        <v>-6863.295896</v>
      </c>
      <c r="U176" s="248">
        <f t="shared" si="54"/>
        <v>-6863.295896</v>
      </c>
      <c r="V176" s="248">
        <f t="shared" si="54"/>
        <v>-6863.295896</v>
      </c>
      <c r="W176" s="248">
        <f t="shared" si="54"/>
        <v>-6863.295896</v>
      </c>
      <c r="X176" s="248">
        <f t="shared" si="54"/>
        <v>-6863.295896</v>
      </c>
      <c r="Y176" s="248">
        <f t="shared" si="54"/>
        <v>-6863.295896</v>
      </c>
    </row>
    <row r="177" outlineLevel="1">
      <c r="A177" s="142" t="s">
        <v>337</v>
      </c>
      <c r="B177" s="248">
        <f t="shared" ref="B177:Y177" si="55">-B129</f>
        <v>-69595.26641</v>
      </c>
      <c r="C177" s="248">
        <f t="shared" si="55"/>
        <v>-46850.08893</v>
      </c>
      <c r="D177" s="248">
        <f t="shared" si="55"/>
        <v>-64379.00867</v>
      </c>
      <c r="E177" s="248">
        <f t="shared" si="55"/>
        <v>-64379.00867</v>
      </c>
      <c r="F177" s="248">
        <f t="shared" si="55"/>
        <v>-54272.46405</v>
      </c>
      <c r="G177" s="248">
        <f t="shared" si="55"/>
        <v>-64379.00867</v>
      </c>
      <c r="H177" s="248">
        <f t="shared" si="55"/>
        <v>-50141.23951</v>
      </c>
      <c r="I177" s="248">
        <f t="shared" si="55"/>
        <v>-69369.5029</v>
      </c>
      <c r="J177" s="248">
        <f t="shared" si="55"/>
        <v>-82944.59964</v>
      </c>
      <c r="K177" s="248">
        <f t="shared" si="55"/>
        <v>-64379.00867</v>
      </c>
      <c r="L177" s="248">
        <f t="shared" si="55"/>
        <v>-64379.00867</v>
      </c>
      <c r="M177" s="248">
        <f t="shared" si="55"/>
        <v>-64379.00867</v>
      </c>
      <c r="N177" s="248">
        <f t="shared" si="55"/>
        <v>-64379.00867</v>
      </c>
      <c r="O177" s="248">
        <f t="shared" si="55"/>
        <v>-64379.00867</v>
      </c>
      <c r="P177" s="248">
        <f t="shared" si="55"/>
        <v>-64379.00867</v>
      </c>
      <c r="Q177" s="248">
        <f t="shared" si="55"/>
        <v>-64379.00867</v>
      </c>
      <c r="R177" s="248">
        <f t="shared" si="55"/>
        <v>-64379.00867</v>
      </c>
      <c r="S177" s="248">
        <f t="shared" si="55"/>
        <v>-64379.00867</v>
      </c>
      <c r="T177" s="248">
        <f t="shared" si="55"/>
        <v>-64379.00867</v>
      </c>
      <c r="U177" s="248">
        <f t="shared" si="55"/>
        <v>-64379.00867</v>
      </c>
      <c r="V177" s="248">
        <f t="shared" si="55"/>
        <v>-64379.00867</v>
      </c>
      <c r="W177" s="248">
        <f t="shared" si="55"/>
        <v>-64379.00867</v>
      </c>
      <c r="X177" s="248">
        <f t="shared" si="55"/>
        <v>-64379.00867</v>
      </c>
      <c r="Y177" s="248">
        <f t="shared" si="55"/>
        <v>-64379.00867</v>
      </c>
    </row>
    <row r="178" outlineLevel="1">
      <c r="A178" s="142"/>
      <c r="B178" s="95"/>
      <c r="C178" s="95"/>
      <c r="D178" s="95"/>
      <c r="E178" s="95"/>
      <c r="F178" s="95"/>
      <c r="G178" s="95"/>
      <c r="H178" s="95"/>
      <c r="I178" s="95"/>
      <c r="J178" s="95"/>
      <c r="K178" s="95"/>
      <c r="L178" s="95"/>
      <c r="M178" s="95"/>
      <c r="N178" s="95"/>
      <c r="O178" s="95"/>
      <c r="P178" s="95"/>
      <c r="Q178" s="95"/>
      <c r="R178" s="95"/>
      <c r="S178" s="95"/>
      <c r="T178" s="95"/>
      <c r="U178" s="95"/>
      <c r="V178" s="95"/>
      <c r="W178" s="95"/>
      <c r="X178" s="95"/>
      <c r="Y178" s="95"/>
    </row>
    <row r="179" outlineLevel="1">
      <c r="A179" s="435" t="s">
        <v>612</v>
      </c>
      <c r="B179" s="95"/>
      <c r="C179" s="95"/>
      <c r="D179" s="95"/>
      <c r="E179" s="95"/>
      <c r="F179" s="95"/>
      <c r="G179" s="95"/>
      <c r="H179" s="95"/>
      <c r="I179" s="95"/>
      <c r="J179" s="95"/>
      <c r="K179" s="95"/>
      <c r="L179" s="95"/>
      <c r="M179" s="95"/>
      <c r="N179" s="95"/>
      <c r="O179" s="95"/>
      <c r="P179" s="95"/>
      <c r="Q179" s="95"/>
      <c r="R179" s="95"/>
      <c r="S179" s="95"/>
      <c r="T179" s="95"/>
      <c r="U179" s="95"/>
      <c r="V179" s="95"/>
      <c r="W179" s="95"/>
      <c r="X179" s="95"/>
      <c r="Y179" s="95"/>
    </row>
    <row r="180" outlineLevel="1">
      <c r="A180" s="142" t="s">
        <v>217</v>
      </c>
      <c r="B180" s="95"/>
      <c r="C180" s="95"/>
      <c r="D180" s="95"/>
      <c r="E180" s="95"/>
      <c r="F180" s="95"/>
      <c r="G180" s="95"/>
      <c r="H180" s="95"/>
      <c r="I180" s="95"/>
      <c r="J180" s="95"/>
      <c r="K180" s="95"/>
      <c r="L180" s="95"/>
      <c r="M180" s="95"/>
      <c r="N180" s="95"/>
      <c r="O180" s="95"/>
      <c r="P180" s="95"/>
      <c r="Q180" s="95"/>
      <c r="R180" s="95"/>
      <c r="S180" s="95"/>
      <c r="T180" s="95"/>
      <c r="U180" s="95"/>
      <c r="V180" s="95"/>
      <c r="W180" s="95"/>
      <c r="X180" s="95"/>
      <c r="Y180" s="95"/>
    </row>
    <row r="181" outlineLevel="1">
      <c r="A181" s="142" t="s">
        <v>611</v>
      </c>
      <c r="B181" s="168">
        <f t="shared" ref="B181:Y181" si="56">B156*B$109</f>
        <v>0</v>
      </c>
      <c r="C181" s="168">
        <f t="shared" si="56"/>
        <v>0</v>
      </c>
      <c r="D181" s="168">
        <f t="shared" si="56"/>
        <v>0</v>
      </c>
      <c r="E181" s="168">
        <f t="shared" si="56"/>
        <v>0</v>
      </c>
      <c r="F181" s="168">
        <f t="shared" si="56"/>
        <v>0</v>
      </c>
      <c r="G181" s="168">
        <f t="shared" si="56"/>
        <v>0</v>
      </c>
      <c r="H181" s="168">
        <f t="shared" si="56"/>
        <v>0</v>
      </c>
      <c r="I181" s="168">
        <f t="shared" si="56"/>
        <v>0</v>
      </c>
      <c r="J181" s="168">
        <f t="shared" si="56"/>
        <v>0</v>
      </c>
      <c r="K181" s="168">
        <f t="shared" si="56"/>
        <v>0</v>
      </c>
      <c r="L181" s="168">
        <f t="shared" si="56"/>
        <v>0</v>
      </c>
      <c r="M181" s="168">
        <f t="shared" si="56"/>
        <v>0</v>
      </c>
      <c r="N181" s="168">
        <f t="shared" si="56"/>
        <v>0</v>
      </c>
      <c r="O181" s="168">
        <f t="shared" si="56"/>
        <v>0</v>
      </c>
      <c r="P181" s="168">
        <f t="shared" si="56"/>
        <v>0</v>
      </c>
      <c r="Q181" s="168">
        <f t="shared" si="56"/>
        <v>0</v>
      </c>
      <c r="R181" s="168">
        <f t="shared" si="56"/>
        <v>0</v>
      </c>
      <c r="S181" s="168">
        <f t="shared" si="56"/>
        <v>0</v>
      </c>
      <c r="T181" s="168">
        <f t="shared" si="56"/>
        <v>0</v>
      </c>
      <c r="U181" s="168">
        <f t="shared" si="56"/>
        <v>0</v>
      </c>
      <c r="V181" s="168">
        <f t="shared" si="56"/>
        <v>0</v>
      </c>
      <c r="W181" s="168">
        <f t="shared" si="56"/>
        <v>0</v>
      </c>
      <c r="X181" s="168">
        <f t="shared" si="56"/>
        <v>0</v>
      </c>
      <c r="Y181" s="168">
        <f t="shared" si="56"/>
        <v>0</v>
      </c>
    </row>
    <row r="182" outlineLevel="1">
      <c r="A182" s="142" t="s">
        <v>440</v>
      </c>
      <c r="B182" s="168">
        <f t="shared" ref="B182:Y182" si="57">B157*B$109</f>
        <v>0</v>
      </c>
      <c r="C182" s="168">
        <f t="shared" si="57"/>
        <v>0</v>
      </c>
      <c r="D182" s="168">
        <f t="shared" si="57"/>
        <v>0</v>
      </c>
      <c r="E182" s="168">
        <f t="shared" si="57"/>
        <v>0</v>
      </c>
      <c r="F182" s="168">
        <f t="shared" si="57"/>
        <v>0</v>
      </c>
      <c r="G182" s="168">
        <f t="shared" si="57"/>
        <v>0</v>
      </c>
      <c r="H182" s="168">
        <f t="shared" si="57"/>
        <v>0</v>
      </c>
      <c r="I182" s="168">
        <f t="shared" si="57"/>
        <v>0</v>
      </c>
      <c r="J182" s="168">
        <f t="shared" si="57"/>
        <v>0</v>
      </c>
      <c r="K182" s="168">
        <f t="shared" si="57"/>
        <v>0</v>
      </c>
      <c r="L182" s="168">
        <f t="shared" si="57"/>
        <v>0</v>
      </c>
      <c r="M182" s="168">
        <f t="shared" si="57"/>
        <v>0</v>
      </c>
      <c r="N182" s="168">
        <f t="shared" si="57"/>
        <v>0</v>
      </c>
      <c r="O182" s="168">
        <f t="shared" si="57"/>
        <v>0</v>
      </c>
      <c r="P182" s="168">
        <f t="shared" si="57"/>
        <v>0</v>
      </c>
      <c r="Q182" s="168">
        <f t="shared" si="57"/>
        <v>0</v>
      </c>
      <c r="R182" s="168">
        <f t="shared" si="57"/>
        <v>0</v>
      </c>
      <c r="S182" s="168">
        <f t="shared" si="57"/>
        <v>0</v>
      </c>
      <c r="T182" s="168">
        <f t="shared" si="57"/>
        <v>0</v>
      </c>
      <c r="U182" s="168">
        <f t="shared" si="57"/>
        <v>0</v>
      </c>
      <c r="V182" s="168">
        <f t="shared" si="57"/>
        <v>0</v>
      </c>
      <c r="W182" s="168">
        <f t="shared" si="57"/>
        <v>0</v>
      </c>
      <c r="X182" s="168">
        <f t="shared" si="57"/>
        <v>0</v>
      </c>
      <c r="Y182" s="168">
        <f t="shared" si="57"/>
        <v>0</v>
      </c>
    </row>
    <row r="183" outlineLevel="1">
      <c r="A183" s="142" t="s">
        <v>336</v>
      </c>
      <c r="B183" s="168">
        <f t="shared" ref="B183:Y183" si="58">B158*B$109</f>
        <v>5969.002066</v>
      </c>
      <c r="C183" s="168">
        <f t="shared" si="58"/>
        <v>4845.862857</v>
      </c>
      <c r="D183" s="168">
        <f t="shared" si="58"/>
        <v>2770.271176</v>
      </c>
      <c r="E183" s="168">
        <f t="shared" si="58"/>
        <v>4349.189988</v>
      </c>
      <c r="F183" s="168">
        <f t="shared" si="58"/>
        <v>3543.489644</v>
      </c>
      <c r="G183" s="168">
        <f t="shared" si="58"/>
        <v>1654.108537</v>
      </c>
      <c r="H183" s="168">
        <f t="shared" si="58"/>
        <v>3474.1987</v>
      </c>
      <c r="I183" s="168">
        <f t="shared" si="58"/>
        <v>9078.96766</v>
      </c>
      <c r="J183" s="168">
        <f t="shared" si="58"/>
        <v>14713.67856</v>
      </c>
      <c r="K183" s="168">
        <f t="shared" si="58"/>
        <v>5440.976003</v>
      </c>
      <c r="L183" s="168">
        <f t="shared" si="58"/>
        <v>1330.512101</v>
      </c>
      <c r="M183" s="168">
        <f t="shared" si="58"/>
        <v>2599.346636</v>
      </c>
      <c r="N183" s="168">
        <f t="shared" si="58"/>
        <v>1700.405841</v>
      </c>
      <c r="O183" s="168">
        <f t="shared" si="58"/>
        <v>3229.870539</v>
      </c>
      <c r="P183" s="168">
        <f t="shared" si="58"/>
        <v>7242.559052</v>
      </c>
      <c r="Q183" s="168">
        <f t="shared" si="58"/>
        <v>786.6716752</v>
      </c>
      <c r="R183" s="168">
        <f t="shared" si="58"/>
        <v>1490.787542</v>
      </c>
      <c r="S183" s="168">
        <f t="shared" si="58"/>
        <v>3610.054991</v>
      </c>
      <c r="T183" s="168">
        <f t="shared" si="58"/>
        <v>1161.594298</v>
      </c>
      <c r="U183" s="168">
        <f t="shared" si="58"/>
        <v>1048.609524</v>
      </c>
      <c r="V183" s="168">
        <f t="shared" si="58"/>
        <v>1296.595758</v>
      </c>
      <c r="W183" s="168">
        <f t="shared" si="58"/>
        <v>1444.648454</v>
      </c>
      <c r="X183" s="168">
        <f t="shared" si="58"/>
        <v>810.5734486</v>
      </c>
      <c r="Y183" s="168">
        <f t="shared" si="58"/>
        <v>2147.369347</v>
      </c>
    </row>
    <row r="184" outlineLevel="1">
      <c r="A184" s="142" t="s">
        <v>337</v>
      </c>
      <c r="B184" s="168">
        <f t="shared" ref="B184:Y184" si="59">B159*B$109</f>
        <v>0</v>
      </c>
      <c r="C184" s="168">
        <f t="shared" si="59"/>
        <v>0</v>
      </c>
      <c r="D184" s="168">
        <f t="shared" si="59"/>
        <v>0</v>
      </c>
      <c r="E184" s="168">
        <f t="shared" si="59"/>
        <v>0</v>
      </c>
      <c r="F184" s="168">
        <f t="shared" si="59"/>
        <v>0</v>
      </c>
      <c r="G184" s="168">
        <f t="shared" si="59"/>
        <v>0</v>
      </c>
      <c r="H184" s="168">
        <f t="shared" si="59"/>
        <v>0</v>
      </c>
      <c r="I184" s="168">
        <f t="shared" si="59"/>
        <v>0</v>
      </c>
      <c r="J184" s="168">
        <f t="shared" si="59"/>
        <v>0</v>
      </c>
      <c r="K184" s="168">
        <f t="shared" si="59"/>
        <v>0</v>
      </c>
      <c r="L184" s="168">
        <f t="shared" si="59"/>
        <v>0</v>
      </c>
      <c r="M184" s="168">
        <f t="shared" si="59"/>
        <v>0</v>
      </c>
      <c r="N184" s="168">
        <f t="shared" si="59"/>
        <v>0</v>
      </c>
      <c r="O184" s="168">
        <f t="shared" si="59"/>
        <v>0</v>
      </c>
      <c r="P184" s="168">
        <f t="shared" si="59"/>
        <v>0</v>
      </c>
      <c r="Q184" s="168">
        <f t="shared" si="59"/>
        <v>0</v>
      </c>
      <c r="R184" s="168">
        <f t="shared" si="59"/>
        <v>0</v>
      </c>
      <c r="S184" s="168">
        <f t="shared" si="59"/>
        <v>0</v>
      </c>
      <c r="T184" s="168">
        <f t="shared" si="59"/>
        <v>0</v>
      </c>
      <c r="U184" s="168">
        <f t="shared" si="59"/>
        <v>0</v>
      </c>
      <c r="V184" s="168">
        <f t="shared" si="59"/>
        <v>0</v>
      </c>
      <c r="W184" s="168">
        <f t="shared" si="59"/>
        <v>0</v>
      </c>
      <c r="X184" s="168">
        <f t="shared" si="59"/>
        <v>0</v>
      </c>
      <c r="Y184" s="168">
        <f t="shared" si="59"/>
        <v>0</v>
      </c>
    </row>
    <row r="185" outlineLevel="1">
      <c r="A185" s="142"/>
      <c r="B185" s="95"/>
      <c r="C185" s="95"/>
      <c r="D185" s="95"/>
      <c r="E185" s="95"/>
      <c r="F185" s="95"/>
      <c r="G185" s="95"/>
      <c r="H185" s="95"/>
      <c r="I185" s="95"/>
      <c r="J185" s="95"/>
      <c r="K185" s="95"/>
      <c r="L185" s="95"/>
      <c r="M185" s="95"/>
      <c r="N185" s="95"/>
      <c r="O185" s="95"/>
      <c r="P185" s="95"/>
      <c r="Q185" s="95"/>
      <c r="R185" s="95"/>
      <c r="S185" s="95"/>
      <c r="T185" s="95"/>
      <c r="U185" s="95"/>
      <c r="V185" s="95"/>
      <c r="W185" s="95"/>
      <c r="X185" s="95"/>
      <c r="Y185" s="95"/>
    </row>
    <row r="186" outlineLevel="1">
      <c r="A186" s="142" t="s">
        <v>608</v>
      </c>
      <c r="B186" s="95"/>
      <c r="C186" s="95"/>
      <c r="D186" s="95"/>
      <c r="E186" s="95"/>
      <c r="F186" s="95"/>
      <c r="G186" s="95"/>
      <c r="H186" s="95"/>
      <c r="I186" s="95"/>
      <c r="J186" s="95"/>
      <c r="K186" s="95"/>
      <c r="L186" s="95"/>
      <c r="M186" s="95"/>
      <c r="N186" s="95"/>
      <c r="O186" s="95"/>
      <c r="P186" s="95"/>
      <c r="Q186" s="95"/>
      <c r="R186" s="95"/>
      <c r="S186" s="95"/>
      <c r="T186" s="95"/>
      <c r="U186" s="95"/>
      <c r="V186" s="95"/>
      <c r="W186" s="95"/>
      <c r="X186" s="95"/>
      <c r="Y186" s="95"/>
    </row>
    <row r="187" outlineLevel="1">
      <c r="A187" s="142" t="s">
        <v>611</v>
      </c>
      <c r="B187" s="168">
        <f t="shared" ref="B187:Y187" si="60">B162*B$109</f>
        <v>0</v>
      </c>
      <c r="C187" s="168">
        <f t="shared" si="60"/>
        <v>0</v>
      </c>
      <c r="D187" s="168">
        <f t="shared" si="60"/>
        <v>0</v>
      </c>
      <c r="E187" s="168">
        <f t="shared" si="60"/>
        <v>0</v>
      </c>
      <c r="F187" s="168">
        <f t="shared" si="60"/>
        <v>0</v>
      </c>
      <c r="G187" s="168">
        <f t="shared" si="60"/>
        <v>0</v>
      </c>
      <c r="H187" s="168">
        <f t="shared" si="60"/>
        <v>0</v>
      </c>
      <c r="I187" s="168">
        <f t="shared" si="60"/>
        <v>0</v>
      </c>
      <c r="J187" s="168">
        <f t="shared" si="60"/>
        <v>0</v>
      </c>
      <c r="K187" s="168">
        <f t="shared" si="60"/>
        <v>0</v>
      </c>
      <c r="L187" s="168">
        <f t="shared" si="60"/>
        <v>0</v>
      </c>
      <c r="M187" s="168">
        <f t="shared" si="60"/>
        <v>0</v>
      </c>
      <c r="N187" s="168">
        <f t="shared" si="60"/>
        <v>0</v>
      </c>
      <c r="O187" s="168">
        <f t="shared" si="60"/>
        <v>0</v>
      </c>
      <c r="P187" s="168">
        <f t="shared" si="60"/>
        <v>0</v>
      </c>
      <c r="Q187" s="168">
        <f t="shared" si="60"/>
        <v>0</v>
      </c>
      <c r="R187" s="168">
        <f t="shared" si="60"/>
        <v>0</v>
      </c>
      <c r="S187" s="168">
        <f t="shared" si="60"/>
        <v>0</v>
      </c>
      <c r="T187" s="168">
        <f t="shared" si="60"/>
        <v>0</v>
      </c>
      <c r="U187" s="168">
        <f t="shared" si="60"/>
        <v>0</v>
      </c>
      <c r="V187" s="168">
        <f t="shared" si="60"/>
        <v>0</v>
      </c>
      <c r="W187" s="168">
        <f t="shared" si="60"/>
        <v>0</v>
      </c>
      <c r="X187" s="168">
        <f t="shared" si="60"/>
        <v>0</v>
      </c>
      <c r="Y187" s="168">
        <f t="shared" si="60"/>
        <v>0</v>
      </c>
    </row>
    <row r="188" outlineLevel="1">
      <c r="A188" s="142" t="s">
        <v>440</v>
      </c>
      <c r="B188" s="168">
        <f t="shared" ref="B188:Y188" si="61">B163*B$109</f>
        <v>5969.002066</v>
      </c>
      <c r="C188" s="168">
        <f t="shared" si="61"/>
        <v>4845.862857</v>
      </c>
      <c r="D188" s="168">
        <f t="shared" si="61"/>
        <v>2770.271176</v>
      </c>
      <c r="E188" s="168">
        <f t="shared" si="61"/>
        <v>4349.189988</v>
      </c>
      <c r="F188" s="168">
        <f t="shared" si="61"/>
        <v>3543.489644</v>
      </c>
      <c r="G188" s="168">
        <f t="shared" si="61"/>
        <v>1654.108537</v>
      </c>
      <c r="H188" s="168">
        <f t="shared" si="61"/>
        <v>3474.1987</v>
      </c>
      <c r="I188" s="168">
        <f t="shared" si="61"/>
        <v>9078.96766</v>
      </c>
      <c r="J188" s="168">
        <f t="shared" si="61"/>
        <v>14713.67856</v>
      </c>
      <c r="K188" s="168">
        <f t="shared" si="61"/>
        <v>5440.976003</v>
      </c>
      <c r="L188" s="168">
        <f t="shared" si="61"/>
        <v>1330.512101</v>
      </c>
      <c r="M188" s="168">
        <f t="shared" si="61"/>
        <v>2599.346636</v>
      </c>
      <c r="N188" s="168">
        <f t="shared" si="61"/>
        <v>1700.405841</v>
      </c>
      <c r="O188" s="168">
        <f t="shared" si="61"/>
        <v>3229.870539</v>
      </c>
      <c r="P188" s="168">
        <f t="shared" si="61"/>
        <v>7242.559052</v>
      </c>
      <c r="Q188" s="168">
        <f t="shared" si="61"/>
        <v>786.6716752</v>
      </c>
      <c r="R188" s="168">
        <f t="shared" si="61"/>
        <v>1490.787542</v>
      </c>
      <c r="S188" s="168">
        <f t="shared" si="61"/>
        <v>3610.054991</v>
      </c>
      <c r="T188" s="168">
        <f t="shared" si="61"/>
        <v>1161.594298</v>
      </c>
      <c r="U188" s="168">
        <f t="shared" si="61"/>
        <v>1048.609524</v>
      </c>
      <c r="V188" s="168">
        <f t="shared" si="61"/>
        <v>1296.595758</v>
      </c>
      <c r="W188" s="168">
        <f t="shared" si="61"/>
        <v>1444.648454</v>
      </c>
      <c r="X188" s="168">
        <f t="shared" si="61"/>
        <v>810.5734486</v>
      </c>
      <c r="Y188" s="168">
        <f t="shared" si="61"/>
        <v>2147.369347</v>
      </c>
    </row>
    <row r="189" outlineLevel="1">
      <c r="A189" s="142" t="s">
        <v>336</v>
      </c>
      <c r="B189" s="168">
        <f t="shared" ref="B189:Y189" si="62">B164*B$109</f>
        <v>0</v>
      </c>
      <c r="C189" s="168">
        <f t="shared" si="62"/>
        <v>0</v>
      </c>
      <c r="D189" s="168">
        <f t="shared" si="62"/>
        <v>0</v>
      </c>
      <c r="E189" s="168">
        <f t="shared" si="62"/>
        <v>0</v>
      </c>
      <c r="F189" s="168">
        <f t="shared" si="62"/>
        <v>0</v>
      </c>
      <c r="G189" s="168">
        <f t="shared" si="62"/>
        <v>0</v>
      </c>
      <c r="H189" s="168">
        <f t="shared" si="62"/>
        <v>0</v>
      </c>
      <c r="I189" s="168">
        <f t="shared" si="62"/>
        <v>0</v>
      </c>
      <c r="J189" s="168">
        <f t="shared" si="62"/>
        <v>0</v>
      </c>
      <c r="K189" s="168">
        <f t="shared" si="62"/>
        <v>0</v>
      </c>
      <c r="L189" s="168">
        <f t="shared" si="62"/>
        <v>0</v>
      </c>
      <c r="M189" s="168">
        <f t="shared" si="62"/>
        <v>0</v>
      </c>
      <c r="N189" s="168">
        <f t="shared" si="62"/>
        <v>0</v>
      </c>
      <c r="O189" s="168">
        <f t="shared" si="62"/>
        <v>0</v>
      </c>
      <c r="P189" s="168">
        <f t="shared" si="62"/>
        <v>0</v>
      </c>
      <c r="Q189" s="168">
        <f t="shared" si="62"/>
        <v>0</v>
      </c>
      <c r="R189" s="168">
        <f t="shared" si="62"/>
        <v>0</v>
      </c>
      <c r="S189" s="168">
        <f t="shared" si="62"/>
        <v>0</v>
      </c>
      <c r="T189" s="168">
        <f t="shared" si="62"/>
        <v>0</v>
      </c>
      <c r="U189" s="168">
        <f t="shared" si="62"/>
        <v>0</v>
      </c>
      <c r="V189" s="168">
        <f t="shared" si="62"/>
        <v>0</v>
      </c>
      <c r="W189" s="168">
        <f t="shared" si="62"/>
        <v>0</v>
      </c>
      <c r="X189" s="168">
        <f t="shared" si="62"/>
        <v>0</v>
      </c>
      <c r="Y189" s="168">
        <f t="shared" si="62"/>
        <v>0</v>
      </c>
    </row>
    <row r="190" outlineLevel="1">
      <c r="A190" s="142" t="s">
        <v>337</v>
      </c>
      <c r="B190" s="168">
        <f t="shared" ref="B190:Y190" si="63">B165*B$109</f>
        <v>0</v>
      </c>
      <c r="C190" s="168">
        <f t="shared" si="63"/>
        <v>0</v>
      </c>
      <c r="D190" s="168">
        <f t="shared" si="63"/>
        <v>0</v>
      </c>
      <c r="E190" s="168">
        <f t="shared" si="63"/>
        <v>0</v>
      </c>
      <c r="F190" s="168">
        <f t="shared" si="63"/>
        <v>0</v>
      </c>
      <c r="G190" s="168">
        <f t="shared" si="63"/>
        <v>0</v>
      </c>
      <c r="H190" s="168">
        <f t="shared" si="63"/>
        <v>0</v>
      </c>
      <c r="I190" s="168">
        <f t="shared" si="63"/>
        <v>0</v>
      </c>
      <c r="J190" s="168">
        <f t="shared" si="63"/>
        <v>0</v>
      </c>
      <c r="K190" s="168">
        <f t="shared" si="63"/>
        <v>0</v>
      </c>
      <c r="L190" s="168">
        <f t="shared" si="63"/>
        <v>0</v>
      </c>
      <c r="M190" s="168">
        <f t="shared" si="63"/>
        <v>0</v>
      </c>
      <c r="N190" s="168">
        <f t="shared" si="63"/>
        <v>0</v>
      </c>
      <c r="O190" s="168">
        <f t="shared" si="63"/>
        <v>0</v>
      </c>
      <c r="P190" s="168">
        <f t="shared" si="63"/>
        <v>0</v>
      </c>
      <c r="Q190" s="168">
        <f t="shared" si="63"/>
        <v>0</v>
      </c>
      <c r="R190" s="168">
        <f t="shared" si="63"/>
        <v>0</v>
      </c>
      <c r="S190" s="168">
        <f t="shared" si="63"/>
        <v>0</v>
      </c>
      <c r="T190" s="168">
        <f t="shared" si="63"/>
        <v>0</v>
      </c>
      <c r="U190" s="168">
        <f t="shared" si="63"/>
        <v>0</v>
      </c>
      <c r="V190" s="168">
        <f t="shared" si="63"/>
        <v>0</v>
      </c>
      <c r="W190" s="168">
        <f t="shared" si="63"/>
        <v>0</v>
      </c>
      <c r="X190" s="168">
        <f t="shared" si="63"/>
        <v>0</v>
      </c>
      <c r="Y190" s="168">
        <f t="shared" si="63"/>
        <v>0</v>
      </c>
    </row>
    <row r="191" outlineLevel="1">
      <c r="A191" s="142"/>
      <c r="B191" s="95"/>
      <c r="C191" s="95"/>
      <c r="D191" s="95"/>
      <c r="E191" s="95"/>
      <c r="F191" s="95"/>
      <c r="G191" s="95"/>
      <c r="H191" s="95"/>
      <c r="I191" s="95"/>
      <c r="J191" s="95"/>
      <c r="K191" s="95"/>
      <c r="L191" s="95"/>
      <c r="M191" s="95"/>
      <c r="N191" s="95"/>
      <c r="O191" s="95"/>
      <c r="P191" s="95"/>
      <c r="Q191" s="95"/>
      <c r="R191" s="95"/>
      <c r="S191" s="95"/>
      <c r="T191" s="95"/>
      <c r="U191" s="95"/>
      <c r="V191" s="95"/>
      <c r="W191" s="95"/>
      <c r="X191" s="95"/>
      <c r="Y191" s="95"/>
    </row>
    <row r="192" outlineLevel="1">
      <c r="A192" s="234" t="s">
        <v>609</v>
      </c>
      <c r="B192" s="95"/>
      <c r="C192" s="95"/>
      <c r="D192" s="95"/>
      <c r="E192" s="95"/>
      <c r="F192" s="95"/>
      <c r="G192" s="95"/>
      <c r="H192" s="95"/>
      <c r="I192" s="95"/>
      <c r="J192" s="95"/>
      <c r="K192" s="95"/>
      <c r="L192" s="95"/>
      <c r="M192" s="95"/>
      <c r="N192" s="95"/>
      <c r="O192" s="95"/>
      <c r="P192" s="95"/>
      <c r="Q192" s="95"/>
      <c r="R192" s="95"/>
      <c r="S192" s="95"/>
      <c r="T192" s="95"/>
      <c r="U192" s="95"/>
      <c r="V192" s="95"/>
      <c r="W192" s="95"/>
      <c r="X192" s="95"/>
      <c r="Y192" s="95"/>
    </row>
    <row r="193" outlineLevel="1">
      <c r="A193" s="142" t="s">
        <v>611</v>
      </c>
      <c r="B193" s="168">
        <f t="shared" ref="B193:Y193" si="64">B168*B$109</f>
        <v>-602.8366424</v>
      </c>
      <c r="C193" s="168">
        <f t="shared" si="64"/>
        <v>-451.4829447</v>
      </c>
      <c r="D193" s="168">
        <f t="shared" si="64"/>
        <v>-306.3809279</v>
      </c>
      <c r="E193" s="168">
        <f t="shared" si="64"/>
        <v>-481.0030425</v>
      </c>
      <c r="F193" s="168">
        <f t="shared" si="64"/>
        <v>-264.7399617</v>
      </c>
      <c r="G193" s="168">
        <f t="shared" si="64"/>
        <v>-182.9377979</v>
      </c>
      <c r="H193" s="168">
        <f t="shared" si="64"/>
        <v>-384.2325007</v>
      </c>
      <c r="I193" s="168">
        <f t="shared" si="64"/>
        <v>-1247.812928</v>
      </c>
      <c r="J193" s="168">
        <f t="shared" si="64"/>
        <v>-1868.611113</v>
      </c>
      <c r="K193" s="168">
        <f t="shared" si="64"/>
        <v>-601.7502152</v>
      </c>
      <c r="L193" s="168">
        <f t="shared" si="64"/>
        <v>-147.1493245</v>
      </c>
      <c r="M193" s="168">
        <f t="shared" si="64"/>
        <v>-287.4773564</v>
      </c>
      <c r="N193" s="168">
        <f t="shared" si="64"/>
        <v>-188.0580948</v>
      </c>
      <c r="O193" s="168">
        <f t="shared" si="64"/>
        <v>-357.2107819</v>
      </c>
      <c r="P193" s="168">
        <f t="shared" si="64"/>
        <v>-800.9981052</v>
      </c>
      <c r="Q193" s="168">
        <f t="shared" si="64"/>
        <v>-87.00274539</v>
      </c>
      <c r="R193" s="168">
        <f t="shared" si="64"/>
        <v>-164.875148</v>
      </c>
      <c r="S193" s="168">
        <f t="shared" si="64"/>
        <v>-399.2576638</v>
      </c>
      <c r="T193" s="168">
        <f t="shared" si="64"/>
        <v>-128.4676901</v>
      </c>
      <c r="U193" s="168">
        <f t="shared" si="64"/>
        <v>-115.9720253</v>
      </c>
      <c r="V193" s="168">
        <f t="shared" si="64"/>
        <v>-143.3983124</v>
      </c>
      <c r="W193" s="168">
        <f t="shared" si="64"/>
        <v>-159.7723493</v>
      </c>
      <c r="X193" s="168">
        <f t="shared" si="64"/>
        <v>-89.64618607</v>
      </c>
      <c r="Y193" s="168">
        <f t="shared" si="64"/>
        <v>-237.4904734</v>
      </c>
    </row>
    <row r="194" outlineLevel="1">
      <c r="A194" s="142" t="s">
        <v>440</v>
      </c>
      <c r="B194" s="168">
        <f t="shared" ref="B194:Y194" si="65">B169*B$109</f>
        <v>0</v>
      </c>
      <c r="C194" s="168">
        <f t="shared" si="65"/>
        <v>0</v>
      </c>
      <c r="D194" s="168">
        <f t="shared" si="65"/>
        <v>0</v>
      </c>
      <c r="E194" s="168">
        <f t="shared" si="65"/>
        <v>0</v>
      </c>
      <c r="F194" s="168">
        <f t="shared" si="65"/>
        <v>0</v>
      </c>
      <c r="G194" s="168">
        <f t="shared" si="65"/>
        <v>0</v>
      </c>
      <c r="H194" s="168">
        <f t="shared" si="65"/>
        <v>0</v>
      </c>
      <c r="I194" s="168">
        <f t="shared" si="65"/>
        <v>0</v>
      </c>
      <c r="J194" s="168">
        <f t="shared" si="65"/>
        <v>0</v>
      </c>
      <c r="K194" s="168">
        <f t="shared" si="65"/>
        <v>0</v>
      </c>
      <c r="L194" s="168">
        <f t="shared" si="65"/>
        <v>0</v>
      </c>
      <c r="M194" s="168">
        <f t="shared" si="65"/>
        <v>0</v>
      </c>
      <c r="N194" s="168">
        <f t="shared" si="65"/>
        <v>0</v>
      </c>
      <c r="O194" s="168">
        <f t="shared" si="65"/>
        <v>0</v>
      </c>
      <c r="P194" s="168">
        <f t="shared" si="65"/>
        <v>0</v>
      </c>
      <c r="Q194" s="168">
        <f t="shared" si="65"/>
        <v>0</v>
      </c>
      <c r="R194" s="168">
        <f t="shared" si="65"/>
        <v>0</v>
      </c>
      <c r="S194" s="168">
        <f t="shared" si="65"/>
        <v>0</v>
      </c>
      <c r="T194" s="168">
        <f t="shared" si="65"/>
        <v>0</v>
      </c>
      <c r="U194" s="168">
        <f t="shared" si="65"/>
        <v>0</v>
      </c>
      <c r="V194" s="168">
        <f t="shared" si="65"/>
        <v>0</v>
      </c>
      <c r="W194" s="168">
        <f t="shared" si="65"/>
        <v>0</v>
      </c>
      <c r="X194" s="168">
        <f t="shared" si="65"/>
        <v>0</v>
      </c>
      <c r="Y194" s="168">
        <f t="shared" si="65"/>
        <v>0</v>
      </c>
    </row>
    <row r="195" outlineLevel="1">
      <c r="A195" s="142" t="s">
        <v>336</v>
      </c>
      <c r="B195" s="168">
        <f t="shared" ref="B195:Y195" si="66">B170*B$109</f>
        <v>0</v>
      </c>
      <c r="C195" s="168">
        <f t="shared" si="66"/>
        <v>0</v>
      </c>
      <c r="D195" s="168">
        <f t="shared" si="66"/>
        <v>0</v>
      </c>
      <c r="E195" s="168">
        <f t="shared" si="66"/>
        <v>0</v>
      </c>
      <c r="F195" s="168">
        <f t="shared" si="66"/>
        <v>0</v>
      </c>
      <c r="G195" s="168">
        <f t="shared" si="66"/>
        <v>0</v>
      </c>
      <c r="H195" s="168">
        <f t="shared" si="66"/>
        <v>0</v>
      </c>
      <c r="I195" s="168">
        <f t="shared" si="66"/>
        <v>0</v>
      </c>
      <c r="J195" s="168">
        <f t="shared" si="66"/>
        <v>0</v>
      </c>
      <c r="K195" s="168">
        <f t="shared" si="66"/>
        <v>0</v>
      </c>
      <c r="L195" s="168">
        <f t="shared" si="66"/>
        <v>0</v>
      </c>
      <c r="M195" s="168">
        <f t="shared" si="66"/>
        <v>0</v>
      </c>
      <c r="N195" s="168">
        <f t="shared" si="66"/>
        <v>0</v>
      </c>
      <c r="O195" s="168">
        <f t="shared" si="66"/>
        <v>0</v>
      </c>
      <c r="P195" s="168">
        <f t="shared" si="66"/>
        <v>0</v>
      </c>
      <c r="Q195" s="168">
        <f t="shared" si="66"/>
        <v>0</v>
      </c>
      <c r="R195" s="168">
        <f t="shared" si="66"/>
        <v>0</v>
      </c>
      <c r="S195" s="168">
        <f t="shared" si="66"/>
        <v>0</v>
      </c>
      <c r="T195" s="168">
        <f t="shared" si="66"/>
        <v>0</v>
      </c>
      <c r="U195" s="168">
        <f t="shared" si="66"/>
        <v>0</v>
      </c>
      <c r="V195" s="168">
        <f t="shared" si="66"/>
        <v>0</v>
      </c>
      <c r="W195" s="168">
        <f t="shared" si="66"/>
        <v>0</v>
      </c>
      <c r="X195" s="168">
        <f t="shared" si="66"/>
        <v>0</v>
      </c>
      <c r="Y195" s="168">
        <f t="shared" si="66"/>
        <v>0</v>
      </c>
    </row>
    <row r="196" outlineLevel="1">
      <c r="A196" s="142" t="s">
        <v>337</v>
      </c>
      <c r="B196" s="168">
        <f t="shared" ref="B196:Y196" si="67">B171*B$109</f>
        <v>-2816.502304</v>
      </c>
      <c r="C196" s="168">
        <f t="shared" si="67"/>
        <v>-2270.291058</v>
      </c>
      <c r="D196" s="168">
        <f t="shared" si="67"/>
        <v>-1318.565187</v>
      </c>
      <c r="E196" s="168">
        <f t="shared" si="67"/>
        <v>-2070.082727</v>
      </c>
      <c r="F196" s="168">
        <f t="shared" si="67"/>
        <v>-1632.098402</v>
      </c>
      <c r="G196" s="168">
        <f t="shared" si="67"/>
        <v>-787.3055723</v>
      </c>
      <c r="H196" s="168">
        <f t="shared" si="67"/>
        <v>-1653.613372</v>
      </c>
      <c r="I196" s="168">
        <f t="shared" si="67"/>
        <v>-4425.763109</v>
      </c>
      <c r="J196" s="168">
        <f t="shared" si="67"/>
        <v>-7106.696591</v>
      </c>
      <c r="K196" s="168">
        <f t="shared" si="67"/>
        <v>-2589.739808</v>
      </c>
      <c r="L196" s="168">
        <f t="shared" si="67"/>
        <v>-633.2834682</v>
      </c>
      <c r="M196" s="168">
        <f t="shared" si="67"/>
        <v>-1237.210282</v>
      </c>
      <c r="N196" s="168">
        <f t="shared" si="67"/>
        <v>-809.3416868</v>
      </c>
      <c r="O196" s="168">
        <f t="shared" si="67"/>
        <v>-1537.320566</v>
      </c>
      <c r="P196" s="168">
        <f t="shared" si="67"/>
        <v>-3447.238782</v>
      </c>
      <c r="Q196" s="168">
        <f t="shared" si="67"/>
        <v>-374.4318945</v>
      </c>
      <c r="R196" s="168">
        <f t="shared" si="67"/>
        <v>-709.5697241</v>
      </c>
      <c r="S196" s="168">
        <f t="shared" si="67"/>
        <v>-1718.276852</v>
      </c>
      <c r="T196" s="168">
        <f t="shared" si="67"/>
        <v>-552.8837092</v>
      </c>
      <c r="U196" s="168">
        <f t="shared" si="67"/>
        <v>-499.1063783</v>
      </c>
      <c r="V196" s="168">
        <f t="shared" si="67"/>
        <v>-617.140316</v>
      </c>
      <c r="W196" s="168">
        <f t="shared" si="67"/>
        <v>-687.6089157</v>
      </c>
      <c r="X196" s="168">
        <f t="shared" si="67"/>
        <v>-385.8084149</v>
      </c>
      <c r="Y196" s="168">
        <f t="shared" si="67"/>
        <v>-1022.08278</v>
      </c>
    </row>
    <row r="197" outlineLevel="1">
      <c r="A197" s="142"/>
      <c r="B197" s="95"/>
      <c r="C197" s="95"/>
      <c r="D197" s="95"/>
      <c r="E197" s="95"/>
      <c r="F197" s="95"/>
      <c r="G197" s="95"/>
      <c r="H197" s="95"/>
      <c r="I197" s="95"/>
      <c r="J197" s="95"/>
      <c r="K197" s="95"/>
      <c r="L197" s="95"/>
      <c r="M197" s="95"/>
      <c r="N197" s="95"/>
      <c r="O197" s="95"/>
      <c r="P197" s="95"/>
      <c r="Q197" s="95"/>
      <c r="R197" s="95"/>
      <c r="S197" s="95"/>
      <c r="T197" s="95"/>
      <c r="U197" s="95"/>
      <c r="V197" s="95"/>
      <c r="W197" s="95"/>
      <c r="X197" s="95"/>
      <c r="Y197" s="95"/>
    </row>
    <row r="198" outlineLevel="1">
      <c r="A198" s="142" t="s">
        <v>220</v>
      </c>
      <c r="B198" s="95"/>
      <c r="C198" s="95"/>
      <c r="D198" s="95"/>
      <c r="E198" s="95"/>
      <c r="F198" s="95"/>
      <c r="G198" s="95"/>
      <c r="H198" s="95"/>
      <c r="I198" s="95"/>
      <c r="J198" s="95"/>
      <c r="K198" s="95"/>
      <c r="L198" s="95"/>
      <c r="M198" s="95"/>
      <c r="N198" s="95"/>
      <c r="O198" s="95"/>
      <c r="P198" s="95"/>
      <c r="Q198" s="95"/>
      <c r="R198" s="95"/>
      <c r="S198" s="95"/>
      <c r="T198" s="95"/>
      <c r="U198" s="95"/>
      <c r="V198" s="95"/>
      <c r="W198" s="95"/>
      <c r="X198" s="95"/>
      <c r="Y198" s="95"/>
    </row>
    <row r="199" outlineLevel="1">
      <c r="A199" s="142" t="s">
        <v>611</v>
      </c>
      <c r="B199" s="168">
        <f t="shared" ref="B199:Y199" si="68">B174*B$109</f>
        <v>-889.1416664</v>
      </c>
      <c r="C199" s="168">
        <f t="shared" si="68"/>
        <v>-451.4829447</v>
      </c>
      <c r="D199" s="168">
        <f t="shared" si="68"/>
        <v>-414.4066253</v>
      </c>
      <c r="E199" s="168">
        <f t="shared" si="68"/>
        <v>-650.5980936</v>
      </c>
      <c r="F199" s="168">
        <f t="shared" si="68"/>
        <v>-311.9491952</v>
      </c>
      <c r="G199" s="168">
        <f t="shared" si="68"/>
        <v>-247.439147</v>
      </c>
      <c r="H199" s="168">
        <f t="shared" si="68"/>
        <v>-404.7714206</v>
      </c>
      <c r="I199" s="168">
        <f t="shared" si="68"/>
        <v>-1775.686807</v>
      </c>
      <c r="J199" s="168">
        <f t="shared" si="68"/>
        <v>-3208.932135</v>
      </c>
      <c r="K199" s="168">
        <f t="shared" si="68"/>
        <v>-813.9190571</v>
      </c>
      <c r="L199" s="168">
        <f t="shared" si="68"/>
        <v>-199.0321506</v>
      </c>
      <c r="M199" s="168">
        <f t="shared" si="68"/>
        <v>-388.8379148</v>
      </c>
      <c r="N199" s="168">
        <f t="shared" si="68"/>
        <v>-254.3647901</v>
      </c>
      <c r="O199" s="168">
        <f t="shared" si="68"/>
        <v>-483.1583861</v>
      </c>
      <c r="P199" s="168">
        <f t="shared" si="68"/>
        <v>-1083.41901</v>
      </c>
      <c r="Q199" s="168">
        <f t="shared" si="68"/>
        <v>-117.6787157</v>
      </c>
      <c r="R199" s="168">
        <f t="shared" si="68"/>
        <v>-223.0078555</v>
      </c>
      <c r="S199" s="168">
        <f t="shared" si="68"/>
        <v>-540.0304197</v>
      </c>
      <c r="T199" s="168">
        <f t="shared" si="68"/>
        <v>-173.763629</v>
      </c>
      <c r="U199" s="168">
        <f t="shared" si="68"/>
        <v>-156.8621649</v>
      </c>
      <c r="V199" s="168">
        <f t="shared" si="68"/>
        <v>-193.9585833</v>
      </c>
      <c r="W199" s="168">
        <f t="shared" si="68"/>
        <v>-216.1058801</v>
      </c>
      <c r="X199" s="168">
        <f t="shared" si="68"/>
        <v>-121.2541972</v>
      </c>
      <c r="Y199" s="168">
        <f t="shared" si="68"/>
        <v>-321.226345</v>
      </c>
    </row>
    <row r="200" outlineLevel="1">
      <c r="A200" s="142" t="s">
        <v>440</v>
      </c>
      <c r="B200" s="168">
        <f t="shared" ref="B200:Y200" si="69">B175*B$109</f>
        <v>-782.9050008</v>
      </c>
      <c r="C200" s="168">
        <f t="shared" si="69"/>
        <v>0</v>
      </c>
      <c r="D200" s="168">
        <f t="shared" si="69"/>
        <v>-786.6275719</v>
      </c>
      <c r="E200" s="168">
        <f t="shared" si="69"/>
        <v>-1234.966739</v>
      </c>
      <c r="F200" s="168">
        <f t="shared" si="69"/>
        <v>-631.8858282</v>
      </c>
      <c r="G200" s="168">
        <f t="shared" si="69"/>
        <v>-469.6895357</v>
      </c>
      <c r="H200" s="168">
        <f t="shared" si="69"/>
        <v>0</v>
      </c>
      <c r="I200" s="168">
        <f t="shared" si="69"/>
        <v>-3840.759913</v>
      </c>
      <c r="J200" s="168">
        <f t="shared" si="69"/>
        <v>-10553.85605</v>
      </c>
      <c r="K200" s="168">
        <f t="shared" si="69"/>
        <v>-1544.982953</v>
      </c>
      <c r="L200" s="168">
        <f t="shared" si="69"/>
        <v>-377.803268</v>
      </c>
      <c r="M200" s="168">
        <f t="shared" si="69"/>
        <v>-738.0929891</v>
      </c>
      <c r="N200" s="168">
        <f t="shared" si="69"/>
        <v>-482.8358067</v>
      </c>
      <c r="O200" s="168">
        <f t="shared" si="69"/>
        <v>-917.1323161</v>
      </c>
      <c r="P200" s="168">
        <f t="shared" si="69"/>
        <v>-2056.548359</v>
      </c>
      <c r="Q200" s="168">
        <f t="shared" si="69"/>
        <v>-223.3779982</v>
      </c>
      <c r="R200" s="168">
        <f t="shared" si="69"/>
        <v>-423.3140041</v>
      </c>
      <c r="S200" s="168">
        <f t="shared" si="69"/>
        <v>-1025.086936</v>
      </c>
      <c r="T200" s="168">
        <f t="shared" si="69"/>
        <v>-329.8385046</v>
      </c>
      <c r="U200" s="168">
        <f t="shared" si="69"/>
        <v>-297.7561081</v>
      </c>
      <c r="V200" s="168">
        <f t="shared" si="69"/>
        <v>-368.1726114</v>
      </c>
      <c r="W200" s="168">
        <f t="shared" si="69"/>
        <v>-410.2126592</v>
      </c>
      <c r="X200" s="168">
        <f t="shared" si="69"/>
        <v>-230.164985</v>
      </c>
      <c r="Y200" s="168">
        <f t="shared" si="69"/>
        <v>-609.7525578</v>
      </c>
    </row>
    <row r="201" outlineLevel="1">
      <c r="A201" s="142" t="s">
        <v>336</v>
      </c>
      <c r="B201" s="168">
        <f t="shared" ref="B201:Y201" si="70">B176*B$109</f>
        <v>-2051.951343</v>
      </c>
      <c r="C201" s="168">
        <f t="shared" si="70"/>
        <v>0</v>
      </c>
      <c r="D201" s="168">
        <f t="shared" si="70"/>
        <v>-190.131908</v>
      </c>
      <c r="E201" s="168">
        <f t="shared" si="70"/>
        <v>-298.497778</v>
      </c>
      <c r="F201" s="168">
        <f t="shared" si="70"/>
        <v>0</v>
      </c>
      <c r="G201" s="168">
        <f t="shared" si="70"/>
        <v>-113.5263634</v>
      </c>
      <c r="H201" s="168">
        <f t="shared" si="70"/>
        <v>-185.7112261</v>
      </c>
      <c r="I201" s="168">
        <f t="shared" si="70"/>
        <v>0</v>
      </c>
      <c r="J201" s="168">
        <f t="shared" si="70"/>
        <v>0</v>
      </c>
      <c r="K201" s="168">
        <f t="shared" si="70"/>
        <v>-373.4302827</v>
      </c>
      <c r="L201" s="168">
        <f t="shared" si="70"/>
        <v>-91.31698245</v>
      </c>
      <c r="M201" s="168">
        <f t="shared" si="70"/>
        <v>-178.400851</v>
      </c>
      <c r="N201" s="168">
        <f t="shared" si="70"/>
        <v>-116.7038843</v>
      </c>
      <c r="O201" s="168">
        <f t="shared" si="70"/>
        <v>-221.6755722</v>
      </c>
      <c r="P201" s="168">
        <f t="shared" si="70"/>
        <v>-497.0782582</v>
      </c>
      <c r="Q201" s="168">
        <f t="shared" si="70"/>
        <v>-53.9916048</v>
      </c>
      <c r="R201" s="168">
        <f t="shared" si="70"/>
        <v>-102.3171602</v>
      </c>
      <c r="S201" s="168">
        <f t="shared" si="70"/>
        <v>-247.768756</v>
      </c>
      <c r="T201" s="168">
        <f t="shared" si="70"/>
        <v>-79.72365378</v>
      </c>
      <c r="U201" s="168">
        <f t="shared" si="70"/>
        <v>-71.96917443</v>
      </c>
      <c r="V201" s="168">
        <f t="shared" si="70"/>
        <v>-88.98920347</v>
      </c>
      <c r="W201" s="168">
        <f t="shared" si="70"/>
        <v>-99.15049807</v>
      </c>
      <c r="X201" s="168">
        <f t="shared" si="70"/>
        <v>-55.63205423</v>
      </c>
      <c r="Y201" s="168">
        <f t="shared" si="70"/>
        <v>-147.3803123</v>
      </c>
    </row>
    <row r="202" outlineLevel="1">
      <c r="A202" s="142" t="s">
        <v>337</v>
      </c>
      <c r="B202" s="168">
        <f t="shared" ref="B202:Y202" si="71">B177*B$109</f>
        <v>-4154.14289</v>
      </c>
      <c r="C202" s="168">
        <f t="shared" si="71"/>
        <v>-2270.291058</v>
      </c>
      <c r="D202" s="168">
        <f t="shared" si="71"/>
        <v>-1783.473121</v>
      </c>
      <c r="E202" s="168">
        <f t="shared" si="71"/>
        <v>-2799.965399</v>
      </c>
      <c r="F202" s="168">
        <f t="shared" si="71"/>
        <v>-1923.139143</v>
      </c>
      <c r="G202" s="168">
        <f t="shared" si="71"/>
        <v>-1064.898679</v>
      </c>
      <c r="H202" s="168">
        <f t="shared" si="71"/>
        <v>-1742.006291</v>
      </c>
      <c r="I202" s="168">
        <f t="shared" si="71"/>
        <v>-6298.034734</v>
      </c>
      <c r="J202" s="168">
        <f t="shared" si="71"/>
        <v>-12204.20178</v>
      </c>
      <c r="K202" s="168">
        <f t="shared" si="71"/>
        <v>-3502.846412</v>
      </c>
      <c r="L202" s="168">
        <f t="shared" si="71"/>
        <v>-856.570501</v>
      </c>
      <c r="M202" s="168">
        <f t="shared" si="71"/>
        <v>-1673.433596</v>
      </c>
      <c r="N202" s="168">
        <f t="shared" si="71"/>
        <v>-1094.704424</v>
      </c>
      <c r="O202" s="168">
        <f t="shared" si="71"/>
        <v>-2079.358634</v>
      </c>
      <c r="P202" s="168">
        <f t="shared" si="71"/>
        <v>-4662.68772</v>
      </c>
      <c r="Q202" s="168">
        <f t="shared" si="71"/>
        <v>-506.4514259</v>
      </c>
      <c r="R202" s="168">
        <f t="shared" si="71"/>
        <v>-959.7542406</v>
      </c>
      <c r="S202" s="168">
        <f t="shared" si="71"/>
        <v>-2324.117615</v>
      </c>
      <c r="T202" s="168">
        <f t="shared" si="71"/>
        <v>-747.8228938</v>
      </c>
      <c r="U202" s="168">
        <f t="shared" si="71"/>
        <v>-675.0844163</v>
      </c>
      <c r="V202" s="168">
        <f t="shared" si="71"/>
        <v>-834.7354956</v>
      </c>
      <c r="W202" s="168">
        <f t="shared" si="71"/>
        <v>-930.0503535</v>
      </c>
      <c r="X202" s="168">
        <f t="shared" si="71"/>
        <v>-521.8391507</v>
      </c>
      <c r="Y202" s="168">
        <f t="shared" si="71"/>
        <v>-1382.455098</v>
      </c>
    </row>
    <row r="203" outlineLevel="1">
      <c r="A203" s="142"/>
      <c r="B203" s="89"/>
      <c r="C203" s="89"/>
      <c r="D203" s="89"/>
      <c r="E203" s="89"/>
      <c r="F203" s="89"/>
      <c r="G203" s="89"/>
      <c r="H203" s="89"/>
      <c r="I203" s="89"/>
      <c r="J203" s="89"/>
      <c r="K203" s="89"/>
      <c r="L203" s="89"/>
      <c r="M203" s="89"/>
      <c r="N203" s="89"/>
      <c r="O203" s="89"/>
      <c r="P203" s="89"/>
      <c r="Q203" s="89"/>
      <c r="R203" s="89"/>
      <c r="S203" s="89"/>
      <c r="T203" s="89"/>
      <c r="U203" s="89"/>
      <c r="V203" s="89"/>
      <c r="W203" s="89"/>
      <c r="X203" s="89"/>
      <c r="Y203" s="89"/>
    </row>
    <row r="204" outlineLevel="1">
      <c r="A204" s="560" t="s">
        <v>613</v>
      </c>
      <c r="B204" s="95"/>
      <c r="C204" s="95"/>
      <c r="D204" s="95"/>
      <c r="E204" s="95"/>
      <c r="F204" s="95"/>
      <c r="G204" s="95"/>
      <c r="H204" s="95"/>
      <c r="I204" s="95"/>
      <c r="J204" s="95"/>
      <c r="K204" s="95"/>
      <c r="L204" s="95"/>
      <c r="M204" s="95"/>
      <c r="N204" s="95"/>
      <c r="O204" s="95"/>
      <c r="P204" s="95"/>
      <c r="Q204" s="95"/>
      <c r="R204" s="95"/>
      <c r="S204" s="95"/>
      <c r="T204" s="95"/>
      <c r="U204" s="95"/>
      <c r="V204" s="95"/>
      <c r="W204" s="95"/>
      <c r="X204" s="95"/>
      <c r="Y204" s="95"/>
    </row>
    <row r="205" outlineLevel="1">
      <c r="A205" s="142" t="s">
        <v>217</v>
      </c>
      <c r="B205" s="95"/>
      <c r="C205" s="95"/>
      <c r="D205" s="95"/>
      <c r="E205" s="95"/>
      <c r="F205" s="95"/>
      <c r="G205" s="95"/>
      <c r="H205" s="95"/>
      <c r="I205" s="95"/>
      <c r="J205" s="95"/>
      <c r="K205" s="95"/>
      <c r="L205" s="95"/>
      <c r="M205" s="95"/>
      <c r="N205" s="95"/>
      <c r="O205" s="95"/>
      <c r="P205" s="95"/>
      <c r="Q205" s="95"/>
      <c r="R205" s="95"/>
      <c r="S205" s="95"/>
      <c r="T205" s="95"/>
      <c r="U205" s="95"/>
      <c r="V205" s="95"/>
      <c r="W205" s="95"/>
      <c r="X205" s="95"/>
      <c r="Y205" s="95"/>
    </row>
    <row r="206" outlineLevel="1">
      <c r="A206" s="142" t="s">
        <v>611</v>
      </c>
      <c r="B206" s="168">
        <f t="shared" ref="B206:Y206" si="72">-B156*B137</f>
        <v>0</v>
      </c>
      <c r="C206" s="168">
        <f t="shared" si="72"/>
        <v>0</v>
      </c>
      <c r="D206" s="168">
        <f t="shared" si="72"/>
        <v>0</v>
      </c>
      <c r="E206" s="168">
        <f t="shared" si="72"/>
        <v>0</v>
      </c>
      <c r="F206" s="168">
        <f t="shared" si="72"/>
        <v>0</v>
      </c>
      <c r="G206" s="168">
        <f t="shared" si="72"/>
        <v>0</v>
      </c>
      <c r="H206" s="168">
        <f t="shared" si="72"/>
        <v>0</v>
      </c>
      <c r="I206" s="168">
        <f t="shared" si="72"/>
        <v>0</v>
      </c>
      <c r="J206" s="168">
        <f t="shared" si="72"/>
        <v>0</v>
      </c>
      <c r="K206" s="168">
        <f t="shared" si="72"/>
        <v>0</v>
      </c>
      <c r="L206" s="168">
        <f t="shared" si="72"/>
        <v>0</v>
      </c>
      <c r="M206" s="168">
        <f t="shared" si="72"/>
        <v>0</v>
      </c>
      <c r="N206" s="168">
        <f t="shared" si="72"/>
        <v>0</v>
      </c>
      <c r="O206" s="168">
        <f t="shared" si="72"/>
        <v>0</v>
      </c>
      <c r="P206" s="168">
        <f t="shared" si="72"/>
        <v>0</v>
      </c>
      <c r="Q206" s="168">
        <f t="shared" si="72"/>
        <v>0</v>
      </c>
      <c r="R206" s="168">
        <f t="shared" si="72"/>
        <v>0</v>
      </c>
      <c r="S206" s="168">
        <f t="shared" si="72"/>
        <v>0</v>
      </c>
      <c r="T206" s="168">
        <f t="shared" si="72"/>
        <v>0</v>
      </c>
      <c r="U206" s="168">
        <f t="shared" si="72"/>
        <v>0</v>
      </c>
      <c r="V206" s="168">
        <f t="shared" si="72"/>
        <v>0</v>
      </c>
      <c r="W206" s="168">
        <f t="shared" si="72"/>
        <v>0</v>
      </c>
      <c r="X206" s="168">
        <f t="shared" si="72"/>
        <v>0</v>
      </c>
      <c r="Y206" s="168">
        <f t="shared" si="72"/>
        <v>0</v>
      </c>
    </row>
    <row r="207" outlineLevel="1">
      <c r="A207" s="142" t="s">
        <v>440</v>
      </c>
      <c r="B207" s="168">
        <f t="shared" ref="B207:Y207" si="73">-B157*B138</f>
        <v>0</v>
      </c>
      <c r="C207" s="168">
        <f t="shared" si="73"/>
        <v>0</v>
      </c>
      <c r="D207" s="168">
        <f t="shared" si="73"/>
        <v>0</v>
      </c>
      <c r="E207" s="168">
        <f t="shared" si="73"/>
        <v>0</v>
      </c>
      <c r="F207" s="168">
        <f t="shared" si="73"/>
        <v>0</v>
      </c>
      <c r="G207" s="168">
        <f t="shared" si="73"/>
        <v>0</v>
      </c>
      <c r="H207" s="168">
        <f t="shared" si="73"/>
        <v>0</v>
      </c>
      <c r="I207" s="168">
        <f t="shared" si="73"/>
        <v>0</v>
      </c>
      <c r="J207" s="168">
        <f t="shared" si="73"/>
        <v>0</v>
      </c>
      <c r="K207" s="168">
        <f t="shared" si="73"/>
        <v>0</v>
      </c>
      <c r="L207" s="168">
        <f t="shared" si="73"/>
        <v>0</v>
      </c>
      <c r="M207" s="168">
        <f t="shared" si="73"/>
        <v>0</v>
      </c>
      <c r="N207" s="168">
        <f t="shared" si="73"/>
        <v>0</v>
      </c>
      <c r="O207" s="168">
        <f t="shared" si="73"/>
        <v>0</v>
      </c>
      <c r="P207" s="168">
        <f t="shared" si="73"/>
        <v>0</v>
      </c>
      <c r="Q207" s="168">
        <f t="shared" si="73"/>
        <v>0</v>
      </c>
      <c r="R207" s="168">
        <f t="shared" si="73"/>
        <v>0</v>
      </c>
      <c r="S207" s="168">
        <f t="shared" si="73"/>
        <v>0</v>
      </c>
      <c r="T207" s="168">
        <f t="shared" si="73"/>
        <v>0</v>
      </c>
      <c r="U207" s="168">
        <f t="shared" si="73"/>
        <v>0</v>
      </c>
      <c r="V207" s="168">
        <f t="shared" si="73"/>
        <v>0</v>
      </c>
      <c r="W207" s="168">
        <f t="shared" si="73"/>
        <v>0</v>
      </c>
      <c r="X207" s="168">
        <f t="shared" si="73"/>
        <v>0</v>
      </c>
      <c r="Y207" s="168">
        <f t="shared" si="73"/>
        <v>0</v>
      </c>
    </row>
    <row r="208" outlineLevel="1">
      <c r="A208" s="142" t="s">
        <v>336</v>
      </c>
      <c r="B208" s="168">
        <f t="shared" ref="B208:Y208" si="74">-B158*B139</f>
        <v>-507.1038557</v>
      </c>
      <c r="C208" s="168">
        <f t="shared" si="74"/>
        <v>-507.1038557</v>
      </c>
      <c r="D208" s="168">
        <f t="shared" si="74"/>
        <v>-507.1038557</v>
      </c>
      <c r="E208" s="168">
        <f t="shared" si="74"/>
        <v>-507.1038557</v>
      </c>
      <c r="F208" s="168">
        <f t="shared" si="74"/>
        <v>-507.1038557</v>
      </c>
      <c r="G208" s="168">
        <f t="shared" si="74"/>
        <v>-507.1038557</v>
      </c>
      <c r="H208" s="168">
        <f t="shared" si="74"/>
        <v>-507.1038557</v>
      </c>
      <c r="I208" s="168">
        <f t="shared" si="74"/>
        <v>-507.1038557</v>
      </c>
      <c r="J208" s="168">
        <f t="shared" si="74"/>
        <v>-507.1038557</v>
      </c>
      <c r="K208" s="168">
        <f t="shared" si="74"/>
        <v>-507.1038557</v>
      </c>
      <c r="L208" s="168">
        <f t="shared" si="74"/>
        <v>-507.1038557</v>
      </c>
      <c r="M208" s="168">
        <f t="shared" si="74"/>
        <v>-507.1038557</v>
      </c>
      <c r="N208" s="168">
        <f t="shared" si="74"/>
        <v>-507.1038557</v>
      </c>
      <c r="O208" s="168">
        <f t="shared" si="74"/>
        <v>-507.1038557</v>
      </c>
      <c r="P208" s="168">
        <f t="shared" si="74"/>
        <v>-507.1038557</v>
      </c>
      <c r="Q208" s="168">
        <f t="shared" si="74"/>
        <v>-507.1038557</v>
      </c>
      <c r="R208" s="168">
        <f t="shared" si="74"/>
        <v>-507.1038557</v>
      </c>
      <c r="S208" s="168">
        <f t="shared" si="74"/>
        <v>-507.1038557</v>
      </c>
      <c r="T208" s="168">
        <f t="shared" si="74"/>
        <v>-507.1038557</v>
      </c>
      <c r="U208" s="168">
        <f t="shared" si="74"/>
        <v>-507.1038557</v>
      </c>
      <c r="V208" s="168">
        <f t="shared" si="74"/>
        <v>-507.1038557</v>
      </c>
      <c r="W208" s="168">
        <f t="shared" si="74"/>
        <v>-507.1038557</v>
      </c>
      <c r="X208" s="168">
        <f t="shared" si="74"/>
        <v>-507.1038557</v>
      </c>
      <c r="Y208" s="168">
        <f t="shared" si="74"/>
        <v>-507.1038557</v>
      </c>
    </row>
    <row r="209" outlineLevel="1">
      <c r="A209" s="142" t="s">
        <v>337</v>
      </c>
      <c r="B209" s="168">
        <f t="shared" ref="B209:Y209" si="75">-B159*B140</f>
        <v>0</v>
      </c>
      <c r="C209" s="168">
        <f t="shared" si="75"/>
        <v>0</v>
      </c>
      <c r="D209" s="168">
        <f t="shared" si="75"/>
        <v>0</v>
      </c>
      <c r="E209" s="168">
        <f t="shared" si="75"/>
        <v>0</v>
      </c>
      <c r="F209" s="168">
        <f t="shared" si="75"/>
        <v>0</v>
      </c>
      <c r="G209" s="168">
        <f t="shared" si="75"/>
        <v>0</v>
      </c>
      <c r="H209" s="168">
        <f t="shared" si="75"/>
        <v>0</v>
      </c>
      <c r="I209" s="168">
        <f t="shared" si="75"/>
        <v>0</v>
      </c>
      <c r="J209" s="168">
        <f t="shared" si="75"/>
        <v>0</v>
      </c>
      <c r="K209" s="168">
        <f t="shared" si="75"/>
        <v>0</v>
      </c>
      <c r="L209" s="168">
        <f t="shared" si="75"/>
        <v>0</v>
      </c>
      <c r="M209" s="168">
        <f t="shared" si="75"/>
        <v>0</v>
      </c>
      <c r="N209" s="168">
        <f t="shared" si="75"/>
        <v>0</v>
      </c>
      <c r="O209" s="168">
        <f t="shared" si="75"/>
        <v>0</v>
      </c>
      <c r="P209" s="168">
        <f t="shared" si="75"/>
        <v>0</v>
      </c>
      <c r="Q209" s="168">
        <f t="shared" si="75"/>
        <v>0</v>
      </c>
      <c r="R209" s="168">
        <f t="shared" si="75"/>
        <v>0</v>
      </c>
      <c r="S209" s="168">
        <f t="shared" si="75"/>
        <v>0</v>
      </c>
      <c r="T209" s="168">
        <f t="shared" si="75"/>
        <v>0</v>
      </c>
      <c r="U209" s="168">
        <f t="shared" si="75"/>
        <v>0</v>
      </c>
      <c r="V209" s="168">
        <f t="shared" si="75"/>
        <v>0</v>
      </c>
      <c r="W209" s="168">
        <f t="shared" si="75"/>
        <v>0</v>
      </c>
      <c r="X209" s="168">
        <f t="shared" si="75"/>
        <v>0</v>
      </c>
      <c r="Y209" s="168">
        <f t="shared" si="75"/>
        <v>0</v>
      </c>
    </row>
    <row r="210" outlineLevel="1">
      <c r="A210" s="142"/>
      <c r="B210" s="84"/>
      <c r="C210" s="95"/>
      <c r="D210" s="95"/>
      <c r="E210" s="95"/>
      <c r="F210" s="95"/>
      <c r="G210" s="95"/>
      <c r="H210" s="95"/>
      <c r="I210" s="95"/>
      <c r="J210" s="95"/>
      <c r="K210" s="95"/>
      <c r="L210" s="95"/>
      <c r="M210" s="95"/>
      <c r="N210" s="95"/>
      <c r="O210" s="95"/>
      <c r="P210" s="95"/>
      <c r="Q210" s="95"/>
      <c r="R210" s="95"/>
      <c r="S210" s="95"/>
      <c r="T210" s="95"/>
      <c r="U210" s="95"/>
      <c r="V210" s="95"/>
      <c r="W210" s="95"/>
      <c r="X210" s="95"/>
      <c r="Y210" s="95"/>
    </row>
    <row r="211" outlineLevel="1">
      <c r="A211" s="142" t="s">
        <v>608</v>
      </c>
      <c r="B211" s="95"/>
      <c r="C211" s="95"/>
      <c r="D211" s="95"/>
      <c r="E211" s="95"/>
      <c r="F211" s="95"/>
      <c r="G211" s="95"/>
      <c r="H211" s="95"/>
      <c r="I211" s="95"/>
      <c r="J211" s="95"/>
      <c r="K211" s="95"/>
      <c r="L211" s="95"/>
      <c r="M211" s="95"/>
      <c r="N211" s="95"/>
      <c r="O211" s="95"/>
      <c r="P211" s="95"/>
      <c r="Q211" s="95"/>
      <c r="R211" s="95"/>
      <c r="S211" s="95"/>
      <c r="T211" s="95"/>
      <c r="U211" s="95"/>
      <c r="V211" s="95"/>
      <c r="W211" s="95"/>
      <c r="X211" s="95"/>
      <c r="Y211" s="95"/>
    </row>
    <row r="212" outlineLevel="1">
      <c r="A212" s="142" t="s">
        <v>611</v>
      </c>
      <c r="B212" s="168">
        <f t="shared" ref="B212:Y212" si="76">-B162*B137</f>
        <v>0</v>
      </c>
      <c r="C212" s="168">
        <f t="shared" si="76"/>
        <v>0</v>
      </c>
      <c r="D212" s="168">
        <f t="shared" si="76"/>
        <v>0</v>
      </c>
      <c r="E212" s="168">
        <f t="shared" si="76"/>
        <v>0</v>
      </c>
      <c r="F212" s="168">
        <f t="shared" si="76"/>
        <v>0</v>
      </c>
      <c r="G212" s="168">
        <f t="shared" si="76"/>
        <v>0</v>
      </c>
      <c r="H212" s="168">
        <f t="shared" si="76"/>
        <v>0</v>
      </c>
      <c r="I212" s="168">
        <f t="shared" si="76"/>
        <v>0</v>
      </c>
      <c r="J212" s="168">
        <f t="shared" si="76"/>
        <v>0</v>
      </c>
      <c r="K212" s="168">
        <f t="shared" si="76"/>
        <v>0</v>
      </c>
      <c r="L212" s="168">
        <f t="shared" si="76"/>
        <v>0</v>
      </c>
      <c r="M212" s="168">
        <f t="shared" si="76"/>
        <v>0</v>
      </c>
      <c r="N212" s="168">
        <f t="shared" si="76"/>
        <v>0</v>
      </c>
      <c r="O212" s="168">
        <f t="shared" si="76"/>
        <v>0</v>
      </c>
      <c r="P212" s="168">
        <f t="shared" si="76"/>
        <v>0</v>
      </c>
      <c r="Q212" s="168">
        <f t="shared" si="76"/>
        <v>0</v>
      </c>
      <c r="R212" s="168">
        <f t="shared" si="76"/>
        <v>0</v>
      </c>
      <c r="S212" s="168">
        <f t="shared" si="76"/>
        <v>0</v>
      </c>
      <c r="T212" s="168">
        <f t="shared" si="76"/>
        <v>0</v>
      </c>
      <c r="U212" s="168">
        <f t="shared" si="76"/>
        <v>0</v>
      </c>
      <c r="V212" s="168">
        <f t="shared" si="76"/>
        <v>0</v>
      </c>
      <c r="W212" s="168">
        <f t="shared" si="76"/>
        <v>0</v>
      </c>
      <c r="X212" s="168">
        <f t="shared" si="76"/>
        <v>0</v>
      </c>
      <c r="Y212" s="168">
        <f t="shared" si="76"/>
        <v>0</v>
      </c>
    </row>
    <row r="213" outlineLevel="1">
      <c r="A213" s="142" t="s">
        <v>440</v>
      </c>
      <c r="B213" s="168">
        <f t="shared" ref="B213:Y213" si="77">-B163*B138</f>
        <v>-1109.007961</v>
      </c>
      <c r="C213" s="168">
        <f t="shared" si="77"/>
        <v>-1109.007961</v>
      </c>
      <c r="D213" s="168">
        <f t="shared" si="77"/>
        <v>-1109.007961</v>
      </c>
      <c r="E213" s="168">
        <f t="shared" si="77"/>
        <v>-1109.007961</v>
      </c>
      <c r="F213" s="168">
        <f t="shared" si="77"/>
        <v>-1109.007961</v>
      </c>
      <c r="G213" s="168">
        <f t="shared" si="77"/>
        <v>-563.9073842</v>
      </c>
      <c r="H213" s="168">
        <f t="shared" si="77"/>
        <v>-563.9073842</v>
      </c>
      <c r="I213" s="168">
        <f t="shared" si="77"/>
        <v>-563.9073842</v>
      </c>
      <c r="J213" s="168">
        <f t="shared" si="77"/>
        <v>-563.9073842</v>
      </c>
      <c r="K213" s="168">
        <f t="shared" si="77"/>
        <v>-563.9073842</v>
      </c>
      <c r="L213" s="168">
        <f t="shared" si="77"/>
        <v>-563.9073842</v>
      </c>
      <c r="M213" s="168">
        <f t="shared" si="77"/>
        <v>-563.9073842</v>
      </c>
      <c r="N213" s="168">
        <f t="shared" si="77"/>
        <v>-563.9073842</v>
      </c>
      <c r="O213" s="168">
        <f t="shared" si="77"/>
        <v>-563.9073842</v>
      </c>
      <c r="P213" s="168">
        <f t="shared" si="77"/>
        <v>-563.9073842</v>
      </c>
      <c r="Q213" s="168">
        <f t="shared" si="77"/>
        <v>-563.9073842</v>
      </c>
      <c r="R213" s="168">
        <f t="shared" si="77"/>
        <v>-563.9073842</v>
      </c>
      <c r="S213" s="168">
        <f t="shared" si="77"/>
        <v>-563.9073842</v>
      </c>
      <c r="T213" s="168">
        <f t="shared" si="77"/>
        <v>-563.9073842</v>
      </c>
      <c r="U213" s="168">
        <f t="shared" si="77"/>
        <v>-563.9073842</v>
      </c>
      <c r="V213" s="168">
        <f t="shared" si="77"/>
        <v>-563.9073842</v>
      </c>
      <c r="W213" s="168">
        <f t="shared" si="77"/>
        <v>-563.9073842</v>
      </c>
      <c r="X213" s="168">
        <f t="shared" si="77"/>
        <v>-563.9073842</v>
      </c>
      <c r="Y213" s="168">
        <f t="shared" si="77"/>
        <v>-563.9073842</v>
      </c>
    </row>
    <row r="214" outlineLevel="1">
      <c r="A214" s="142" t="s">
        <v>336</v>
      </c>
      <c r="B214" s="168">
        <f t="shared" ref="B214:Y214" si="78">-B164*B139</f>
        <v>0</v>
      </c>
      <c r="C214" s="168">
        <f t="shared" si="78"/>
        <v>0</v>
      </c>
      <c r="D214" s="168">
        <f t="shared" si="78"/>
        <v>0</v>
      </c>
      <c r="E214" s="168">
        <f t="shared" si="78"/>
        <v>0</v>
      </c>
      <c r="F214" s="168">
        <f t="shared" si="78"/>
        <v>0</v>
      </c>
      <c r="G214" s="168">
        <f t="shared" si="78"/>
        <v>0</v>
      </c>
      <c r="H214" s="168">
        <f t="shared" si="78"/>
        <v>0</v>
      </c>
      <c r="I214" s="168">
        <f t="shared" si="78"/>
        <v>0</v>
      </c>
      <c r="J214" s="168">
        <f t="shared" si="78"/>
        <v>0</v>
      </c>
      <c r="K214" s="168">
        <f t="shared" si="78"/>
        <v>0</v>
      </c>
      <c r="L214" s="168">
        <f t="shared" si="78"/>
        <v>0</v>
      </c>
      <c r="M214" s="168">
        <f t="shared" si="78"/>
        <v>0</v>
      </c>
      <c r="N214" s="168">
        <f t="shared" si="78"/>
        <v>0</v>
      </c>
      <c r="O214" s="168">
        <f t="shared" si="78"/>
        <v>0</v>
      </c>
      <c r="P214" s="168">
        <f t="shared" si="78"/>
        <v>0</v>
      </c>
      <c r="Q214" s="168">
        <f t="shared" si="78"/>
        <v>0</v>
      </c>
      <c r="R214" s="168">
        <f t="shared" si="78"/>
        <v>0</v>
      </c>
      <c r="S214" s="168">
        <f t="shared" si="78"/>
        <v>0</v>
      </c>
      <c r="T214" s="168">
        <f t="shared" si="78"/>
        <v>0</v>
      </c>
      <c r="U214" s="168">
        <f t="shared" si="78"/>
        <v>0</v>
      </c>
      <c r="V214" s="168">
        <f t="shared" si="78"/>
        <v>0</v>
      </c>
      <c r="W214" s="168">
        <f t="shared" si="78"/>
        <v>0</v>
      </c>
      <c r="X214" s="168">
        <f t="shared" si="78"/>
        <v>0</v>
      </c>
      <c r="Y214" s="168">
        <f t="shared" si="78"/>
        <v>0</v>
      </c>
    </row>
    <row r="215" outlineLevel="1">
      <c r="A215" s="142" t="s">
        <v>337</v>
      </c>
      <c r="B215" s="168">
        <f t="shared" ref="B215:Y215" si="79">-B165*B140</f>
        <v>0</v>
      </c>
      <c r="C215" s="168">
        <f t="shared" si="79"/>
        <v>0</v>
      </c>
      <c r="D215" s="168">
        <f t="shared" si="79"/>
        <v>0</v>
      </c>
      <c r="E215" s="168">
        <f t="shared" si="79"/>
        <v>0</v>
      </c>
      <c r="F215" s="168">
        <f t="shared" si="79"/>
        <v>0</v>
      </c>
      <c r="G215" s="168">
        <f t="shared" si="79"/>
        <v>0</v>
      </c>
      <c r="H215" s="168">
        <f t="shared" si="79"/>
        <v>0</v>
      </c>
      <c r="I215" s="168">
        <f t="shared" si="79"/>
        <v>0</v>
      </c>
      <c r="J215" s="168">
        <f t="shared" si="79"/>
        <v>0</v>
      </c>
      <c r="K215" s="168">
        <f t="shared" si="79"/>
        <v>0</v>
      </c>
      <c r="L215" s="168">
        <f t="shared" si="79"/>
        <v>0</v>
      </c>
      <c r="M215" s="168">
        <f t="shared" si="79"/>
        <v>0</v>
      </c>
      <c r="N215" s="168">
        <f t="shared" si="79"/>
        <v>0</v>
      </c>
      <c r="O215" s="168">
        <f t="shared" si="79"/>
        <v>0</v>
      </c>
      <c r="P215" s="168">
        <f t="shared" si="79"/>
        <v>0</v>
      </c>
      <c r="Q215" s="168">
        <f t="shared" si="79"/>
        <v>0</v>
      </c>
      <c r="R215" s="168">
        <f t="shared" si="79"/>
        <v>0</v>
      </c>
      <c r="S215" s="168">
        <f t="shared" si="79"/>
        <v>0</v>
      </c>
      <c r="T215" s="168">
        <f t="shared" si="79"/>
        <v>0</v>
      </c>
      <c r="U215" s="168">
        <f t="shared" si="79"/>
        <v>0</v>
      </c>
      <c r="V215" s="168">
        <f t="shared" si="79"/>
        <v>0</v>
      </c>
      <c r="W215" s="168">
        <f t="shared" si="79"/>
        <v>0</v>
      </c>
      <c r="X215" s="168">
        <f t="shared" si="79"/>
        <v>0</v>
      </c>
      <c r="Y215" s="168">
        <f t="shared" si="79"/>
        <v>0</v>
      </c>
    </row>
    <row r="216" outlineLevel="1">
      <c r="A216" s="142"/>
      <c r="B216" s="84"/>
      <c r="C216" s="84"/>
      <c r="D216" s="84"/>
      <c r="E216" s="84"/>
      <c r="F216" s="84"/>
      <c r="G216" s="84"/>
      <c r="H216" s="84"/>
      <c r="I216" s="84"/>
      <c r="J216" s="84"/>
      <c r="K216" s="84"/>
      <c r="L216" s="84"/>
      <c r="M216" s="84"/>
      <c r="N216" s="84"/>
      <c r="O216" s="84"/>
      <c r="P216" s="84"/>
      <c r="Q216" s="84"/>
      <c r="R216" s="84"/>
      <c r="S216" s="84"/>
      <c r="T216" s="84"/>
      <c r="U216" s="84"/>
      <c r="V216" s="84"/>
      <c r="W216" s="84"/>
      <c r="X216" s="84"/>
      <c r="Y216" s="84"/>
    </row>
    <row r="217" outlineLevel="1">
      <c r="A217" s="234" t="s">
        <v>609</v>
      </c>
      <c r="B217" s="95"/>
      <c r="C217" s="95"/>
      <c r="D217" s="95"/>
      <c r="E217" s="95"/>
      <c r="F217" s="95"/>
      <c r="G217" s="95"/>
      <c r="H217" s="95"/>
      <c r="I217" s="95"/>
      <c r="J217" s="95"/>
      <c r="K217" s="95"/>
      <c r="L217" s="95"/>
      <c r="M217" s="95"/>
      <c r="N217" s="95"/>
      <c r="O217" s="95"/>
      <c r="P217" s="95"/>
      <c r="Q217" s="95"/>
      <c r="R217" s="95"/>
      <c r="S217" s="95"/>
      <c r="T217" s="95"/>
      <c r="U217" s="95"/>
      <c r="V217" s="95"/>
      <c r="W217" s="95"/>
      <c r="X217" s="95"/>
      <c r="Y217" s="95"/>
    </row>
    <row r="218" outlineLevel="1">
      <c r="A218" s="142" t="s">
        <v>611</v>
      </c>
      <c r="B218" s="168">
        <f t="shared" ref="B218:Y218" si="80">-B168*B137</f>
        <v>56.95156918</v>
      </c>
      <c r="C218" s="168">
        <f t="shared" si="80"/>
        <v>52.53854141</v>
      </c>
      <c r="D218" s="168">
        <f t="shared" si="80"/>
        <v>62.3659045</v>
      </c>
      <c r="E218" s="168">
        <f t="shared" si="80"/>
        <v>62.3659045</v>
      </c>
      <c r="F218" s="168">
        <f t="shared" si="80"/>
        <v>42.1304517</v>
      </c>
      <c r="G218" s="168">
        <f t="shared" si="80"/>
        <v>62.3659045</v>
      </c>
      <c r="H218" s="168">
        <f t="shared" si="80"/>
        <v>62.3659045</v>
      </c>
      <c r="I218" s="168">
        <f t="shared" si="80"/>
        <v>77.50340685</v>
      </c>
      <c r="J218" s="168">
        <f t="shared" si="80"/>
        <v>71.61523884</v>
      </c>
      <c r="K218" s="168">
        <f t="shared" si="80"/>
        <v>62.3659045</v>
      </c>
      <c r="L218" s="168">
        <f t="shared" si="80"/>
        <v>62.3659045</v>
      </c>
      <c r="M218" s="168">
        <f t="shared" si="80"/>
        <v>62.3659045</v>
      </c>
      <c r="N218" s="168">
        <f t="shared" si="80"/>
        <v>62.3659045</v>
      </c>
      <c r="O218" s="168">
        <f t="shared" si="80"/>
        <v>62.3659045</v>
      </c>
      <c r="P218" s="168">
        <f t="shared" si="80"/>
        <v>62.3659045</v>
      </c>
      <c r="Q218" s="168">
        <f t="shared" si="80"/>
        <v>62.3659045</v>
      </c>
      <c r="R218" s="168">
        <f t="shared" si="80"/>
        <v>62.3659045</v>
      </c>
      <c r="S218" s="168">
        <f t="shared" si="80"/>
        <v>62.3659045</v>
      </c>
      <c r="T218" s="168">
        <f t="shared" si="80"/>
        <v>62.3659045</v>
      </c>
      <c r="U218" s="168">
        <f t="shared" si="80"/>
        <v>62.3659045</v>
      </c>
      <c r="V218" s="168">
        <f t="shared" si="80"/>
        <v>62.3659045</v>
      </c>
      <c r="W218" s="168">
        <f t="shared" si="80"/>
        <v>62.3659045</v>
      </c>
      <c r="X218" s="168">
        <f t="shared" si="80"/>
        <v>62.3659045</v>
      </c>
      <c r="Y218" s="168">
        <f t="shared" si="80"/>
        <v>62.3659045</v>
      </c>
    </row>
    <row r="219" outlineLevel="1">
      <c r="A219" s="142" t="s">
        <v>440</v>
      </c>
      <c r="B219" s="168">
        <f t="shared" ref="B219:Y219" si="81">-B169*B138</f>
        <v>0</v>
      </c>
      <c r="C219" s="168">
        <f t="shared" si="81"/>
        <v>0</v>
      </c>
      <c r="D219" s="168">
        <f t="shared" si="81"/>
        <v>0</v>
      </c>
      <c r="E219" s="168">
        <f t="shared" si="81"/>
        <v>0</v>
      </c>
      <c r="F219" s="168">
        <f t="shared" si="81"/>
        <v>0</v>
      </c>
      <c r="G219" s="168">
        <f t="shared" si="81"/>
        <v>0</v>
      </c>
      <c r="H219" s="168">
        <f t="shared" si="81"/>
        <v>0</v>
      </c>
      <c r="I219" s="168">
        <f t="shared" si="81"/>
        <v>0</v>
      </c>
      <c r="J219" s="168">
        <f t="shared" si="81"/>
        <v>0</v>
      </c>
      <c r="K219" s="168">
        <f t="shared" si="81"/>
        <v>0</v>
      </c>
      <c r="L219" s="168">
        <f t="shared" si="81"/>
        <v>0</v>
      </c>
      <c r="M219" s="168">
        <f t="shared" si="81"/>
        <v>0</v>
      </c>
      <c r="N219" s="168">
        <f t="shared" si="81"/>
        <v>0</v>
      </c>
      <c r="O219" s="168">
        <f t="shared" si="81"/>
        <v>0</v>
      </c>
      <c r="P219" s="168">
        <f t="shared" si="81"/>
        <v>0</v>
      </c>
      <c r="Q219" s="168">
        <f t="shared" si="81"/>
        <v>0</v>
      </c>
      <c r="R219" s="168">
        <f t="shared" si="81"/>
        <v>0</v>
      </c>
      <c r="S219" s="168">
        <f t="shared" si="81"/>
        <v>0</v>
      </c>
      <c r="T219" s="168">
        <f t="shared" si="81"/>
        <v>0</v>
      </c>
      <c r="U219" s="168">
        <f t="shared" si="81"/>
        <v>0</v>
      </c>
      <c r="V219" s="168">
        <f t="shared" si="81"/>
        <v>0</v>
      </c>
      <c r="W219" s="168">
        <f t="shared" si="81"/>
        <v>0</v>
      </c>
      <c r="X219" s="168">
        <f t="shared" si="81"/>
        <v>0</v>
      </c>
      <c r="Y219" s="168">
        <f t="shared" si="81"/>
        <v>0</v>
      </c>
    </row>
    <row r="220" outlineLevel="1">
      <c r="A220" s="142" t="s">
        <v>336</v>
      </c>
      <c r="B220" s="168">
        <f t="shared" ref="B220:Y220" si="82">-B170*B139</f>
        <v>0</v>
      </c>
      <c r="C220" s="168">
        <f t="shared" si="82"/>
        <v>0</v>
      </c>
      <c r="D220" s="168">
        <f t="shared" si="82"/>
        <v>0</v>
      </c>
      <c r="E220" s="168">
        <f t="shared" si="82"/>
        <v>0</v>
      </c>
      <c r="F220" s="168">
        <f t="shared" si="82"/>
        <v>0</v>
      </c>
      <c r="G220" s="168">
        <f t="shared" si="82"/>
        <v>0</v>
      </c>
      <c r="H220" s="168">
        <f t="shared" si="82"/>
        <v>0</v>
      </c>
      <c r="I220" s="168">
        <f t="shared" si="82"/>
        <v>0</v>
      </c>
      <c r="J220" s="168">
        <f t="shared" si="82"/>
        <v>0</v>
      </c>
      <c r="K220" s="168">
        <f t="shared" si="82"/>
        <v>0</v>
      </c>
      <c r="L220" s="168">
        <f t="shared" si="82"/>
        <v>0</v>
      </c>
      <c r="M220" s="168">
        <f t="shared" si="82"/>
        <v>0</v>
      </c>
      <c r="N220" s="168">
        <f t="shared" si="82"/>
        <v>0</v>
      </c>
      <c r="O220" s="168">
        <f t="shared" si="82"/>
        <v>0</v>
      </c>
      <c r="P220" s="168">
        <f t="shared" si="82"/>
        <v>0</v>
      </c>
      <c r="Q220" s="168">
        <f t="shared" si="82"/>
        <v>0</v>
      </c>
      <c r="R220" s="168">
        <f t="shared" si="82"/>
        <v>0</v>
      </c>
      <c r="S220" s="168">
        <f t="shared" si="82"/>
        <v>0</v>
      </c>
      <c r="T220" s="168">
        <f t="shared" si="82"/>
        <v>0</v>
      </c>
      <c r="U220" s="168">
        <f t="shared" si="82"/>
        <v>0</v>
      </c>
      <c r="V220" s="168">
        <f t="shared" si="82"/>
        <v>0</v>
      </c>
      <c r="W220" s="168">
        <f t="shared" si="82"/>
        <v>0</v>
      </c>
      <c r="X220" s="168">
        <f t="shared" si="82"/>
        <v>0</v>
      </c>
      <c r="Y220" s="168">
        <f t="shared" si="82"/>
        <v>0</v>
      </c>
    </row>
    <row r="221" outlineLevel="1">
      <c r="A221" s="142" t="s">
        <v>337</v>
      </c>
      <c r="B221" s="168">
        <f t="shared" ref="B221:Y221" si="83">-B171*B140</f>
        <v>239.2793907</v>
      </c>
      <c r="C221" s="168">
        <f t="shared" si="83"/>
        <v>237.5786073</v>
      </c>
      <c r="D221" s="168">
        <f t="shared" si="83"/>
        <v>241.3660786</v>
      </c>
      <c r="E221" s="168">
        <f t="shared" si="83"/>
        <v>241.3660786</v>
      </c>
      <c r="F221" s="168">
        <f t="shared" si="83"/>
        <v>233.5673237</v>
      </c>
      <c r="G221" s="168">
        <f t="shared" si="83"/>
        <v>241.3660786</v>
      </c>
      <c r="H221" s="168">
        <f t="shared" si="83"/>
        <v>241.3660786</v>
      </c>
      <c r="I221" s="168">
        <f t="shared" si="83"/>
        <v>247.2000806</v>
      </c>
      <c r="J221" s="168">
        <f t="shared" si="83"/>
        <v>244.9308123</v>
      </c>
      <c r="K221" s="168">
        <f t="shared" si="83"/>
        <v>241.3660786</v>
      </c>
      <c r="L221" s="168">
        <f t="shared" si="83"/>
        <v>241.3660786</v>
      </c>
      <c r="M221" s="168">
        <f t="shared" si="83"/>
        <v>241.3660786</v>
      </c>
      <c r="N221" s="168">
        <f t="shared" si="83"/>
        <v>241.3660786</v>
      </c>
      <c r="O221" s="168">
        <f t="shared" si="83"/>
        <v>241.3660786</v>
      </c>
      <c r="P221" s="168">
        <f t="shared" si="83"/>
        <v>241.3660786</v>
      </c>
      <c r="Q221" s="168">
        <f t="shared" si="83"/>
        <v>241.3660786</v>
      </c>
      <c r="R221" s="168">
        <f t="shared" si="83"/>
        <v>241.3660786</v>
      </c>
      <c r="S221" s="168">
        <f t="shared" si="83"/>
        <v>241.3660786</v>
      </c>
      <c r="T221" s="168">
        <f t="shared" si="83"/>
        <v>241.3660786</v>
      </c>
      <c r="U221" s="168">
        <f t="shared" si="83"/>
        <v>241.3660786</v>
      </c>
      <c r="V221" s="168">
        <f t="shared" si="83"/>
        <v>241.3660786</v>
      </c>
      <c r="W221" s="168">
        <f t="shared" si="83"/>
        <v>241.3660786</v>
      </c>
      <c r="X221" s="168">
        <f t="shared" si="83"/>
        <v>241.3660786</v>
      </c>
      <c r="Y221" s="168">
        <f t="shared" si="83"/>
        <v>241.3660786</v>
      </c>
    </row>
    <row r="222" outlineLevel="1">
      <c r="A222" s="142"/>
      <c r="B222" s="84"/>
      <c r="C222" s="84"/>
      <c r="D222" s="84"/>
      <c r="E222" s="84"/>
      <c r="F222" s="84"/>
      <c r="G222" s="84"/>
      <c r="H222" s="84"/>
      <c r="I222" s="84"/>
      <c r="J222" s="84"/>
      <c r="K222" s="84"/>
      <c r="L222" s="84"/>
      <c r="M222" s="84"/>
      <c r="N222" s="84"/>
      <c r="O222" s="84"/>
      <c r="P222" s="84"/>
      <c r="Q222" s="84"/>
      <c r="R222" s="84"/>
      <c r="S222" s="84"/>
      <c r="T222" s="84"/>
      <c r="U222" s="84"/>
      <c r="V222" s="84"/>
      <c r="W222" s="84"/>
      <c r="X222" s="84"/>
      <c r="Y222" s="84"/>
    </row>
    <row r="223" outlineLevel="1">
      <c r="A223" s="142" t="s">
        <v>220</v>
      </c>
      <c r="B223" s="95"/>
      <c r="C223" s="95"/>
      <c r="D223" s="95"/>
      <c r="E223" s="95"/>
      <c r="F223" s="95"/>
      <c r="G223" s="95"/>
      <c r="H223" s="95"/>
      <c r="I223" s="95"/>
      <c r="J223" s="95"/>
      <c r="K223" s="95"/>
      <c r="L223" s="95"/>
      <c r="M223" s="95"/>
      <c r="N223" s="95"/>
      <c r="O223" s="95"/>
      <c r="P223" s="95"/>
      <c r="Q223" s="95"/>
      <c r="R223" s="95"/>
      <c r="S223" s="95"/>
      <c r="T223" s="95"/>
      <c r="U223" s="95"/>
      <c r="V223" s="95"/>
      <c r="W223" s="95"/>
      <c r="X223" s="95"/>
      <c r="Y223" s="95"/>
    </row>
    <row r="224" outlineLevel="1">
      <c r="A224" s="142" t="s">
        <v>611</v>
      </c>
      <c r="B224" s="168">
        <f t="shared" ref="B224:Y224" si="84">-B174*B137</f>
        <v>83.99956068</v>
      </c>
      <c r="C224" s="168">
        <f t="shared" si="84"/>
        <v>52.53854141</v>
      </c>
      <c r="D224" s="168">
        <f t="shared" si="84"/>
        <v>84.35526387</v>
      </c>
      <c r="E224" s="168">
        <f t="shared" si="84"/>
        <v>84.35526387</v>
      </c>
      <c r="F224" s="168">
        <f t="shared" si="84"/>
        <v>49.64328172</v>
      </c>
      <c r="G224" s="168">
        <f t="shared" si="84"/>
        <v>84.35526387</v>
      </c>
      <c r="H224" s="168">
        <f t="shared" si="84"/>
        <v>65.69963685</v>
      </c>
      <c r="I224" s="168">
        <f t="shared" si="84"/>
        <v>110.290392</v>
      </c>
      <c r="J224" s="168">
        <f t="shared" si="84"/>
        <v>122.983557</v>
      </c>
      <c r="K224" s="168">
        <f t="shared" si="84"/>
        <v>84.35526387</v>
      </c>
      <c r="L224" s="168">
        <f t="shared" si="84"/>
        <v>84.35526387</v>
      </c>
      <c r="M224" s="168">
        <f t="shared" si="84"/>
        <v>84.35526387</v>
      </c>
      <c r="N224" s="168">
        <f t="shared" si="84"/>
        <v>84.35526387</v>
      </c>
      <c r="O224" s="168">
        <f t="shared" si="84"/>
        <v>84.35526387</v>
      </c>
      <c r="P224" s="168">
        <f t="shared" si="84"/>
        <v>84.35526387</v>
      </c>
      <c r="Q224" s="168">
        <f t="shared" si="84"/>
        <v>84.35526387</v>
      </c>
      <c r="R224" s="168">
        <f t="shared" si="84"/>
        <v>84.35526387</v>
      </c>
      <c r="S224" s="168">
        <f t="shared" si="84"/>
        <v>84.35526387</v>
      </c>
      <c r="T224" s="168">
        <f t="shared" si="84"/>
        <v>84.35526387</v>
      </c>
      <c r="U224" s="168">
        <f t="shared" si="84"/>
        <v>84.35526387</v>
      </c>
      <c r="V224" s="168">
        <f t="shared" si="84"/>
        <v>84.35526387</v>
      </c>
      <c r="W224" s="168">
        <f t="shared" si="84"/>
        <v>84.35526387</v>
      </c>
      <c r="X224" s="168">
        <f t="shared" si="84"/>
        <v>84.35526387</v>
      </c>
      <c r="Y224" s="168">
        <f t="shared" si="84"/>
        <v>84.35526387</v>
      </c>
    </row>
    <row r="225" outlineLevel="1">
      <c r="A225" s="142" t="s">
        <v>440</v>
      </c>
      <c r="B225" s="168">
        <f t="shared" ref="B225:Y225" si="85">-B175*B138</f>
        <v>145.4594703</v>
      </c>
      <c r="C225" s="168">
        <f t="shared" si="85"/>
        <v>0</v>
      </c>
      <c r="D225" s="168">
        <f t="shared" si="85"/>
        <v>314.906442</v>
      </c>
      <c r="E225" s="168">
        <f t="shared" si="85"/>
        <v>314.906442</v>
      </c>
      <c r="F225" s="168">
        <f t="shared" si="85"/>
        <v>197.7616656</v>
      </c>
      <c r="G225" s="168">
        <f t="shared" si="85"/>
        <v>160.1233483</v>
      </c>
      <c r="H225" s="168">
        <f t="shared" si="85"/>
        <v>0</v>
      </c>
      <c r="I225" s="168">
        <f t="shared" si="85"/>
        <v>238.554972</v>
      </c>
      <c r="J225" s="168">
        <f t="shared" si="85"/>
        <v>404.480588</v>
      </c>
      <c r="K225" s="168">
        <f t="shared" si="85"/>
        <v>160.1233483</v>
      </c>
      <c r="L225" s="168">
        <f t="shared" si="85"/>
        <v>160.1233483</v>
      </c>
      <c r="M225" s="168">
        <f t="shared" si="85"/>
        <v>160.1233483</v>
      </c>
      <c r="N225" s="168">
        <f t="shared" si="85"/>
        <v>160.1233483</v>
      </c>
      <c r="O225" s="168">
        <f t="shared" si="85"/>
        <v>160.1233483</v>
      </c>
      <c r="P225" s="168">
        <f t="shared" si="85"/>
        <v>160.1233483</v>
      </c>
      <c r="Q225" s="168">
        <f t="shared" si="85"/>
        <v>160.1233483</v>
      </c>
      <c r="R225" s="168">
        <f t="shared" si="85"/>
        <v>160.1233483</v>
      </c>
      <c r="S225" s="168">
        <f t="shared" si="85"/>
        <v>160.1233483</v>
      </c>
      <c r="T225" s="168">
        <f t="shared" si="85"/>
        <v>160.1233483</v>
      </c>
      <c r="U225" s="168">
        <f t="shared" si="85"/>
        <v>160.1233483</v>
      </c>
      <c r="V225" s="168">
        <f t="shared" si="85"/>
        <v>160.1233483</v>
      </c>
      <c r="W225" s="168">
        <f t="shared" si="85"/>
        <v>160.1233483</v>
      </c>
      <c r="X225" s="168">
        <f t="shared" si="85"/>
        <v>160.1233483</v>
      </c>
      <c r="Y225" s="168">
        <f t="shared" si="85"/>
        <v>160.1233483</v>
      </c>
    </row>
    <row r="226" outlineLevel="1">
      <c r="A226" s="142" t="s">
        <v>336</v>
      </c>
      <c r="B226" s="168">
        <f t="shared" ref="B226:Y226" si="86">-B176*B139</f>
        <v>174.3260307</v>
      </c>
      <c r="C226" s="168">
        <f t="shared" si="86"/>
        <v>0</v>
      </c>
      <c r="D226" s="168">
        <f t="shared" si="86"/>
        <v>34.80403811</v>
      </c>
      <c r="E226" s="168">
        <f t="shared" si="86"/>
        <v>34.80403811</v>
      </c>
      <c r="F226" s="168">
        <f t="shared" si="86"/>
        <v>0</v>
      </c>
      <c r="G226" s="168">
        <f t="shared" si="86"/>
        <v>34.80403811</v>
      </c>
      <c r="H226" s="168">
        <f t="shared" si="86"/>
        <v>27.10693512</v>
      </c>
      <c r="I226" s="168">
        <f t="shared" si="86"/>
        <v>0</v>
      </c>
      <c r="J226" s="168">
        <f t="shared" si="86"/>
        <v>0</v>
      </c>
      <c r="K226" s="168">
        <f t="shared" si="86"/>
        <v>34.80403811</v>
      </c>
      <c r="L226" s="168">
        <f t="shared" si="86"/>
        <v>34.80403811</v>
      </c>
      <c r="M226" s="168">
        <f t="shared" si="86"/>
        <v>34.80403811</v>
      </c>
      <c r="N226" s="168">
        <f t="shared" si="86"/>
        <v>34.80403811</v>
      </c>
      <c r="O226" s="168">
        <f t="shared" si="86"/>
        <v>34.80403811</v>
      </c>
      <c r="P226" s="168">
        <f t="shared" si="86"/>
        <v>34.80403811</v>
      </c>
      <c r="Q226" s="168">
        <f t="shared" si="86"/>
        <v>34.80403811</v>
      </c>
      <c r="R226" s="168">
        <f t="shared" si="86"/>
        <v>34.80403811</v>
      </c>
      <c r="S226" s="168">
        <f t="shared" si="86"/>
        <v>34.80403811</v>
      </c>
      <c r="T226" s="168">
        <f t="shared" si="86"/>
        <v>34.80403811</v>
      </c>
      <c r="U226" s="168">
        <f t="shared" si="86"/>
        <v>34.80403811</v>
      </c>
      <c r="V226" s="168">
        <f t="shared" si="86"/>
        <v>34.80403811</v>
      </c>
      <c r="W226" s="168">
        <f t="shared" si="86"/>
        <v>34.80403811</v>
      </c>
      <c r="X226" s="168">
        <f t="shared" si="86"/>
        <v>34.80403811</v>
      </c>
      <c r="Y226" s="168">
        <f t="shared" si="86"/>
        <v>34.80403811</v>
      </c>
    </row>
    <row r="227" outlineLevel="1">
      <c r="A227" s="142" t="s">
        <v>337</v>
      </c>
      <c r="B227" s="168">
        <f t="shared" ref="B227:Y227" si="87">-B177*B140</f>
        <v>352.9202793</v>
      </c>
      <c r="C227" s="168">
        <f t="shared" si="87"/>
        <v>237.5786073</v>
      </c>
      <c r="D227" s="168">
        <f t="shared" si="87"/>
        <v>326.4684352</v>
      </c>
      <c r="E227" s="168">
        <f t="shared" si="87"/>
        <v>326.4684352</v>
      </c>
      <c r="F227" s="168">
        <f t="shared" si="87"/>
        <v>275.2177578</v>
      </c>
      <c r="G227" s="168">
        <f t="shared" si="87"/>
        <v>326.4684352</v>
      </c>
      <c r="H227" s="168">
        <f t="shared" si="87"/>
        <v>254.2681589</v>
      </c>
      <c r="I227" s="168">
        <f t="shared" si="87"/>
        <v>351.7754239</v>
      </c>
      <c r="J227" s="168">
        <f t="shared" si="87"/>
        <v>420.6152628</v>
      </c>
      <c r="K227" s="168">
        <f t="shared" si="87"/>
        <v>326.4684352</v>
      </c>
      <c r="L227" s="168">
        <f t="shared" si="87"/>
        <v>326.4684352</v>
      </c>
      <c r="M227" s="168">
        <f t="shared" si="87"/>
        <v>326.4684352</v>
      </c>
      <c r="N227" s="168">
        <f t="shared" si="87"/>
        <v>326.4684352</v>
      </c>
      <c r="O227" s="168">
        <f t="shared" si="87"/>
        <v>326.4684352</v>
      </c>
      <c r="P227" s="168">
        <f t="shared" si="87"/>
        <v>326.4684352</v>
      </c>
      <c r="Q227" s="168">
        <f t="shared" si="87"/>
        <v>326.4684352</v>
      </c>
      <c r="R227" s="168">
        <f t="shared" si="87"/>
        <v>326.4684352</v>
      </c>
      <c r="S227" s="168">
        <f t="shared" si="87"/>
        <v>326.4684352</v>
      </c>
      <c r="T227" s="168">
        <f t="shared" si="87"/>
        <v>326.4684352</v>
      </c>
      <c r="U227" s="168">
        <f t="shared" si="87"/>
        <v>326.4684352</v>
      </c>
      <c r="V227" s="168">
        <f t="shared" si="87"/>
        <v>326.4684352</v>
      </c>
      <c r="W227" s="168">
        <f t="shared" si="87"/>
        <v>326.4684352</v>
      </c>
      <c r="X227" s="168">
        <f t="shared" si="87"/>
        <v>326.4684352</v>
      </c>
      <c r="Y227" s="168">
        <f t="shared" si="87"/>
        <v>326.4684352</v>
      </c>
    </row>
    <row r="228" outlineLevel="1">
      <c r="A228" s="142"/>
      <c r="B228" s="95"/>
      <c r="C228" s="95"/>
      <c r="D228" s="95"/>
      <c r="E228" s="95"/>
      <c r="F228" s="95"/>
      <c r="G228" s="95"/>
      <c r="H228" s="95"/>
      <c r="I228" s="95"/>
      <c r="J228" s="95"/>
      <c r="K228" s="95"/>
      <c r="L228" s="95"/>
      <c r="M228" s="95"/>
      <c r="N228" s="95"/>
      <c r="O228" s="95"/>
      <c r="P228" s="95"/>
      <c r="Q228" s="95"/>
      <c r="R228" s="95"/>
      <c r="S228" s="95"/>
      <c r="T228" s="95"/>
      <c r="U228" s="95"/>
      <c r="V228" s="95"/>
      <c r="W228" s="95"/>
      <c r="X228" s="95"/>
      <c r="Y228" s="95"/>
    </row>
    <row r="229" outlineLevel="1">
      <c r="A229" s="233" t="s">
        <v>614</v>
      </c>
      <c r="B229" s="95"/>
      <c r="C229" s="95"/>
      <c r="D229" s="95"/>
      <c r="E229" s="95"/>
      <c r="F229" s="95"/>
      <c r="G229" s="95"/>
      <c r="H229" s="95"/>
      <c r="I229" s="95"/>
      <c r="J229" s="95"/>
      <c r="K229" s="95"/>
      <c r="L229" s="95"/>
      <c r="M229" s="95"/>
      <c r="N229" s="95"/>
      <c r="O229" s="95"/>
      <c r="P229" s="95"/>
      <c r="Q229" s="95"/>
      <c r="R229" s="95"/>
      <c r="S229" s="95"/>
      <c r="T229" s="95"/>
      <c r="U229" s="95"/>
      <c r="V229" s="95"/>
      <c r="W229" s="95"/>
      <c r="X229" s="95"/>
      <c r="Y229" s="95"/>
    </row>
    <row r="230" outlineLevel="1">
      <c r="A230" s="142" t="s">
        <v>607</v>
      </c>
      <c r="B230" s="168">
        <f t="shared" ref="B230:Y230" si="88">sum(B181:B184,B206:B209)</f>
        <v>5461.89821</v>
      </c>
      <c r="C230" s="168">
        <f t="shared" si="88"/>
        <v>4338.759001</v>
      </c>
      <c r="D230" s="168">
        <f t="shared" si="88"/>
        <v>2263.167321</v>
      </c>
      <c r="E230" s="168">
        <f t="shared" si="88"/>
        <v>3842.086133</v>
      </c>
      <c r="F230" s="168">
        <f t="shared" si="88"/>
        <v>3036.385788</v>
      </c>
      <c r="G230" s="168">
        <f t="shared" si="88"/>
        <v>1147.004682</v>
      </c>
      <c r="H230" s="168">
        <f t="shared" si="88"/>
        <v>2967.094845</v>
      </c>
      <c r="I230" s="168">
        <f t="shared" si="88"/>
        <v>8571.863804</v>
      </c>
      <c r="J230" s="168">
        <f t="shared" si="88"/>
        <v>14206.57471</v>
      </c>
      <c r="K230" s="168">
        <f t="shared" si="88"/>
        <v>4933.872147</v>
      </c>
      <c r="L230" s="168">
        <f t="shared" si="88"/>
        <v>823.4082457</v>
      </c>
      <c r="M230" s="168">
        <f t="shared" si="88"/>
        <v>2092.24278</v>
      </c>
      <c r="N230" s="168">
        <f t="shared" si="88"/>
        <v>1193.301985</v>
      </c>
      <c r="O230" s="168">
        <f t="shared" si="88"/>
        <v>2722.766684</v>
      </c>
      <c r="P230" s="168">
        <f t="shared" si="88"/>
        <v>6735.455197</v>
      </c>
      <c r="Q230" s="168">
        <f t="shared" si="88"/>
        <v>279.5678195</v>
      </c>
      <c r="R230" s="168">
        <f t="shared" si="88"/>
        <v>983.6836859</v>
      </c>
      <c r="S230" s="168">
        <f t="shared" si="88"/>
        <v>3102.951135</v>
      </c>
      <c r="T230" s="168">
        <f t="shared" si="88"/>
        <v>654.4904423</v>
      </c>
      <c r="U230" s="168">
        <f t="shared" si="88"/>
        <v>541.5056683</v>
      </c>
      <c r="V230" s="168">
        <f t="shared" si="88"/>
        <v>789.4919026</v>
      </c>
      <c r="W230" s="168">
        <f t="shared" si="88"/>
        <v>937.5445985</v>
      </c>
      <c r="X230" s="168">
        <f t="shared" si="88"/>
        <v>303.469593</v>
      </c>
      <c r="Y230" s="168">
        <f t="shared" si="88"/>
        <v>1640.265491</v>
      </c>
    </row>
    <row r="231" outlineLevel="1">
      <c r="A231" s="142" t="s">
        <v>608</v>
      </c>
      <c r="B231" s="168">
        <f t="shared" ref="B231:Y231" si="89">sum(B187:B190,B212:B215)</f>
        <v>4859.994105</v>
      </c>
      <c r="C231" s="168">
        <f t="shared" si="89"/>
        <v>3736.854896</v>
      </c>
      <c r="D231" s="168">
        <f t="shared" si="89"/>
        <v>1661.263215</v>
      </c>
      <c r="E231" s="168">
        <f t="shared" si="89"/>
        <v>3240.182027</v>
      </c>
      <c r="F231" s="168">
        <f t="shared" si="89"/>
        <v>2434.481683</v>
      </c>
      <c r="G231" s="168">
        <f t="shared" si="89"/>
        <v>1090.201153</v>
      </c>
      <c r="H231" s="168">
        <f t="shared" si="89"/>
        <v>2910.291316</v>
      </c>
      <c r="I231" s="168">
        <f t="shared" si="89"/>
        <v>8515.060276</v>
      </c>
      <c r="J231" s="168">
        <f t="shared" si="89"/>
        <v>14149.77118</v>
      </c>
      <c r="K231" s="168">
        <f t="shared" si="89"/>
        <v>4877.068618</v>
      </c>
      <c r="L231" s="168">
        <f t="shared" si="89"/>
        <v>766.6047172</v>
      </c>
      <c r="M231" s="168">
        <f t="shared" si="89"/>
        <v>2035.439252</v>
      </c>
      <c r="N231" s="168">
        <f t="shared" si="89"/>
        <v>1136.498457</v>
      </c>
      <c r="O231" s="168">
        <f t="shared" si="89"/>
        <v>2665.963155</v>
      </c>
      <c r="P231" s="168">
        <f t="shared" si="89"/>
        <v>6678.651668</v>
      </c>
      <c r="Q231" s="168">
        <f t="shared" si="89"/>
        <v>222.764291</v>
      </c>
      <c r="R231" s="168">
        <f t="shared" si="89"/>
        <v>926.8801574</v>
      </c>
      <c r="S231" s="168">
        <f t="shared" si="89"/>
        <v>3046.147606</v>
      </c>
      <c r="T231" s="168">
        <f t="shared" si="89"/>
        <v>597.6869138</v>
      </c>
      <c r="U231" s="168">
        <f t="shared" si="89"/>
        <v>484.7021398</v>
      </c>
      <c r="V231" s="168">
        <f t="shared" si="89"/>
        <v>732.6883741</v>
      </c>
      <c r="W231" s="168">
        <f t="shared" si="89"/>
        <v>880.74107</v>
      </c>
      <c r="X231" s="168">
        <f t="shared" si="89"/>
        <v>246.6660644</v>
      </c>
      <c r="Y231" s="168">
        <f t="shared" si="89"/>
        <v>1583.461963</v>
      </c>
    </row>
    <row r="232" outlineLevel="1">
      <c r="A232" s="234" t="s">
        <v>609</v>
      </c>
      <c r="B232" s="168">
        <f t="shared" ref="B232:Y232" si="90">sum(B193:B196,B218:B221)</f>
        <v>-3123.107986</v>
      </c>
      <c r="C232" s="168">
        <f t="shared" si="90"/>
        <v>-2431.656854</v>
      </c>
      <c r="D232" s="168">
        <f t="shared" si="90"/>
        <v>-1321.214132</v>
      </c>
      <c r="E232" s="168">
        <f t="shared" si="90"/>
        <v>-2247.353787</v>
      </c>
      <c r="F232" s="168">
        <f t="shared" si="90"/>
        <v>-1621.140589</v>
      </c>
      <c r="G232" s="168">
        <f t="shared" si="90"/>
        <v>-666.511387</v>
      </c>
      <c r="H232" s="168">
        <f t="shared" si="90"/>
        <v>-1734.113889</v>
      </c>
      <c r="I232" s="168">
        <f t="shared" si="90"/>
        <v>-5348.87255</v>
      </c>
      <c r="J232" s="168">
        <f t="shared" si="90"/>
        <v>-8658.761652</v>
      </c>
      <c r="K232" s="168">
        <f t="shared" si="90"/>
        <v>-2887.75804</v>
      </c>
      <c r="L232" s="168">
        <f t="shared" si="90"/>
        <v>-476.7008096</v>
      </c>
      <c r="M232" s="168">
        <f t="shared" si="90"/>
        <v>-1220.955656</v>
      </c>
      <c r="N232" s="168">
        <f t="shared" si="90"/>
        <v>-693.6677984</v>
      </c>
      <c r="O232" s="168">
        <f t="shared" si="90"/>
        <v>-1590.799365</v>
      </c>
      <c r="P232" s="168">
        <f t="shared" si="90"/>
        <v>-3944.504904</v>
      </c>
      <c r="Q232" s="168">
        <f t="shared" si="90"/>
        <v>-157.7026568</v>
      </c>
      <c r="R232" s="168">
        <f t="shared" si="90"/>
        <v>-570.712889</v>
      </c>
      <c r="S232" s="168">
        <f t="shared" si="90"/>
        <v>-1813.802533</v>
      </c>
      <c r="T232" s="168">
        <f t="shared" si="90"/>
        <v>-377.6194161</v>
      </c>
      <c r="U232" s="168">
        <f t="shared" si="90"/>
        <v>-311.3464205</v>
      </c>
      <c r="V232" s="168">
        <f t="shared" si="90"/>
        <v>-456.8066453</v>
      </c>
      <c r="W232" s="168">
        <f t="shared" si="90"/>
        <v>-543.6492819</v>
      </c>
      <c r="X232" s="168">
        <f t="shared" si="90"/>
        <v>-171.7226178</v>
      </c>
      <c r="Y232" s="168">
        <f t="shared" si="90"/>
        <v>-955.8412705</v>
      </c>
    </row>
    <row r="233" outlineLevel="1">
      <c r="A233" s="142" t="s">
        <v>220</v>
      </c>
      <c r="B233" s="168">
        <f t="shared" ref="B233:Y233" si="91">sum(B199:B202,B224:B227)</f>
        <v>-7121.435559</v>
      </c>
      <c r="C233" s="168">
        <f t="shared" si="91"/>
        <v>-2431.656854</v>
      </c>
      <c r="D233" s="168">
        <f t="shared" si="91"/>
        <v>-2414.105047</v>
      </c>
      <c r="E233" s="168">
        <f t="shared" si="91"/>
        <v>-4223.493831</v>
      </c>
      <c r="F233" s="168">
        <f t="shared" si="91"/>
        <v>-2344.351461</v>
      </c>
      <c r="G233" s="168">
        <f t="shared" si="91"/>
        <v>-1289.802639</v>
      </c>
      <c r="H233" s="168">
        <f t="shared" si="91"/>
        <v>-1985.414207</v>
      </c>
      <c r="I233" s="168">
        <f t="shared" si="91"/>
        <v>-11213.86067</v>
      </c>
      <c r="J233" s="168">
        <f t="shared" si="91"/>
        <v>-25018.91055</v>
      </c>
      <c r="K233" s="168">
        <f t="shared" si="91"/>
        <v>-5629.427619</v>
      </c>
      <c r="L233" s="168">
        <f t="shared" si="91"/>
        <v>-918.9718166</v>
      </c>
      <c r="M233" s="168">
        <f t="shared" si="91"/>
        <v>-2373.014265</v>
      </c>
      <c r="N233" s="168">
        <f t="shared" si="91"/>
        <v>-1342.857819</v>
      </c>
      <c r="O233" s="168">
        <f t="shared" si="91"/>
        <v>-3095.573823</v>
      </c>
      <c r="P233" s="168">
        <f t="shared" si="91"/>
        <v>-7693.982262</v>
      </c>
      <c r="Q233" s="168">
        <f t="shared" si="91"/>
        <v>-295.7486591</v>
      </c>
      <c r="R233" s="168">
        <f t="shared" si="91"/>
        <v>-1102.642175</v>
      </c>
      <c r="S233" s="168">
        <f t="shared" si="91"/>
        <v>-3531.252641</v>
      </c>
      <c r="T233" s="168">
        <f t="shared" si="91"/>
        <v>-725.3975958</v>
      </c>
      <c r="U233" s="168">
        <f t="shared" si="91"/>
        <v>-595.9207783</v>
      </c>
      <c r="V233" s="168">
        <f t="shared" si="91"/>
        <v>-880.1048082</v>
      </c>
      <c r="W233" s="168">
        <f t="shared" si="91"/>
        <v>-1049.768305</v>
      </c>
      <c r="X233" s="168">
        <f t="shared" si="91"/>
        <v>-323.1393017</v>
      </c>
      <c r="Y233" s="168">
        <f t="shared" si="91"/>
        <v>-1855.063228</v>
      </c>
    </row>
    <row r="234" outlineLevel="1">
      <c r="A234" s="142"/>
      <c r="B234" s="95"/>
      <c r="C234" s="95"/>
      <c r="D234" s="95"/>
      <c r="E234" s="95"/>
      <c r="F234" s="95"/>
      <c r="G234" s="95"/>
      <c r="H234" s="95"/>
      <c r="I234" s="95"/>
      <c r="J234" s="95"/>
      <c r="K234" s="95"/>
      <c r="L234" s="95"/>
      <c r="M234" s="95"/>
      <c r="N234" s="95"/>
      <c r="O234" s="95"/>
      <c r="P234" s="95"/>
      <c r="Q234" s="95"/>
      <c r="R234" s="95"/>
      <c r="S234" s="95"/>
      <c r="T234" s="95"/>
      <c r="U234" s="95"/>
      <c r="V234" s="95"/>
      <c r="W234" s="95"/>
      <c r="X234" s="95"/>
      <c r="Y234" s="95"/>
    </row>
    <row r="235" outlineLevel="1">
      <c r="A235" s="233" t="s">
        <v>615</v>
      </c>
      <c r="B235" s="95"/>
      <c r="C235" s="95"/>
      <c r="D235" s="95"/>
      <c r="E235" s="95"/>
      <c r="F235" s="95"/>
      <c r="G235" s="95"/>
      <c r="H235" s="95"/>
      <c r="I235" s="95"/>
      <c r="J235" s="95"/>
      <c r="K235" s="95"/>
      <c r="L235" s="95"/>
      <c r="M235" s="95"/>
      <c r="N235" s="95"/>
      <c r="O235" s="95"/>
      <c r="P235" s="95"/>
      <c r="Q235" s="95"/>
      <c r="R235" s="95"/>
      <c r="S235" s="95"/>
      <c r="T235" s="95"/>
      <c r="U235" s="95"/>
      <c r="V235" s="95"/>
      <c r="W235" s="95"/>
      <c r="X235" s="95"/>
      <c r="Y235" s="95"/>
    </row>
    <row r="236" outlineLevel="1">
      <c r="A236" s="142" t="s">
        <v>607</v>
      </c>
      <c r="B236" s="168">
        <f t="shared" ref="B236:Y236" si="92">B$7*B$108-B230</f>
        <v>507.1038557</v>
      </c>
      <c r="C236" s="168">
        <f t="shared" si="92"/>
        <v>507.1038557</v>
      </c>
      <c r="D236" s="168">
        <f t="shared" si="92"/>
        <v>507.1038557</v>
      </c>
      <c r="E236" s="168">
        <f t="shared" si="92"/>
        <v>507.1038557</v>
      </c>
      <c r="F236" s="168">
        <f t="shared" si="92"/>
        <v>507.1038557</v>
      </c>
      <c r="G236" s="168">
        <f t="shared" si="92"/>
        <v>507.1038557</v>
      </c>
      <c r="H236" s="168">
        <f t="shared" si="92"/>
        <v>507.1038557</v>
      </c>
      <c r="I236" s="168">
        <f t="shared" si="92"/>
        <v>507.1038557</v>
      </c>
      <c r="J236" s="168">
        <f t="shared" si="92"/>
        <v>507.1038557</v>
      </c>
      <c r="K236" s="168">
        <f t="shared" si="92"/>
        <v>507.1038557</v>
      </c>
      <c r="L236" s="168">
        <f t="shared" si="92"/>
        <v>507.1038557</v>
      </c>
      <c r="M236" s="168">
        <f t="shared" si="92"/>
        <v>507.1038557</v>
      </c>
      <c r="N236" s="168">
        <f t="shared" si="92"/>
        <v>507.1038557</v>
      </c>
      <c r="O236" s="168">
        <f t="shared" si="92"/>
        <v>507.1038557</v>
      </c>
      <c r="P236" s="168">
        <f t="shared" si="92"/>
        <v>507.1038557</v>
      </c>
      <c r="Q236" s="168">
        <f t="shared" si="92"/>
        <v>507.1038557</v>
      </c>
      <c r="R236" s="168">
        <f t="shared" si="92"/>
        <v>507.1038557</v>
      </c>
      <c r="S236" s="168">
        <f t="shared" si="92"/>
        <v>507.1038557</v>
      </c>
      <c r="T236" s="168">
        <f t="shared" si="92"/>
        <v>507.1038557</v>
      </c>
      <c r="U236" s="168">
        <f t="shared" si="92"/>
        <v>507.1038557</v>
      </c>
      <c r="V236" s="168">
        <f t="shared" si="92"/>
        <v>507.1038557</v>
      </c>
      <c r="W236" s="168">
        <f t="shared" si="92"/>
        <v>507.1038557</v>
      </c>
      <c r="X236" s="168">
        <f t="shared" si="92"/>
        <v>507.1038557</v>
      </c>
      <c r="Y236" s="168">
        <f t="shared" si="92"/>
        <v>507.1038557</v>
      </c>
    </row>
    <row r="237" outlineLevel="1">
      <c r="A237" s="142" t="s">
        <v>608</v>
      </c>
      <c r="B237" s="168">
        <f t="shared" ref="B237:Y237" si="93">B$7*B$108-B231</f>
        <v>1109.007961</v>
      </c>
      <c r="C237" s="168">
        <f t="shared" si="93"/>
        <v>1109.007961</v>
      </c>
      <c r="D237" s="168">
        <f t="shared" si="93"/>
        <v>1109.007961</v>
      </c>
      <c r="E237" s="168">
        <f t="shared" si="93"/>
        <v>1109.007961</v>
      </c>
      <c r="F237" s="168">
        <f t="shared" si="93"/>
        <v>1109.007961</v>
      </c>
      <c r="G237" s="168">
        <f t="shared" si="93"/>
        <v>563.9073842</v>
      </c>
      <c r="H237" s="168">
        <f t="shared" si="93"/>
        <v>563.9073842</v>
      </c>
      <c r="I237" s="168">
        <f t="shared" si="93"/>
        <v>563.9073842</v>
      </c>
      <c r="J237" s="168">
        <f t="shared" si="93"/>
        <v>563.9073842</v>
      </c>
      <c r="K237" s="168">
        <f t="shared" si="93"/>
        <v>563.9073842</v>
      </c>
      <c r="L237" s="168">
        <f t="shared" si="93"/>
        <v>563.9073842</v>
      </c>
      <c r="M237" s="168">
        <f t="shared" si="93"/>
        <v>563.9073842</v>
      </c>
      <c r="N237" s="168">
        <f t="shared" si="93"/>
        <v>563.9073842</v>
      </c>
      <c r="O237" s="168">
        <f t="shared" si="93"/>
        <v>563.9073842</v>
      </c>
      <c r="P237" s="168">
        <f t="shared" si="93"/>
        <v>563.9073842</v>
      </c>
      <c r="Q237" s="168">
        <f t="shared" si="93"/>
        <v>563.9073842</v>
      </c>
      <c r="R237" s="168">
        <f t="shared" si="93"/>
        <v>563.9073842</v>
      </c>
      <c r="S237" s="168">
        <f t="shared" si="93"/>
        <v>563.9073842</v>
      </c>
      <c r="T237" s="168">
        <f t="shared" si="93"/>
        <v>563.9073842</v>
      </c>
      <c r="U237" s="168">
        <f t="shared" si="93"/>
        <v>563.9073842</v>
      </c>
      <c r="V237" s="168">
        <f t="shared" si="93"/>
        <v>563.9073842</v>
      </c>
      <c r="W237" s="168">
        <f t="shared" si="93"/>
        <v>563.9073842</v>
      </c>
      <c r="X237" s="168">
        <f t="shared" si="93"/>
        <v>563.9073842</v>
      </c>
      <c r="Y237" s="168">
        <f t="shared" si="93"/>
        <v>563.9073842</v>
      </c>
    </row>
    <row r="238" outlineLevel="1">
      <c r="A238" s="234" t="s">
        <v>609</v>
      </c>
      <c r="B238" s="168">
        <f t="shared" ref="B238:Y238" si="94">B$7*B$108-B232</f>
        <v>9092.110052</v>
      </c>
      <c r="C238" s="168">
        <f t="shared" si="94"/>
        <v>7277.519711</v>
      </c>
      <c r="D238" s="168">
        <f t="shared" si="94"/>
        <v>4091.485308</v>
      </c>
      <c r="E238" s="168">
        <f t="shared" si="94"/>
        <v>6596.543775</v>
      </c>
      <c r="F238" s="168">
        <f t="shared" si="94"/>
        <v>5164.630232</v>
      </c>
      <c r="G238" s="168">
        <f t="shared" si="94"/>
        <v>2320.619924</v>
      </c>
      <c r="H238" s="168">
        <f t="shared" si="94"/>
        <v>5208.31259</v>
      </c>
      <c r="I238" s="168">
        <f t="shared" si="94"/>
        <v>14427.84021</v>
      </c>
      <c r="J238" s="168">
        <f t="shared" si="94"/>
        <v>23372.44022</v>
      </c>
      <c r="K238" s="168">
        <f t="shared" si="94"/>
        <v>8328.734042</v>
      </c>
      <c r="L238" s="168">
        <f t="shared" si="94"/>
        <v>1807.212911</v>
      </c>
      <c r="M238" s="168">
        <f t="shared" si="94"/>
        <v>3820.302292</v>
      </c>
      <c r="N238" s="168">
        <f t="shared" si="94"/>
        <v>2394.073639</v>
      </c>
      <c r="O238" s="168">
        <f t="shared" si="94"/>
        <v>4820.669904</v>
      </c>
      <c r="P238" s="168">
        <f t="shared" si="94"/>
        <v>11187.06396</v>
      </c>
      <c r="Q238" s="168">
        <f t="shared" si="94"/>
        <v>944.3743319</v>
      </c>
      <c r="R238" s="168">
        <f t="shared" si="94"/>
        <v>2061.500431</v>
      </c>
      <c r="S238" s="168">
        <f t="shared" si="94"/>
        <v>5423.857523</v>
      </c>
      <c r="T238" s="168">
        <f t="shared" si="94"/>
        <v>1539.213714</v>
      </c>
      <c r="U238" s="168">
        <f t="shared" si="94"/>
        <v>1359.955944</v>
      </c>
      <c r="V238" s="168">
        <f t="shared" si="94"/>
        <v>1753.402404</v>
      </c>
      <c r="W238" s="168">
        <f t="shared" si="94"/>
        <v>1988.297736</v>
      </c>
      <c r="X238" s="168">
        <f t="shared" si="94"/>
        <v>982.2960664</v>
      </c>
      <c r="Y238" s="168">
        <f t="shared" si="94"/>
        <v>3103.210618</v>
      </c>
    </row>
    <row r="239" outlineLevel="1">
      <c r="A239" s="561" t="s">
        <v>220</v>
      </c>
      <c r="B239" s="562">
        <f t="shared" ref="B239:Y239" si="95">B$7*B$108-B233</f>
        <v>13090.43762</v>
      </c>
      <c r="C239" s="562">
        <f t="shared" si="95"/>
        <v>7277.519711</v>
      </c>
      <c r="D239" s="562">
        <f t="shared" si="95"/>
        <v>5184.376223</v>
      </c>
      <c r="E239" s="562">
        <f t="shared" si="95"/>
        <v>8572.683819</v>
      </c>
      <c r="F239" s="562">
        <f t="shared" si="95"/>
        <v>5887.841105</v>
      </c>
      <c r="G239" s="562">
        <f t="shared" si="95"/>
        <v>2943.911177</v>
      </c>
      <c r="H239" s="562">
        <f t="shared" si="95"/>
        <v>5459.612907</v>
      </c>
      <c r="I239" s="562">
        <f t="shared" si="95"/>
        <v>20292.82833</v>
      </c>
      <c r="J239" s="562">
        <f t="shared" si="95"/>
        <v>39732.58911</v>
      </c>
      <c r="K239" s="562">
        <f t="shared" si="95"/>
        <v>11070.40362</v>
      </c>
      <c r="L239" s="562">
        <f t="shared" si="95"/>
        <v>2249.483918</v>
      </c>
      <c r="M239" s="562">
        <f t="shared" si="95"/>
        <v>4972.360902</v>
      </c>
      <c r="N239" s="562">
        <f t="shared" si="95"/>
        <v>3043.26366</v>
      </c>
      <c r="O239" s="562">
        <f t="shared" si="95"/>
        <v>6325.444363</v>
      </c>
      <c r="P239" s="562">
        <f t="shared" si="95"/>
        <v>14936.54131</v>
      </c>
      <c r="Q239" s="562">
        <f t="shared" si="95"/>
        <v>1082.420334</v>
      </c>
      <c r="R239" s="562">
        <f t="shared" si="95"/>
        <v>2593.429716</v>
      </c>
      <c r="S239" s="562">
        <f t="shared" si="95"/>
        <v>7141.307632</v>
      </c>
      <c r="T239" s="562">
        <f t="shared" si="95"/>
        <v>1886.991894</v>
      </c>
      <c r="U239" s="562">
        <f t="shared" si="95"/>
        <v>1644.530302</v>
      </c>
      <c r="V239" s="562">
        <f t="shared" si="95"/>
        <v>2176.700566</v>
      </c>
      <c r="W239" s="562">
        <f t="shared" si="95"/>
        <v>2494.41676</v>
      </c>
      <c r="X239" s="562">
        <f t="shared" si="95"/>
        <v>1133.71275</v>
      </c>
      <c r="Y239" s="562">
        <f t="shared" si="95"/>
        <v>4002.432575</v>
      </c>
    </row>
    <row r="240" outlineLevel="1">
      <c r="A240" s="142" t="s">
        <v>232</v>
      </c>
      <c r="B240" s="168">
        <f t="shared" ref="B240:Y240" si="96">SUMPRODUCT(B236:B239,B143:B146)</f>
        <v>6636.989014</v>
      </c>
      <c r="C240" s="168">
        <f t="shared" si="96"/>
        <v>4903.390041</v>
      </c>
      <c r="D240" s="168">
        <f t="shared" si="96"/>
        <v>2689.180092</v>
      </c>
      <c r="E240" s="168">
        <f t="shared" si="96"/>
        <v>5438.846202</v>
      </c>
      <c r="F240" s="168">
        <f t="shared" si="96"/>
        <v>3279.4098</v>
      </c>
      <c r="G240" s="168">
        <f t="shared" si="96"/>
        <v>1700.090182</v>
      </c>
      <c r="H240" s="168">
        <f t="shared" si="96"/>
        <v>4044.371112</v>
      </c>
      <c r="I240" s="168">
        <f t="shared" si="96"/>
        <v>9569.783368</v>
      </c>
      <c r="J240" s="168">
        <f t="shared" si="96"/>
        <v>16524.20001</v>
      </c>
      <c r="K240" s="168">
        <f t="shared" si="96"/>
        <v>6381.847025</v>
      </c>
      <c r="L240" s="168">
        <f t="shared" si="96"/>
        <v>1490.706176</v>
      </c>
      <c r="M240" s="168">
        <f t="shared" si="96"/>
        <v>3000.523212</v>
      </c>
      <c r="N240" s="168">
        <f t="shared" si="96"/>
        <v>1930.851723</v>
      </c>
      <c r="O240" s="168">
        <f t="shared" si="96"/>
        <v>3750.798922</v>
      </c>
      <c r="P240" s="168">
        <f t="shared" si="96"/>
        <v>8525.59446</v>
      </c>
      <c r="Q240" s="168">
        <f t="shared" si="96"/>
        <v>843.5772421</v>
      </c>
      <c r="R240" s="168">
        <f t="shared" si="96"/>
        <v>1681.421816</v>
      </c>
      <c r="S240" s="168">
        <f t="shared" si="96"/>
        <v>4203.189635</v>
      </c>
      <c r="T240" s="168">
        <f t="shared" si="96"/>
        <v>1289.706779</v>
      </c>
      <c r="U240" s="168">
        <f t="shared" si="96"/>
        <v>1155.263452</v>
      </c>
      <c r="V240" s="168">
        <f t="shared" si="96"/>
        <v>1450.348296</v>
      </c>
      <c r="W240" s="168">
        <f t="shared" si="96"/>
        <v>1626.519795</v>
      </c>
      <c r="X240" s="168">
        <f t="shared" si="96"/>
        <v>872.018543</v>
      </c>
      <c r="Y240" s="168">
        <f t="shared" si="96"/>
        <v>2462.704456</v>
      </c>
    </row>
    <row r="241" outlineLevel="1">
      <c r="A241" s="367"/>
      <c r="B241" s="563"/>
      <c r="C241" s="563"/>
      <c r="D241" s="563"/>
      <c r="E241" s="563"/>
      <c r="F241" s="563"/>
      <c r="G241" s="563"/>
      <c r="H241" s="563"/>
      <c r="I241" s="563"/>
      <c r="J241" s="563"/>
      <c r="K241" s="563"/>
      <c r="L241" s="563"/>
      <c r="M241" s="563"/>
      <c r="N241" s="563"/>
      <c r="O241" s="563"/>
      <c r="P241" s="563"/>
      <c r="Q241" s="563"/>
      <c r="R241" s="563"/>
      <c r="S241" s="563"/>
      <c r="T241" s="563"/>
      <c r="U241" s="563"/>
      <c r="V241" s="563"/>
      <c r="W241" s="563"/>
      <c r="X241" s="563"/>
      <c r="Y241" s="563"/>
    </row>
    <row r="242">
      <c r="A242" s="396" t="s">
        <v>343</v>
      </c>
      <c r="B242" s="396"/>
      <c r="C242" s="396"/>
      <c r="D242" s="396"/>
      <c r="E242" s="396"/>
      <c r="F242" s="396"/>
      <c r="G242" s="396"/>
      <c r="H242" s="396"/>
      <c r="I242" s="396"/>
      <c r="J242" s="396"/>
      <c r="K242" s="396"/>
      <c r="L242" s="396"/>
      <c r="M242" s="396"/>
      <c r="N242" s="396"/>
      <c r="O242" s="396"/>
      <c r="P242" s="396"/>
      <c r="Q242" s="396"/>
      <c r="R242" s="396"/>
      <c r="S242" s="396"/>
      <c r="T242" s="396"/>
      <c r="U242" s="396"/>
      <c r="V242" s="396"/>
      <c r="W242" s="396"/>
      <c r="X242" s="396"/>
      <c r="Y242" s="396"/>
    </row>
    <row r="243">
      <c r="A243" s="564"/>
      <c r="B243" s="563"/>
      <c r="C243" s="563"/>
      <c r="D243" s="563"/>
      <c r="E243" s="563"/>
      <c r="F243" s="563"/>
      <c r="G243" s="563"/>
      <c r="H243" s="563"/>
      <c r="I243" s="563"/>
      <c r="J243" s="563"/>
      <c r="K243" s="563"/>
      <c r="L243" s="563"/>
      <c r="M243" s="563"/>
      <c r="N243" s="563"/>
      <c r="O243" s="563"/>
      <c r="P243" s="563"/>
      <c r="Q243" s="563"/>
      <c r="R243" s="563"/>
      <c r="S243" s="563"/>
      <c r="T243" s="563"/>
      <c r="U243" s="563"/>
      <c r="V243" s="563"/>
      <c r="W243" s="563"/>
      <c r="X243" s="563"/>
      <c r="Y243" s="563"/>
    </row>
    <row r="244">
      <c r="A244" s="367" t="s">
        <v>344</v>
      </c>
      <c r="B244" s="565">
        <f t="shared" ref="B244:Y244" si="97">B240</f>
        <v>6636.989014</v>
      </c>
      <c r="C244" s="565">
        <f t="shared" si="97"/>
        <v>4903.390041</v>
      </c>
      <c r="D244" s="565">
        <f t="shared" si="97"/>
        <v>2689.180092</v>
      </c>
      <c r="E244" s="565">
        <f t="shared" si="97"/>
        <v>5438.846202</v>
      </c>
      <c r="F244" s="565">
        <f t="shared" si="97"/>
        <v>3279.4098</v>
      </c>
      <c r="G244" s="565">
        <f t="shared" si="97"/>
        <v>1700.090182</v>
      </c>
      <c r="H244" s="565">
        <f t="shared" si="97"/>
        <v>4044.371112</v>
      </c>
      <c r="I244" s="565">
        <f t="shared" si="97"/>
        <v>9569.783368</v>
      </c>
      <c r="J244" s="565">
        <f t="shared" si="97"/>
        <v>16524.20001</v>
      </c>
      <c r="K244" s="565">
        <f t="shared" si="97"/>
        <v>6381.847025</v>
      </c>
      <c r="L244" s="565">
        <f t="shared" si="97"/>
        <v>1490.706176</v>
      </c>
      <c r="M244" s="565">
        <f t="shared" si="97"/>
        <v>3000.523212</v>
      </c>
      <c r="N244" s="565">
        <f t="shared" si="97"/>
        <v>1930.851723</v>
      </c>
      <c r="O244" s="565">
        <f t="shared" si="97"/>
        <v>3750.798922</v>
      </c>
      <c r="P244" s="565">
        <f t="shared" si="97"/>
        <v>8525.59446</v>
      </c>
      <c r="Q244" s="565">
        <f t="shared" si="97"/>
        <v>843.5772421</v>
      </c>
      <c r="R244" s="565">
        <f t="shared" si="97"/>
        <v>1681.421816</v>
      </c>
      <c r="S244" s="565">
        <f t="shared" si="97"/>
        <v>4203.189635</v>
      </c>
      <c r="T244" s="565">
        <f t="shared" si="97"/>
        <v>1289.706779</v>
      </c>
      <c r="U244" s="565">
        <f t="shared" si="97"/>
        <v>1155.263452</v>
      </c>
      <c r="V244" s="565">
        <f t="shared" si="97"/>
        <v>1450.348296</v>
      </c>
      <c r="W244" s="565">
        <f t="shared" si="97"/>
        <v>1626.519795</v>
      </c>
      <c r="X244" s="565">
        <f t="shared" si="97"/>
        <v>872.018543</v>
      </c>
      <c r="Y244" s="565">
        <f t="shared" si="97"/>
        <v>2462.704456</v>
      </c>
    </row>
    <row r="245">
      <c r="A245" s="223" t="s">
        <v>616</v>
      </c>
      <c r="B245" s="523">
        <f t="shared" ref="B245:Y245" si="98">B244/B15</f>
        <v>0.06636989014</v>
      </c>
      <c r="C245" s="523">
        <f t="shared" si="98"/>
        <v>0.04903390041</v>
      </c>
      <c r="D245" s="523">
        <f t="shared" si="98"/>
        <v>0.02689180092</v>
      </c>
      <c r="E245" s="523">
        <f t="shared" si="98"/>
        <v>0.05438846202</v>
      </c>
      <c r="F245" s="523">
        <f t="shared" si="98"/>
        <v>0.032794098</v>
      </c>
      <c r="G245" s="523">
        <f t="shared" si="98"/>
        <v>0.01700090182</v>
      </c>
      <c r="H245" s="523">
        <f t="shared" si="98"/>
        <v>0.04044371112</v>
      </c>
      <c r="I245" s="523">
        <f t="shared" si="98"/>
        <v>0.09569783368</v>
      </c>
      <c r="J245" s="523">
        <f t="shared" si="98"/>
        <v>0.1652420001</v>
      </c>
      <c r="K245" s="523">
        <f t="shared" si="98"/>
        <v>0.06381847025</v>
      </c>
      <c r="L245" s="523">
        <f t="shared" si="98"/>
        <v>0.01490706176</v>
      </c>
      <c r="M245" s="523">
        <f t="shared" si="98"/>
        <v>0.03000523212</v>
      </c>
      <c r="N245" s="523">
        <f t="shared" si="98"/>
        <v>0.01930851723</v>
      </c>
      <c r="O245" s="523">
        <f t="shared" si="98"/>
        <v>0.03750798922</v>
      </c>
      <c r="P245" s="523">
        <f t="shared" si="98"/>
        <v>0.0852559446</v>
      </c>
      <c r="Q245" s="523">
        <f t="shared" si="98"/>
        <v>0.008435772421</v>
      </c>
      <c r="R245" s="523">
        <f t="shared" si="98"/>
        <v>0.01681421816</v>
      </c>
      <c r="S245" s="523">
        <f t="shared" si="98"/>
        <v>0.04203189635</v>
      </c>
      <c r="T245" s="523">
        <f t="shared" si="98"/>
        <v>0.01289706779</v>
      </c>
      <c r="U245" s="523">
        <f t="shared" si="98"/>
        <v>0.01155263452</v>
      </c>
      <c r="V245" s="523">
        <f t="shared" si="98"/>
        <v>0.01450348296</v>
      </c>
      <c r="W245" s="523">
        <f t="shared" si="98"/>
        <v>0.01626519795</v>
      </c>
      <c r="X245" s="523">
        <f t="shared" si="98"/>
        <v>0.00872018543</v>
      </c>
      <c r="Y245" s="523">
        <f t="shared" si="98"/>
        <v>0.02462704456</v>
      </c>
    </row>
    <row r="246">
      <c r="A246" s="367"/>
      <c r="B246" s="566"/>
      <c r="C246" s="566"/>
      <c r="D246" s="566"/>
      <c r="E246" s="566"/>
      <c r="F246" s="566"/>
      <c r="G246" s="566"/>
      <c r="H246" s="566"/>
      <c r="I246" s="566"/>
      <c r="J246" s="566"/>
      <c r="K246" s="566"/>
      <c r="L246" s="566"/>
      <c r="M246" s="566"/>
      <c r="N246" s="566"/>
      <c r="O246" s="566"/>
      <c r="P246" s="566"/>
      <c r="Q246" s="566"/>
      <c r="R246" s="566"/>
      <c r="S246" s="566"/>
      <c r="T246" s="566"/>
      <c r="U246" s="566"/>
      <c r="V246" s="566"/>
      <c r="W246" s="566"/>
      <c r="X246" s="566"/>
      <c r="Y246" s="566"/>
    </row>
    <row r="247">
      <c r="A247" s="238" t="s">
        <v>224</v>
      </c>
      <c r="B247" s="239">
        <f t="array" ref="B247">B245/index(GiveDirectly!$B:$B,match("Units of value generated per philanthropic dollar spent, after accounting for all adjustments",GiveDirectly!$A:$A,0))</f>
        <v>19.78513002</v>
      </c>
      <c r="C247" s="239">
        <f t="array" ref="C247">C245/index(GiveDirectly!$B:$B,match("Units of value generated per philanthropic dollar spent, after accounting for all adjustments",GiveDirectly!$A:$A,0))</f>
        <v>14.61720206</v>
      </c>
      <c r="D247" s="239">
        <f t="array" ref="D247">D245/index(GiveDirectly!$B:$B,match("Units of value generated per philanthropic dollar spent, after accounting for all adjustments",GiveDirectly!$A:$A,0))</f>
        <v>8.016553535</v>
      </c>
      <c r="E247" s="239">
        <f t="array" ref="E247">E245/index(GiveDirectly!$B:$B,match("Units of value generated per philanthropic dollar spent, after accounting for all adjustments",GiveDirectly!$A:$A,0))</f>
        <v>16.21341831</v>
      </c>
      <c r="F247" s="239">
        <f t="array" ref="F247">F245/index(GiveDirectly!$B:$B,match("Units of value generated per philanthropic dollar spent, after accounting for all adjustments",GiveDirectly!$A:$A,0))</f>
        <v>9.77605193</v>
      </c>
      <c r="G247" s="239">
        <f t="array" ref="G247">G245/index(GiveDirectly!$B:$B,match("Units of value generated per philanthropic dollar spent, after accounting for all adjustments",GiveDirectly!$A:$A,0))</f>
        <v>5.068036911</v>
      </c>
      <c r="H247" s="239">
        <f t="array" ref="H247">H245/index(GiveDirectly!$B:$B,match("Units of value generated per philanthropic dollar spent, after accounting for all adjustments",GiveDirectly!$A:$A,0))</f>
        <v>12.05643223</v>
      </c>
      <c r="I247" s="239">
        <f t="array" ref="I247">I245/index(GiveDirectly!$B:$B,match("Units of value generated per philanthropic dollar spent, after accounting for all adjustments",GiveDirectly!$A:$A,0))</f>
        <v>28.52790742</v>
      </c>
      <c r="J247" s="239">
        <f t="array" ref="J247">J245/index(GiveDirectly!$B:$B,match("Units of value generated per philanthropic dollar spent, after accounting for all adjustments",GiveDirectly!$A:$A,0))</f>
        <v>49.25930192</v>
      </c>
      <c r="K247" s="239">
        <f t="array" ref="K247">K245/index(GiveDirectly!$B:$B,match("Units of value generated per philanthropic dollar spent, after accounting for all adjustments",GiveDirectly!$A:$A,0))</f>
        <v>19.02454153</v>
      </c>
      <c r="L247" s="239">
        <f t="array" ref="L247">L245/index(GiveDirectly!$B:$B,match("Units of value generated per philanthropic dollar spent, after accounting for all adjustments",GiveDirectly!$A:$A,0))</f>
        <v>4.443854804</v>
      </c>
      <c r="M247" s="239">
        <f t="array" ref="M247">M245/index(GiveDirectly!$B:$B,match("Units of value generated per philanthropic dollar spent, after accounting for all adjustments",GiveDirectly!$A:$A,0))</f>
        <v>8.944679845</v>
      </c>
      <c r="N247" s="239">
        <f t="array" ref="N247">N245/index(GiveDirectly!$B:$B,match("Units of value generated per philanthropic dollar spent, after accounting for all adjustments",GiveDirectly!$A:$A,0))</f>
        <v>5.755946302</v>
      </c>
      <c r="O247" s="239">
        <f t="array" ref="O247">O245/index(GiveDirectly!$B:$B,match("Units of value generated per philanthropic dollar spent, after accounting for all adjustments",GiveDirectly!$A:$A,0))</f>
        <v>11.18128178</v>
      </c>
      <c r="P247" s="239">
        <f t="array" ref="P247">P245/index(GiveDirectly!$B:$B,match("Units of value generated per philanthropic dollar spent, after accounting for all adjustments",GiveDirectly!$A:$A,0))</f>
        <v>25.41513848</v>
      </c>
      <c r="Q247" s="239">
        <f t="array" ref="Q247">Q245/index(GiveDirectly!$B:$B,match("Units of value generated per philanthropic dollar spent, after accounting for all adjustments",GiveDirectly!$A:$A,0))</f>
        <v>2.514737538</v>
      </c>
      <c r="R247" s="239">
        <f t="array" ref="R247">R245/index(GiveDirectly!$B:$B,match("Units of value generated per philanthropic dollar spent, after accounting for all adjustments",GiveDirectly!$A:$A,0))</f>
        <v>5.012385763</v>
      </c>
      <c r="S247" s="239">
        <f t="array" ref="S247">S245/index(GiveDirectly!$B:$B,match("Units of value generated per philanthropic dollar spent, after accounting for all adjustments",GiveDirectly!$A:$A,0))</f>
        <v>12.52987661</v>
      </c>
      <c r="T247" s="239">
        <f t="array" ref="T247">T245/index(GiveDirectly!$B:$B,match("Units of value generated per philanthropic dollar spent, after accounting for all adjustments",GiveDirectly!$A:$A,0))</f>
        <v>3.844667551</v>
      </c>
      <c r="U247" s="239">
        <f t="array" ref="U247">U245/index(GiveDirectly!$B:$B,match("Units of value generated per philanthropic dollar spent, after accounting for all adjustments",GiveDirectly!$A:$A,0))</f>
        <v>3.443886609</v>
      </c>
      <c r="V247" s="239">
        <f t="array" ref="V247">V245/index(GiveDirectly!$B:$B,match("Units of value generated per philanthropic dollar spent, after accounting for all adjustments",GiveDirectly!$A:$A,0))</f>
        <v>4.323546346</v>
      </c>
      <c r="W247" s="239">
        <f t="array" ref="W247">W245/index(GiveDirectly!$B:$B,match("Units of value generated per philanthropic dollar spent, after accounting for all adjustments",GiveDirectly!$A:$A,0))</f>
        <v>4.84872064</v>
      </c>
      <c r="X247" s="239">
        <f t="array" ref="X247">X245/index(GiveDirectly!$B:$B,match("Units of value generated per philanthropic dollar spent, after accounting for all adjustments",GiveDirectly!$A:$A,0))</f>
        <v>2.599522195</v>
      </c>
      <c r="Y247" s="239">
        <f t="array" ref="Y247">Y245/index(GiveDirectly!$B:$B,match("Units of value generated per philanthropic dollar spent, after accounting for all adjustments",GiveDirectly!$A:$A,0))</f>
        <v>7.341420598</v>
      </c>
    </row>
    <row r="248">
      <c r="A248" s="367" t="s">
        <v>345</v>
      </c>
      <c r="B248" s="563">
        <f t="shared" ref="B248:Y248" si="99">(B247-B111)/B111</f>
        <v>0.1119093176</v>
      </c>
      <c r="C248" s="563">
        <f t="shared" si="99"/>
        <v>0.0118714015</v>
      </c>
      <c r="D248" s="563">
        <f t="shared" si="99"/>
        <v>-0.02927189417</v>
      </c>
      <c r="E248" s="563">
        <f t="shared" si="99"/>
        <v>0.2505423346</v>
      </c>
      <c r="F248" s="563">
        <f t="shared" si="99"/>
        <v>-0.07452536078</v>
      </c>
      <c r="G248" s="563">
        <f t="shared" si="99"/>
        <v>0.02779844494</v>
      </c>
      <c r="H248" s="563">
        <f t="shared" si="99"/>
        <v>0.1641162354</v>
      </c>
      <c r="I248" s="563">
        <f t="shared" si="99"/>
        <v>0.05406073979</v>
      </c>
      <c r="J248" s="563">
        <f t="shared" si="99"/>
        <v>0.1230502245</v>
      </c>
      <c r="K248" s="563">
        <f t="shared" si="99"/>
        <v>0.1729232075</v>
      </c>
      <c r="L248" s="563">
        <f t="shared" si="99"/>
        <v>0.1204003142</v>
      </c>
      <c r="M248" s="563">
        <f t="shared" si="99"/>
        <v>0.1543374671</v>
      </c>
      <c r="N248" s="563">
        <f t="shared" si="99"/>
        <v>0.1355240474</v>
      </c>
      <c r="O248" s="563">
        <f t="shared" si="99"/>
        <v>0.1612846013</v>
      </c>
      <c r="P248" s="563">
        <f t="shared" si="99"/>
        <v>0.1771522191</v>
      </c>
      <c r="Q248" s="563">
        <f t="shared" si="99"/>
        <v>0.07233712461</v>
      </c>
      <c r="R248" s="563">
        <f t="shared" si="99"/>
        <v>0.1278748777</v>
      </c>
      <c r="S248" s="563">
        <f t="shared" si="99"/>
        <v>0.164300723</v>
      </c>
      <c r="T248" s="563">
        <f t="shared" si="99"/>
        <v>0.1102902115</v>
      </c>
      <c r="U248" s="563">
        <f t="shared" si="99"/>
        <v>0.1017098597</v>
      </c>
      <c r="V248" s="563">
        <f t="shared" si="99"/>
        <v>0.1185817064</v>
      </c>
      <c r="W248" s="563">
        <f t="shared" si="99"/>
        <v>0.1258931476</v>
      </c>
      <c r="X248" s="563">
        <f t="shared" si="99"/>
        <v>0.07580447461</v>
      </c>
      <c r="Y248" s="563">
        <f t="shared" si="99"/>
        <v>0.146847169</v>
      </c>
    </row>
    <row r="249">
      <c r="A249" s="367"/>
      <c r="B249" s="563"/>
      <c r="C249" s="563"/>
      <c r="D249" s="563"/>
      <c r="E249" s="563"/>
      <c r="F249" s="563"/>
      <c r="G249" s="563"/>
      <c r="H249" s="563"/>
      <c r="I249" s="563"/>
      <c r="J249" s="563"/>
      <c r="K249" s="563"/>
      <c r="L249" s="563"/>
      <c r="M249" s="563"/>
      <c r="N249" s="563"/>
      <c r="O249" s="563"/>
      <c r="P249" s="563"/>
      <c r="Q249" s="563"/>
      <c r="R249" s="563"/>
      <c r="S249" s="563"/>
      <c r="T249" s="563"/>
      <c r="U249" s="563"/>
      <c r="V249" s="563"/>
      <c r="W249" s="563"/>
      <c r="X249" s="563"/>
      <c r="Y249" s="563"/>
    </row>
    <row r="250">
      <c r="A250" s="230" t="s">
        <v>226</v>
      </c>
      <c r="B250" s="231"/>
      <c r="C250" s="231"/>
      <c r="D250" s="231"/>
      <c r="E250" s="231"/>
      <c r="F250" s="231"/>
      <c r="G250" s="231"/>
      <c r="H250" s="231"/>
      <c r="I250" s="231"/>
      <c r="J250" s="231"/>
      <c r="K250" s="231"/>
      <c r="L250" s="231"/>
      <c r="M250" s="231"/>
      <c r="N250" s="231"/>
      <c r="O250" s="231"/>
      <c r="P250" s="231"/>
      <c r="Q250" s="231"/>
      <c r="R250" s="231"/>
      <c r="S250" s="231"/>
      <c r="T250" s="231"/>
      <c r="U250" s="231"/>
      <c r="V250" s="231"/>
      <c r="W250" s="231"/>
      <c r="X250" s="231"/>
      <c r="Y250" s="231"/>
    </row>
    <row r="251">
      <c r="A251" s="240" t="s">
        <v>227</v>
      </c>
      <c r="B251" s="567">
        <f t="shared" ref="B251:Y251" si="100">B81</f>
        <v>65.32005506</v>
      </c>
      <c r="C251" s="567">
        <f t="shared" si="100"/>
        <v>33.24877028</v>
      </c>
      <c r="D251" s="567">
        <f t="shared" si="100"/>
        <v>26.28170067</v>
      </c>
      <c r="E251" s="567">
        <f t="shared" si="100"/>
        <v>40.18788909</v>
      </c>
      <c r="F251" s="567">
        <f t="shared" si="100"/>
        <v>29.81056602</v>
      </c>
      <c r="G251" s="567">
        <f t="shared" si="100"/>
        <v>13.59313146</v>
      </c>
      <c r="H251" s="567">
        <f t="shared" si="100"/>
        <v>22.36547741</v>
      </c>
      <c r="I251" s="567">
        <f t="shared" si="100"/>
        <v>99.07970629</v>
      </c>
      <c r="J251" s="567">
        <f t="shared" si="100"/>
        <v>192.9784269</v>
      </c>
      <c r="K251" s="567">
        <f t="shared" si="100"/>
        <v>54.71763486</v>
      </c>
      <c r="L251" s="567">
        <f t="shared" si="100"/>
        <v>12.07426283</v>
      </c>
      <c r="M251" s="567">
        <f t="shared" si="100"/>
        <v>25.06722944</v>
      </c>
      <c r="N251" s="567">
        <f t="shared" si="100"/>
        <v>15.81088513</v>
      </c>
      <c r="O251" s="567">
        <f t="shared" si="100"/>
        <v>31.13192508</v>
      </c>
      <c r="P251" s="567">
        <f t="shared" si="100"/>
        <v>73.26677632</v>
      </c>
      <c r="Q251" s="567">
        <f t="shared" si="100"/>
        <v>6.700221088</v>
      </c>
      <c r="R251" s="567">
        <f t="shared" si="100"/>
        <v>14.08879964</v>
      </c>
      <c r="S251" s="567">
        <f t="shared" si="100"/>
        <v>34.93876439</v>
      </c>
      <c r="T251" s="567">
        <f t="shared" si="100"/>
        <v>10.55383864</v>
      </c>
      <c r="U251" s="567">
        <f t="shared" si="100"/>
        <v>8.890726391</v>
      </c>
      <c r="V251" s="567">
        <f t="shared" si="100"/>
        <v>11.446264</v>
      </c>
      <c r="W251" s="567">
        <f t="shared" si="100"/>
        <v>13.1891844</v>
      </c>
      <c r="X251" s="567">
        <f t="shared" si="100"/>
        <v>6.739255759</v>
      </c>
      <c r="Y251" s="567">
        <f t="shared" si="100"/>
        <v>20.38591492</v>
      </c>
    </row>
    <row r="252">
      <c r="A252" s="240" t="s">
        <v>228</v>
      </c>
      <c r="B252" s="563">
        <f>sumif('Supplemental intervention-level'!$N70:$N79,"Yes",B94:B103)</f>
        <v>0.015</v>
      </c>
      <c r="C252" s="563">
        <f>sumif('Supplemental intervention-level'!$N70:$N79,"Yes",C94:C103)</f>
        <v>0.015</v>
      </c>
      <c r="D252" s="563">
        <f>sumif('Supplemental intervention-level'!$N70:$N79,"Yes",D94:D103)</f>
        <v>0.015</v>
      </c>
      <c r="E252" s="563">
        <f>sumif('Supplemental intervention-level'!$N70:$N79,"Yes",E94:E103)</f>
        <v>0.015</v>
      </c>
      <c r="F252" s="563">
        <f>sumif('Supplemental intervention-level'!$N70:$N79,"Yes",F94:F103)</f>
        <v>0.015</v>
      </c>
      <c r="G252" s="563">
        <f>sumif('Supplemental intervention-level'!$N70:$N79,"Yes",G94:G103)</f>
        <v>0.015</v>
      </c>
      <c r="H252" s="563">
        <f>sumif('Supplemental intervention-level'!$N70:$N79,"Yes",H94:H103)</f>
        <v>0.185</v>
      </c>
      <c r="I252" s="563">
        <f>sumif('Supplemental intervention-level'!$N70:$N79,"Yes",I94:I103)</f>
        <v>0.015</v>
      </c>
      <c r="J252" s="563">
        <f>sumif('Supplemental intervention-level'!$N70:$N79,"Yes",J94:J103)</f>
        <v>0.015</v>
      </c>
      <c r="K252" s="563">
        <f>sumif('Supplemental intervention-level'!$N70:$N79,"Yes",K94:K103)</f>
        <v>0.015</v>
      </c>
      <c r="L252" s="563">
        <f>sumif('Supplemental intervention-level'!$N70:$N79,"Yes",L94:L103)</f>
        <v>0.015</v>
      </c>
      <c r="M252" s="563">
        <f>sumif('Supplemental intervention-level'!$N70:$N79,"Yes",M94:M103)</f>
        <v>0.015</v>
      </c>
      <c r="N252" s="563">
        <f>sumif('Supplemental intervention-level'!$N70:$N79,"Yes",N94:N103)</f>
        <v>0.015</v>
      </c>
      <c r="O252" s="563">
        <f>sumif('Supplemental intervention-level'!$N70:$N79,"Yes",O94:O103)</f>
        <v>0.015</v>
      </c>
      <c r="P252" s="563">
        <f>sumif('Supplemental intervention-level'!$N70:$N79,"Yes",P94:P103)</f>
        <v>0.015</v>
      </c>
      <c r="Q252" s="563">
        <f>sumif('Supplemental intervention-level'!$N70:$N79,"Yes",Q94:Q103)</f>
        <v>0.015</v>
      </c>
      <c r="R252" s="563">
        <f>sumif('Supplemental intervention-level'!$N70:$N79,"Yes",R94:R103)</f>
        <v>0.015</v>
      </c>
      <c r="S252" s="563">
        <f>sumif('Supplemental intervention-level'!$N70:$N79,"Yes",S94:S103)</f>
        <v>0.015</v>
      </c>
      <c r="T252" s="563">
        <f>sumif('Supplemental intervention-level'!$N70:$N79,"Yes",T94:T103)</f>
        <v>0.015</v>
      </c>
      <c r="U252" s="563">
        <f>sumif('Supplemental intervention-level'!$N70:$N79,"Yes",U94:U103)</f>
        <v>0.015</v>
      </c>
      <c r="V252" s="563">
        <f>sumif('Supplemental intervention-level'!$N70:$N79,"Yes",V94:V103)</f>
        <v>0.015</v>
      </c>
      <c r="W252" s="563">
        <f>sumif('Supplemental intervention-level'!$N70:$N79,"Yes",W94:W103)</f>
        <v>0.015</v>
      </c>
      <c r="X252" s="563">
        <f>sumif('Supplemental intervention-level'!$N70:$N79,"Yes",X94:X103)</f>
        <v>0.015</v>
      </c>
      <c r="Y252" s="563">
        <f>sumif('Supplemental intervention-level'!$N70:$N79,"Yes",Y94:Y103)</f>
        <v>0.015</v>
      </c>
    </row>
    <row r="253">
      <c r="A253" s="240" t="s">
        <v>229</v>
      </c>
      <c r="B253" s="563">
        <f t="shared" ref="B253:Y253" si="101">if(B248&lt;0,B248,0)</f>
        <v>0</v>
      </c>
      <c r="C253" s="563">
        <f t="shared" si="101"/>
        <v>0</v>
      </c>
      <c r="D253" s="563">
        <f t="shared" si="101"/>
        <v>-0.02927189417</v>
      </c>
      <c r="E253" s="563">
        <f t="shared" si="101"/>
        <v>0</v>
      </c>
      <c r="F253" s="563">
        <f t="shared" si="101"/>
        <v>-0.07452536078</v>
      </c>
      <c r="G253" s="563">
        <f t="shared" si="101"/>
        <v>0</v>
      </c>
      <c r="H253" s="563">
        <f t="shared" si="101"/>
        <v>0</v>
      </c>
      <c r="I253" s="563">
        <f t="shared" si="101"/>
        <v>0</v>
      </c>
      <c r="J253" s="563">
        <f t="shared" si="101"/>
        <v>0</v>
      </c>
      <c r="K253" s="563">
        <f t="shared" si="101"/>
        <v>0</v>
      </c>
      <c r="L253" s="563">
        <f t="shared" si="101"/>
        <v>0</v>
      </c>
      <c r="M253" s="563">
        <f t="shared" si="101"/>
        <v>0</v>
      </c>
      <c r="N253" s="563">
        <f t="shared" si="101"/>
        <v>0</v>
      </c>
      <c r="O253" s="563">
        <f t="shared" si="101"/>
        <v>0</v>
      </c>
      <c r="P253" s="563">
        <f t="shared" si="101"/>
        <v>0</v>
      </c>
      <c r="Q253" s="563">
        <f t="shared" si="101"/>
        <v>0</v>
      </c>
      <c r="R253" s="563">
        <f t="shared" si="101"/>
        <v>0</v>
      </c>
      <c r="S253" s="563">
        <f t="shared" si="101"/>
        <v>0</v>
      </c>
      <c r="T253" s="563">
        <f t="shared" si="101"/>
        <v>0</v>
      </c>
      <c r="U253" s="563">
        <f t="shared" si="101"/>
        <v>0</v>
      </c>
      <c r="V253" s="563">
        <f t="shared" si="101"/>
        <v>0</v>
      </c>
      <c r="W253" s="563">
        <f t="shared" si="101"/>
        <v>0</v>
      </c>
      <c r="X253" s="563">
        <f t="shared" si="101"/>
        <v>0</v>
      </c>
      <c r="Y253" s="563">
        <f t="shared" si="101"/>
        <v>0</v>
      </c>
    </row>
    <row r="254">
      <c r="A254" s="240" t="s">
        <v>230</v>
      </c>
      <c r="B254" s="566">
        <f t="shared" ref="B254:Y254" si="102">B16/(B251*(1+B252)*(1+B253))</f>
        <v>3499.01547</v>
      </c>
      <c r="C254" s="566">
        <f t="shared" si="102"/>
        <v>4627.511804</v>
      </c>
      <c r="D254" s="566">
        <f t="shared" si="102"/>
        <v>8287.163729</v>
      </c>
      <c r="E254" s="566">
        <f t="shared" si="102"/>
        <v>5260.921153</v>
      </c>
      <c r="F254" s="566">
        <f t="shared" si="102"/>
        <v>6460.371584</v>
      </c>
      <c r="G254" s="566">
        <f t="shared" si="102"/>
        <v>15553.8344</v>
      </c>
      <c r="H254" s="566">
        <f t="shared" si="102"/>
        <v>6306.338637</v>
      </c>
      <c r="I254" s="566">
        <f t="shared" si="102"/>
        <v>2299.304953</v>
      </c>
      <c r="J254" s="566">
        <f t="shared" si="102"/>
        <v>1411.536317</v>
      </c>
      <c r="K254" s="566">
        <f t="shared" si="102"/>
        <v>3863.933746</v>
      </c>
      <c r="L254" s="566">
        <f t="shared" si="102"/>
        <v>17510.41193</v>
      </c>
      <c r="M254" s="566">
        <f t="shared" si="102"/>
        <v>8434.331219</v>
      </c>
      <c r="N254" s="566">
        <f t="shared" si="102"/>
        <v>13372.1366</v>
      </c>
      <c r="O254" s="566">
        <f t="shared" si="102"/>
        <v>6791.270224</v>
      </c>
      <c r="P254" s="566">
        <f t="shared" si="102"/>
        <v>2885.691529</v>
      </c>
      <c r="Q254" s="566">
        <f t="shared" si="102"/>
        <v>31554.97603</v>
      </c>
      <c r="R254" s="566">
        <f t="shared" si="102"/>
        <v>15006.62379</v>
      </c>
      <c r="S254" s="566">
        <f t="shared" si="102"/>
        <v>6051.310615</v>
      </c>
      <c r="T254" s="566">
        <f t="shared" si="102"/>
        <v>20033.02524</v>
      </c>
      <c r="U254" s="566">
        <f t="shared" si="102"/>
        <v>23780.43216</v>
      </c>
      <c r="V254" s="566">
        <f t="shared" si="102"/>
        <v>18471.12</v>
      </c>
      <c r="W254" s="566">
        <f t="shared" si="102"/>
        <v>16030.20394</v>
      </c>
      <c r="X254" s="566">
        <f t="shared" si="102"/>
        <v>31372.20538</v>
      </c>
      <c r="Y254" s="566">
        <f t="shared" si="102"/>
        <v>10371.14678</v>
      </c>
    </row>
    <row r="255">
      <c r="A255" s="367"/>
      <c r="B255" s="563"/>
      <c r="C255" s="563"/>
      <c r="D255" s="563"/>
      <c r="E255" s="563"/>
      <c r="F255" s="563"/>
      <c r="G255" s="563"/>
      <c r="H255" s="563"/>
      <c r="I255" s="563"/>
      <c r="J255" s="563"/>
      <c r="K255" s="563"/>
      <c r="L255" s="563"/>
      <c r="M255" s="563"/>
      <c r="N255" s="563"/>
      <c r="O255" s="563"/>
      <c r="P255" s="563"/>
      <c r="Q255" s="563"/>
      <c r="R255" s="563"/>
      <c r="S255" s="563"/>
      <c r="T255" s="563"/>
      <c r="U255" s="563"/>
      <c r="V255" s="563"/>
      <c r="W255" s="563"/>
      <c r="X255" s="563"/>
      <c r="Y255" s="563"/>
    </row>
  </sheetData>
  <drawing r:id="rId2"/>
  <legacyDrawing r:id="rId3"/>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A86E8"/>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7.29" defaultRowHeight="15.0" outlineLevelRow="1"/>
  <cols>
    <col customWidth="1" min="1" max="1" width="116.14"/>
    <col customWidth="1" min="2" max="38" width="15.14"/>
  </cols>
  <sheetData>
    <row r="1">
      <c r="A1" s="531" t="s">
        <v>617</v>
      </c>
      <c r="B1" s="470" t="s">
        <v>618</v>
      </c>
      <c r="C1" s="470" t="s">
        <v>550</v>
      </c>
      <c r="D1" s="310" t="s">
        <v>551</v>
      </c>
      <c r="E1" s="310" t="s">
        <v>556</v>
      </c>
      <c r="F1" s="470" t="s">
        <v>619</v>
      </c>
      <c r="G1" s="310" t="s">
        <v>620</v>
      </c>
      <c r="H1" s="310" t="s">
        <v>552</v>
      </c>
      <c r="I1" s="310" t="s">
        <v>621</v>
      </c>
      <c r="J1" s="310" t="s">
        <v>622</v>
      </c>
      <c r="K1" s="310" t="s">
        <v>557</v>
      </c>
      <c r="L1" s="310" t="s">
        <v>558</v>
      </c>
      <c r="M1" s="310" t="s">
        <v>559</v>
      </c>
      <c r="N1" s="310" t="s">
        <v>553</v>
      </c>
      <c r="O1" s="310" t="s">
        <v>623</v>
      </c>
      <c r="P1" s="310" t="s">
        <v>624</v>
      </c>
      <c r="Q1" s="470" t="s">
        <v>625</v>
      </c>
      <c r="R1" s="470" t="s">
        <v>560</v>
      </c>
      <c r="S1" s="470" t="s">
        <v>626</v>
      </c>
      <c r="T1" s="310" t="s">
        <v>627</v>
      </c>
      <c r="U1" s="470" t="s">
        <v>628</v>
      </c>
      <c r="V1" s="470" t="s">
        <v>629</v>
      </c>
      <c r="W1" s="310" t="s">
        <v>630</v>
      </c>
      <c r="X1" s="310" t="s">
        <v>561</v>
      </c>
      <c r="Y1" s="470" t="s">
        <v>631</v>
      </c>
      <c r="Z1" s="470" t="s">
        <v>632</v>
      </c>
      <c r="AA1" s="310" t="s">
        <v>554</v>
      </c>
      <c r="AB1" s="310" t="s">
        <v>356</v>
      </c>
      <c r="AC1" s="310" t="s">
        <v>562</v>
      </c>
      <c r="AD1" s="310" t="s">
        <v>633</v>
      </c>
      <c r="AE1" s="310" t="s">
        <v>563</v>
      </c>
      <c r="AF1" s="310" t="s">
        <v>634</v>
      </c>
      <c r="AG1" s="310" t="s">
        <v>635</v>
      </c>
      <c r="AH1" s="310" t="s">
        <v>564</v>
      </c>
      <c r="AI1" s="470" t="s">
        <v>636</v>
      </c>
      <c r="AJ1" s="470" t="s">
        <v>555</v>
      </c>
      <c r="AK1" s="310" t="s">
        <v>637</v>
      </c>
      <c r="AL1" s="470" t="s">
        <v>638</v>
      </c>
    </row>
    <row r="2">
      <c r="A2" s="446"/>
      <c r="B2" s="291"/>
      <c r="C2" s="291"/>
      <c r="D2" s="291"/>
      <c r="E2" s="291"/>
      <c r="F2" s="291"/>
      <c r="G2" s="151"/>
      <c r="H2" s="151"/>
      <c r="I2" s="151"/>
      <c r="J2" s="151"/>
      <c r="K2" s="151"/>
      <c r="L2" s="151"/>
      <c r="M2" s="151"/>
      <c r="N2" s="151"/>
      <c r="O2" s="151"/>
      <c r="P2" s="151"/>
      <c r="Q2" s="291"/>
      <c r="R2" s="291"/>
      <c r="S2" s="291"/>
      <c r="T2" s="151"/>
      <c r="U2" s="291"/>
      <c r="V2" s="291"/>
      <c r="W2" s="151"/>
      <c r="X2" s="151"/>
      <c r="Y2" s="291"/>
      <c r="Z2" s="291"/>
      <c r="AA2" s="151"/>
      <c r="AB2" s="151"/>
      <c r="AC2" s="151"/>
      <c r="AD2" s="151"/>
      <c r="AE2" s="151"/>
      <c r="AF2" s="151"/>
      <c r="AG2" s="151"/>
      <c r="AH2" s="151"/>
      <c r="AI2" s="291"/>
      <c r="AJ2" s="291"/>
      <c r="AK2" s="291"/>
      <c r="AL2" s="291"/>
    </row>
    <row r="3">
      <c r="A3" s="160" t="s">
        <v>639</v>
      </c>
      <c r="B3" s="472"/>
      <c r="C3" s="472"/>
      <c r="D3" s="472"/>
      <c r="E3" s="472"/>
      <c r="F3" s="472"/>
      <c r="G3" s="161"/>
      <c r="H3" s="161"/>
      <c r="I3" s="161"/>
      <c r="J3" s="161"/>
      <c r="K3" s="161"/>
      <c r="L3" s="161"/>
      <c r="M3" s="161"/>
      <c r="N3" s="161"/>
      <c r="O3" s="161"/>
      <c r="P3" s="161"/>
      <c r="Q3" s="472"/>
      <c r="R3" s="472"/>
      <c r="S3" s="472"/>
      <c r="T3" s="161"/>
      <c r="U3" s="472"/>
      <c r="V3" s="472"/>
      <c r="W3" s="161"/>
      <c r="X3" s="161"/>
      <c r="Y3" s="472"/>
      <c r="Z3" s="472"/>
      <c r="AA3" s="161"/>
      <c r="AB3" s="161"/>
      <c r="AC3" s="161"/>
      <c r="AD3" s="161"/>
      <c r="AE3" s="161"/>
      <c r="AF3" s="161"/>
      <c r="AG3" s="161"/>
      <c r="AH3" s="161"/>
      <c r="AI3" s="472"/>
      <c r="AJ3" s="472"/>
      <c r="AK3" s="472"/>
      <c r="AL3" s="472"/>
    </row>
    <row r="4">
      <c r="A4" s="291"/>
      <c r="B4" s="568"/>
      <c r="C4" s="568"/>
      <c r="D4" s="568"/>
      <c r="E4" s="568"/>
      <c r="F4" s="568"/>
      <c r="G4" s="151"/>
      <c r="H4" s="151"/>
      <c r="I4" s="151"/>
      <c r="J4" s="151"/>
      <c r="K4" s="151"/>
      <c r="L4" s="151"/>
      <c r="M4" s="151"/>
      <c r="N4" s="151"/>
      <c r="O4" s="151"/>
      <c r="P4" s="151"/>
      <c r="Q4" s="568"/>
      <c r="R4" s="568"/>
      <c r="S4" s="568"/>
      <c r="T4" s="151"/>
      <c r="U4" s="568"/>
      <c r="V4" s="568"/>
      <c r="W4" s="151"/>
      <c r="X4" s="151"/>
      <c r="Y4" s="568"/>
      <c r="Z4" s="568"/>
      <c r="AA4" s="151"/>
      <c r="AB4" s="151"/>
      <c r="AC4" s="151"/>
      <c r="AD4" s="151"/>
      <c r="AE4" s="151"/>
      <c r="AF4" s="151"/>
      <c r="AG4" s="151"/>
      <c r="AH4" s="151"/>
      <c r="AI4" s="568"/>
      <c r="AJ4" s="568"/>
      <c r="AK4" s="568"/>
      <c r="AL4" s="568"/>
    </row>
    <row r="5">
      <c r="A5" s="129" t="s">
        <v>640</v>
      </c>
      <c r="B5" s="127">
        <v>0.8555069106709619</v>
      </c>
      <c r="C5" s="127">
        <v>0.7052281384195158</v>
      </c>
      <c r="D5" s="127">
        <v>0.8153213240137147</v>
      </c>
      <c r="E5" s="127">
        <v>0.780409750049788</v>
      </c>
      <c r="F5" s="127">
        <v>0.4558586027905338</v>
      </c>
      <c r="G5" s="127">
        <v>0.7492582785696065</v>
      </c>
      <c r="H5" s="127">
        <v>0.7483148731926997</v>
      </c>
      <c r="I5" s="127">
        <v>0.4899441590660501</v>
      </c>
      <c r="J5" s="127">
        <v>0.8986962240801178</v>
      </c>
      <c r="K5" s="127">
        <v>0.7658638040566971</v>
      </c>
      <c r="L5" s="127">
        <v>0.9808066787686185</v>
      </c>
      <c r="M5" s="127">
        <v>0.8741529149338559</v>
      </c>
      <c r="N5" s="127">
        <v>0.9305731255332614</v>
      </c>
      <c r="O5" s="127">
        <v>0.9550536136522049</v>
      </c>
      <c r="P5" s="127">
        <v>0.9046220702695708</v>
      </c>
      <c r="Q5" s="127">
        <v>0.5809358638993142</v>
      </c>
      <c r="R5" s="127">
        <v>0.9126650923115175</v>
      </c>
      <c r="S5" s="127">
        <v>0.5291989770116435</v>
      </c>
      <c r="T5" s="127">
        <v>0.6051988944213118</v>
      </c>
      <c r="U5" s="127">
        <v>0.49845404668906124</v>
      </c>
      <c r="V5" s="127">
        <v>0.44548294721637116</v>
      </c>
      <c r="W5" s="127">
        <v>0.4257033106367198</v>
      </c>
      <c r="X5" s="127">
        <v>0.7812986068490533</v>
      </c>
      <c r="Y5" s="127">
        <v>0.6329072623056523</v>
      </c>
      <c r="Z5" s="127">
        <v>0.898050816837974</v>
      </c>
      <c r="AA5" s="127">
        <v>0.6728358097050304</v>
      </c>
      <c r="AB5" s="127">
        <v>0.5479796300494956</v>
      </c>
      <c r="AC5" s="127">
        <v>0.6059475565783046</v>
      </c>
      <c r="AD5" s="127">
        <v>0.6888697559298231</v>
      </c>
      <c r="AE5" s="127">
        <v>0.8652257388279976</v>
      </c>
      <c r="AF5" s="127">
        <v>0.685433353337861</v>
      </c>
      <c r="AG5" s="127">
        <v>0.7596359298285325</v>
      </c>
      <c r="AH5" s="127">
        <v>0.8669164826223471</v>
      </c>
      <c r="AI5" s="127">
        <v>0.22715051711228507</v>
      </c>
      <c r="AJ5" s="127">
        <v>0.660666284273117</v>
      </c>
      <c r="AK5" s="127">
        <v>0.7091098086367397</v>
      </c>
      <c r="AL5" s="127">
        <v>0.43025267893932473</v>
      </c>
    </row>
    <row r="6">
      <c r="A6" s="129" t="s">
        <v>641</v>
      </c>
      <c r="B6" s="211">
        <f t="shared" ref="B6:AL6" si="1">1-B5</f>
        <v>0.1444930893</v>
      </c>
      <c r="C6" s="211">
        <f t="shared" si="1"/>
        <v>0.2947718616</v>
      </c>
      <c r="D6" s="211">
        <f t="shared" si="1"/>
        <v>0.184678676</v>
      </c>
      <c r="E6" s="211">
        <f t="shared" si="1"/>
        <v>0.21959025</v>
      </c>
      <c r="F6" s="211">
        <f t="shared" si="1"/>
        <v>0.5441413972</v>
      </c>
      <c r="G6" s="211">
        <f t="shared" si="1"/>
        <v>0.2507417214</v>
      </c>
      <c r="H6" s="211">
        <f t="shared" si="1"/>
        <v>0.2516851268</v>
      </c>
      <c r="I6" s="211">
        <f t="shared" si="1"/>
        <v>0.5100558409</v>
      </c>
      <c r="J6" s="211">
        <f t="shared" si="1"/>
        <v>0.1013037759</v>
      </c>
      <c r="K6" s="211">
        <f t="shared" si="1"/>
        <v>0.2341361959</v>
      </c>
      <c r="L6" s="211">
        <f t="shared" si="1"/>
        <v>0.01919332123</v>
      </c>
      <c r="M6" s="211">
        <f t="shared" si="1"/>
        <v>0.1258470851</v>
      </c>
      <c r="N6" s="211">
        <f t="shared" si="1"/>
        <v>0.06942687447</v>
      </c>
      <c r="O6" s="211">
        <f t="shared" si="1"/>
        <v>0.04494638635</v>
      </c>
      <c r="P6" s="211">
        <f t="shared" si="1"/>
        <v>0.09537792973</v>
      </c>
      <c r="Q6" s="211">
        <f t="shared" si="1"/>
        <v>0.4190641361</v>
      </c>
      <c r="R6" s="211">
        <f t="shared" si="1"/>
        <v>0.08733490769</v>
      </c>
      <c r="S6" s="211">
        <f t="shared" si="1"/>
        <v>0.470801023</v>
      </c>
      <c r="T6" s="211">
        <f t="shared" si="1"/>
        <v>0.3948011056</v>
      </c>
      <c r="U6" s="211">
        <f t="shared" si="1"/>
        <v>0.5015459533</v>
      </c>
      <c r="V6" s="211">
        <f t="shared" si="1"/>
        <v>0.5545170528</v>
      </c>
      <c r="W6" s="211">
        <f t="shared" si="1"/>
        <v>0.5742966894</v>
      </c>
      <c r="X6" s="211">
        <f t="shared" si="1"/>
        <v>0.2187013932</v>
      </c>
      <c r="Y6" s="211">
        <f t="shared" si="1"/>
        <v>0.3670927377</v>
      </c>
      <c r="Z6" s="211">
        <f t="shared" si="1"/>
        <v>0.1019491832</v>
      </c>
      <c r="AA6" s="211">
        <f t="shared" si="1"/>
        <v>0.3271641903</v>
      </c>
      <c r="AB6" s="211">
        <f t="shared" si="1"/>
        <v>0.45202037</v>
      </c>
      <c r="AC6" s="211">
        <f t="shared" si="1"/>
        <v>0.3940524434</v>
      </c>
      <c r="AD6" s="211">
        <f t="shared" si="1"/>
        <v>0.3111302441</v>
      </c>
      <c r="AE6" s="211">
        <f t="shared" si="1"/>
        <v>0.1347742612</v>
      </c>
      <c r="AF6" s="211">
        <f t="shared" si="1"/>
        <v>0.3145666467</v>
      </c>
      <c r="AG6" s="211">
        <f t="shared" si="1"/>
        <v>0.2403640702</v>
      </c>
      <c r="AH6" s="211">
        <f t="shared" si="1"/>
        <v>0.1330835174</v>
      </c>
      <c r="AI6" s="211">
        <f t="shared" si="1"/>
        <v>0.7728494829</v>
      </c>
      <c r="AJ6" s="211">
        <f t="shared" si="1"/>
        <v>0.3393337157</v>
      </c>
      <c r="AK6" s="211">
        <f t="shared" si="1"/>
        <v>0.2908901914</v>
      </c>
      <c r="AL6" s="211">
        <f t="shared" si="1"/>
        <v>0.5697473211</v>
      </c>
    </row>
    <row r="7">
      <c r="A7" s="129" t="s">
        <v>642</v>
      </c>
      <c r="B7" s="169">
        <v>0.3324923</v>
      </c>
      <c r="C7" s="169">
        <v>0.3324923</v>
      </c>
      <c r="D7" s="169">
        <v>0.3324923</v>
      </c>
      <c r="E7" s="169">
        <v>0.3324923</v>
      </c>
      <c r="F7" s="169">
        <v>0.3324923</v>
      </c>
      <c r="G7" s="169">
        <v>0.3324923</v>
      </c>
      <c r="H7" s="169">
        <v>0.3324923</v>
      </c>
      <c r="I7" s="169">
        <v>0.3324923</v>
      </c>
      <c r="J7" s="169">
        <v>0.3324923</v>
      </c>
      <c r="K7" s="169">
        <v>0.3324923</v>
      </c>
      <c r="L7" s="169">
        <v>0.3324923</v>
      </c>
      <c r="M7" s="169">
        <v>0.3324923</v>
      </c>
      <c r="N7" s="169">
        <v>0.3324923</v>
      </c>
      <c r="O7" s="169">
        <v>0.3324923</v>
      </c>
      <c r="P7" s="169">
        <v>0.3324923</v>
      </c>
      <c r="Q7" s="169">
        <v>0.3324923</v>
      </c>
      <c r="R7" s="169">
        <v>0.3324923</v>
      </c>
      <c r="S7" s="169">
        <v>0.3324923</v>
      </c>
      <c r="T7" s="169">
        <v>0.3324923</v>
      </c>
      <c r="U7" s="169">
        <v>0.3324923</v>
      </c>
      <c r="V7" s="169">
        <v>0.3324923</v>
      </c>
      <c r="W7" s="169">
        <v>0.3324923</v>
      </c>
      <c r="X7" s="169">
        <v>0.3324923</v>
      </c>
      <c r="Y7" s="169">
        <v>0.3324923</v>
      </c>
      <c r="Z7" s="169">
        <v>0.3324923</v>
      </c>
      <c r="AA7" s="169">
        <v>0.3324923</v>
      </c>
      <c r="AB7" s="169">
        <v>0.3324923</v>
      </c>
      <c r="AC7" s="169">
        <v>0.3324923</v>
      </c>
      <c r="AD7" s="169">
        <v>0.3324923</v>
      </c>
      <c r="AE7" s="169">
        <v>0.3324923</v>
      </c>
      <c r="AF7" s="169">
        <v>0.3324923</v>
      </c>
      <c r="AG7" s="169">
        <v>0.3324923</v>
      </c>
      <c r="AH7" s="169">
        <v>0.3324923</v>
      </c>
      <c r="AI7" s="169">
        <v>0.3324923</v>
      </c>
      <c r="AJ7" s="169">
        <v>0.3324923</v>
      </c>
      <c r="AK7" s="169">
        <v>0.3324923</v>
      </c>
      <c r="AL7" s="169">
        <v>0.3324923</v>
      </c>
    </row>
    <row r="8">
      <c r="A8" s="40"/>
      <c r="B8" s="569"/>
      <c r="C8" s="569"/>
      <c r="D8" s="569"/>
      <c r="E8" s="569"/>
      <c r="F8" s="569"/>
      <c r="G8" s="570"/>
      <c r="H8" s="570"/>
      <c r="I8" s="569"/>
      <c r="J8" s="569"/>
      <c r="K8" s="569"/>
      <c r="L8" s="570"/>
      <c r="M8" s="569"/>
      <c r="N8" s="569"/>
      <c r="O8" s="569"/>
      <c r="P8" s="569"/>
      <c r="Q8" s="569"/>
      <c r="R8" s="569"/>
      <c r="S8" s="569"/>
      <c r="T8" s="570"/>
      <c r="U8" s="569"/>
      <c r="V8" s="569"/>
      <c r="W8" s="570"/>
      <c r="X8" s="570"/>
      <c r="Y8" s="569"/>
      <c r="Z8" s="569"/>
      <c r="AA8" s="570"/>
      <c r="AB8" s="570"/>
      <c r="AC8" s="570"/>
      <c r="AD8" s="569"/>
      <c r="AE8" s="569"/>
      <c r="AF8" s="569"/>
      <c r="AG8" s="570"/>
      <c r="AH8" s="569"/>
      <c r="AI8" s="569"/>
      <c r="AJ8" s="569"/>
      <c r="AK8" s="569"/>
      <c r="AL8" s="569"/>
    </row>
    <row r="9">
      <c r="A9" s="129" t="s">
        <v>643</v>
      </c>
      <c r="B9" s="70">
        <f t="shared" ref="B9:AL9" si="2">B6*B7</f>
        <v>0.04804283961</v>
      </c>
      <c r="C9" s="70">
        <f t="shared" si="2"/>
        <v>0.09800937423</v>
      </c>
      <c r="D9" s="70">
        <f t="shared" si="2"/>
        <v>0.06140423774</v>
      </c>
      <c r="E9" s="70">
        <f t="shared" si="2"/>
        <v>0.07301206726</v>
      </c>
      <c r="F9" s="70">
        <f t="shared" si="2"/>
        <v>0.1809228247</v>
      </c>
      <c r="G9" s="70">
        <f t="shared" si="2"/>
        <v>0.08336969166</v>
      </c>
      <c r="H9" s="70">
        <f t="shared" si="2"/>
        <v>0.08368336669</v>
      </c>
      <c r="I9" s="70">
        <f t="shared" si="2"/>
        <v>0.1695896397</v>
      </c>
      <c r="J9" s="70">
        <f t="shared" si="2"/>
        <v>0.03368272545</v>
      </c>
      <c r="K9" s="70">
        <f t="shared" si="2"/>
        <v>0.0778484823</v>
      </c>
      <c r="L9" s="70">
        <f t="shared" si="2"/>
        <v>0.006381631521</v>
      </c>
      <c r="M9" s="70">
        <f t="shared" si="2"/>
        <v>0.04184318676</v>
      </c>
      <c r="N9" s="70">
        <f t="shared" si="2"/>
        <v>0.02308390117</v>
      </c>
      <c r="O9" s="70">
        <f t="shared" si="2"/>
        <v>0.01494432737</v>
      </c>
      <c r="P9" s="70">
        <f t="shared" si="2"/>
        <v>0.03171242723</v>
      </c>
      <c r="Q9" s="70">
        <f t="shared" si="2"/>
        <v>0.1393355985</v>
      </c>
      <c r="R9" s="70">
        <f t="shared" si="2"/>
        <v>0.02903818433</v>
      </c>
      <c r="S9" s="70">
        <f t="shared" si="2"/>
        <v>0.156537715</v>
      </c>
      <c r="T9" s="70">
        <f t="shared" si="2"/>
        <v>0.1312683276</v>
      </c>
      <c r="U9" s="70">
        <f t="shared" si="2"/>
        <v>0.1667601676</v>
      </c>
      <c r="V9" s="70">
        <f t="shared" si="2"/>
        <v>0.1843726503</v>
      </c>
      <c r="W9" s="70">
        <f t="shared" si="2"/>
        <v>0.1909492271</v>
      </c>
      <c r="X9" s="70">
        <f t="shared" si="2"/>
        <v>0.07271652922</v>
      </c>
      <c r="Y9" s="70">
        <f t="shared" si="2"/>
        <v>0.1220555087</v>
      </c>
      <c r="Z9" s="70">
        <f t="shared" si="2"/>
        <v>0.03389731839</v>
      </c>
      <c r="AA9" s="70">
        <f t="shared" si="2"/>
        <v>0.1087795741</v>
      </c>
      <c r="AB9" s="70">
        <f t="shared" si="2"/>
        <v>0.1502932925</v>
      </c>
      <c r="AC9" s="70">
        <f t="shared" si="2"/>
        <v>0.1310194032</v>
      </c>
      <c r="AD9" s="70">
        <f t="shared" si="2"/>
        <v>0.1034484105</v>
      </c>
      <c r="AE9" s="70">
        <f t="shared" si="2"/>
        <v>0.04481140408</v>
      </c>
      <c r="AF9" s="70">
        <f t="shared" si="2"/>
        <v>0.1045909879</v>
      </c>
      <c r="AG9" s="70">
        <f t="shared" si="2"/>
        <v>0.07991920253</v>
      </c>
      <c r="AH9" s="70">
        <f t="shared" si="2"/>
        <v>0.04424924478</v>
      </c>
      <c r="AI9" s="70">
        <f t="shared" si="2"/>
        <v>0.2569665021</v>
      </c>
      <c r="AJ9" s="70">
        <f t="shared" si="2"/>
        <v>0.1128258476</v>
      </c>
      <c r="AK9" s="70">
        <f t="shared" si="2"/>
        <v>0.09671874877</v>
      </c>
      <c r="AL9" s="70">
        <f t="shared" si="2"/>
        <v>0.1894365972</v>
      </c>
    </row>
    <row r="10">
      <c r="A10" s="446"/>
      <c r="B10" s="291"/>
      <c r="C10" s="291"/>
      <c r="D10" s="291"/>
      <c r="E10" s="291"/>
      <c r="F10" s="291"/>
      <c r="G10" s="151"/>
      <c r="H10" s="151"/>
      <c r="I10" s="151"/>
      <c r="J10" s="151"/>
      <c r="K10" s="151"/>
      <c r="L10" s="151"/>
      <c r="M10" s="151"/>
      <c r="N10" s="151"/>
      <c r="O10" s="151"/>
      <c r="P10" s="151"/>
      <c r="Q10" s="291"/>
      <c r="R10" s="291"/>
      <c r="S10" s="291"/>
      <c r="T10" s="151"/>
      <c r="U10" s="291"/>
      <c r="V10" s="291"/>
      <c r="W10" s="151"/>
      <c r="X10" s="151"/>
      <c r="Y10" s="291"/>
      <c r="Z10" s="291"/>
      <c r="AA10" s="151"/>
      <c r="AB10" s="151"/>
      <c r="AC10" s="151"/>
      <c r="AD10" s="151"/>
      <c r="AE10" s="151"/>
      <c r="AF10" s="151"/>
      <c r="AG10" s="151"/>
      <c r="AH10" s="151"/>
      <c r="AI10" s="291"/>
      <c r="AJ10" s="291"/>
      <c r="AK10" s="291"/>
      <c r="AL10" s="291"/>
    </row>
    <row r="11">
      <c r="A11" s="86" t="s">
        <v>644</v>
      </c>
      <c r="B11" s="472"/>
      <c r="C11" s="472"/>
      <c r="D11" s="472"/>
      <c r="E11" s="472"/>
      <c r="F11" s="472"/>
      <c r="G11" s="161"/>
      <c r="H11" s="161"/>
      <c r="I11" s="161"/>
      <c r="J11" s="161"/>
      <c r="K11" s="161"/>
      <c r="L11" s="161"/>
      <c r="M11" s="161"/>
      <c r="N11" s="161"/>
      <c r="O11" s="161"/>
      <c r="P11" s="161"/>
      <c r="Q11" s="472"/>
      <c r="R11" s="472"/>
      <c r="S11" s="472"/>
      <c r="T11" s="161"/>
      <c r="U11" s="472"/>
      <c r="V11" s="472"/>
      <c r="W11" s="161"/>
      <c r="X11" s="161"/>
      <c r="Y11" s="472"/>
      <c r="Z11" s="472"/>
      <c r="AA11" s="161"/>
      <c r="AB11" s="161"/>
      <c r="AC11" s="161"/>
      <c r="AD11" s="161"/>
      <c r="AE11" s="161"/>
      <c r="AF11" s="161"/>
      <c r="AG11" s="161"/>
      <c r="AH11" s="161"/>
      <c r="AI11" s="472"/>
      <c r="AJ11" s="472"/>
      <c r="AK11" s="472"/>
      <c r="AL11" s="472"/>
    </row>
    <row r="12">
      <c r="A12" s="400"/>
      <c r="B12" s="571"/>
      <c r="C12" s="571"/>
      <c r="D12" s="571"/>
      <c r="E12" s="571"/>
      <c r="F12" s="571"/>
      <c r="G12" s="551"/>
      <c r="H12" s="551"/>
      <c r="I12" s="551"/>
      <c r="J12" s="551"/>
      <c r="K12" s="551"/>
      <c r="L12" s="551"/>
      <c r="M12" s="551"/>
      <c r="N12" s="551"/>
      <c r="O12" s="551"/>
      <c r="P12" s="551"/>
      <c r="Q12" s="571"/>
      <c r="R12" s="571"/>
      <c r="S12" s="571"/>
      <c r="T12" s="551"/>
      <c r="U12" s="571"/>
      <c r="V12" s="571"/>
      <c r="W12" s="551"/>
      <c r="X12" s="551"/>
      <c r="Y12" s="571"/>
      <c r="Z12" s="571"/>
      <c r="AA12" s="551"/>
      <c r="AB12" s="551"/>
      <c r="AC12" s="551"/>
      <c r="AD12" s="551"/>
      <c r="AE12" s="551"/>
      <c r="AF12" s="551"/>
      <c r="AG12" s="551"/>
      <c r="AH12" s="551"/>
      <c r="AI12" s="571"/>
      <c r="AJ12" s="571"/>
      <c r="AK12" s="571"/>
      <c r="AL12" s="571"/>
    </row>
    <row r="13">
      <c r="A13" s="400" t="s">
        <v>645</v>
      </c>
      <c r="B13" s="572">
        <v>21.27455003885892</v>
      </c>
      <c r="C13" s="572">
        <v>21.27455003885892</v>
      </c>
      <c r="D13" s="572">
        <v>21.27455003885892</v>
      </c>
      <c r="E13" s="572">
        <v>21.27455003885892</v>
      </c>
      <c r="F13" s="572">
        <v>21.27455003885892</v>
      </c>
      <c r="G13" s="572">
        <v>21.27455003885892</v>
      </c>
      <c r="H13" s="572">
        <v>21.27455003885892</v>
      </c>
      <c r="I13" s="572">
        <v>21.27455003885892</v>
      </c>
      <c r="J13" s="572">
        <v>21.27455003885892</v>
      </c>
      <c r="K13" s="572">
        <v>21.27455003885892</v>
      </c>
      <c r="L13" s="572">
        <v>21.27455003885892</v>
      </c>
      <c r="M13" s="572">
        <v>21.27455003885892</v>
      </c>
      <c r="N13" s="572">
        <v>21.27455003885892</v>
      </c>
      <c r="O13" s="572">
        <v>21.27455003885892</v>
      </c>
      <c r="P13" s="572">
        <v>21.27455003885892</v>
      </c>
      <c r="Q13" s="572">
        <v>21.27455003885892</v>
      </c>
      <c r="R13" s="572">
        <v>21.27455003885892</v>
      </c>
      <c r="S13" s="572">
        <v>21.27455003885892</v>
      </c>
      <c r="T13" s="572">
        <v>21.27455003885892</v>
      </c>
      <c r="U13" s="572">
        <v>21.27455003885892</v>
      </c>
      <c r="V13" s="572">
        <v>21.27455003885892</v>
      </c>
      <c r="W13" s="572">
        <v>21.27455003885892</v>
      </c>
      <c r="X13" s="572">
        <v>21.27455003885892</v>
      </c>
      <c r="Y13" s="572">
        <v>21.27455003885892</v>
      </c>
      <c r="Z13" s="572">
        <v>21.27455003885892</v>
      </c>
      <c r="AA13" s="572">
        <v>21.27455003885892</v>
      </c>
      <c r="AB13" s="572">
        <v>21.27455003885892</v>
      </c>
      <c r="AC13" s="572">
        <v>21.27455003885892</v>
      </c>
      <c r="AD13" s="572">
        <v>21.27455003885892</v>
      </c>
      <c r="AE13" s="572">
        <v>21.27455003885892</v>
      </c>
      <c r="AF13" s="572">
        <v>21.27455003885892</v>
      </c>
      <c r="AG13" s="572">
        <v>21.27455003885892</v>
      </c>
      <c r="AH13" s="572">
        <v>21.27455003885892</v>
      </c>
      <c r="AI13" s="572">
        <v>21.27455003885892</v>
      </c>
      <c r="AJ13" s="572">
        <v>21.27455003885892</v>
      </c>
      <c r="AK13" s="572">
        <v>21.27455003885892</v>
      </c>
      <c r="AL13" s="572">
        <v>21.27455003885892</v>
      </c>
    </row>
    <row r="14">
      <c r="A14" s="400" t="s">
        <v>646</v>
      </c>
      <c r="B14" s="573">
        <v>34.28598</v>
      </c>
      <c r="C14" s="573">
        <v>34.28598</v>
      </c>
      <c r="D14" s="573">
        <v>34.28598</v>
      </c>
      <c r="E14" s="573">
        <v>34.28598</v>
      </c>
      <c r="F14" s="573">
        <v>34.28598</v>
      </c>
      <c r="G14" s="552">
        <v>34.28598</v>
      </c>
      <c r="H14" s="552">
        <v>34.28598</v>
      </c>
      <c r="I14" s="573">
        <v>34.28598</v>
      </c>
      <c r="J14" s="573">
        <v>34.28598</v>
      </c>
      <c r="K14" s="573">
        <v>34.28598</v>
      </c>
      <c r="L14" s="552">
        <v>34.28598</v>
      </c>
      <c r="M14" s="573">
        <v>34.28598</v>
      </c>
      <c r="N14" s="573">
        <v>34.28598</v>
      </c>
      <c r="O14" s="573">
        <v>34.28598</v>
      </c>
      <c r="P14" s="573">
        <v>34.28598</v>
      </c>
      <c r="Q14" s="573">
        <v>34.28598</v>
      </c>
      <c r="R14" s="573">
        <v>34.28598</v>
      </c>
      <c r="S14" s="573">
        <v>34.28598</v>
      </c>
      <c r="T14" s="552">
        <v>34.28598</v>
      </c>
      <c r="U14" s="573">
        <v>34.28598</v>
      </c>
      <c r="V14" s="573">
        <v>34.28598</v>
      </c>
      <c r="W14" s="552">
        <v>34.28598</v>
      </c>
      <c r="X14" s="552">
        <v>34.28598</v>
      </c>
      <c r="Y14" s="573">
        <v>34.28598</v>
      </c>
      <c r="Z14" s="573">
        <v>34.28598</v>
      </c>
      <c r="AA14" s="552">
        <v>34.28598</v>
      </c>
      <c r="AB14" s="552">
        <v>34.28598</v>
      </c>
      <c r="AC14" s="552">
        <v>34.28598</v>
      </c>
      <c r="AD14" s="573">
        <v>34.28598</v>
      </c>
      <c r="AE14" s="573">
        <v>34.28598</v>
      </c>
      <c r="AF14" s="573">
        <v>34.28598</v>
      </c>
      <c r="AG14" s="552">
        <v>34.28598</v>
      </c>
      <c r="AH14" s="573">
        <v>34.28598</v>
      </c>
      <c r="AI14" s="573">
        <v>34.28598</v>
      </c>
      <c r="AJ14" s="573">
        <v>34.28598</v>
      </c>
      <c r="AK14" s="573">
        <v>34.28598</v>
      </c>
      <c r="AL14" s="573">
        <v>34.28598</v>
      </c>
    </row>
    <row r="15">
      <c r="A15" s="400" t="s">
        <v>647</v>
      </c>
      <c r="B15" s="573">
        <v>28.63798</v>
      </c>
      <c r="C15" s="573">
        <v>28.63798</v>
      </c>
      <c r="D15" s="573">
        <v>28.63798</v>
      </c>
      <c r="E15" s="573">
        <v>28.63798</v>
      </c>
      <c r="F15" s="573">
        <v>28.63798</v>
      </c>
      <c r="G15" s="552">
        <v>28.63798</v>
      </c>
      <c r="H15" s="552">
        <v>28.63798</v>
      </c>
      <c r="I15" s="573">
        <v>28.63798</v>
      </c>
      <c r="J15" s="573">
        <v>28.63798</v>
      </c>
      <c r="K15" s="573">
        <v>28.63798</v>
      </c>
      <c r="L15" s="552">
        <v>28.63798</v>
      </c>
      <c r="M15" s="573">
        <v>28.63798</v>
      </c>
      <c r="N15" s="573">
        <v>28.63798</v>
      </c>
      <c r="O15" s="573">
        <v>28.63798</v>
      </c>
      <c r="P15" s="573">
        <v>28.63798</v>
      </c>
      <c r="Q15" s="573">
        <v>28.63798</v>
      </c>
      <c r="R15" s="573">
        <v>28.63798</v>
      </c>
      <c r="S15" s="573">
        <v>28.63798</v>
      </c>
      <c r="T15" s="552">
        <v>28.63798</v>
      </c>
      <c r="U15" s="573">
        <v>28.63798</v>
      </c>
      <c r="V15" s="573">
        <v>28.63798</v>
      </c>
      <c r="W15" s="552">
        <v>28.63798</v>
      </c>
      <c r="X15" s="552">
        <v>28.63798</v>
      </c>
      <c r="Y15" s="573">
        <v>28.63798</v>
      </c>
      <c r="Z15" s="573">
        <v>28.63798</v>
      </c>
      <c r="AA15" s="552">
        <v>28.63798</v>
      </c>
      <c r="AB15" s="552">
        <v>28.63798</v>
      </c>
      <c r="AC15" s="552">
        <v>28.63798</v>
      </c>
      <c r="AD15" s="573">
        <v>28.63798</v>
      </c>
      <c r="AE15" s="573">
        <v>28.63798</v>
      </c>
      <c r="AF15" s="573">
        <v>28.63798</v>
      </c>
      <c r="AG15" s="552">
        <v>28.63798</v>
      </c>
      <c r="AH15" s="573">
        <v>28.63798</v>
      </c>
      <c r="AI15" s="573">
        <v>28.63798</v>
      </c>
      <c r="AJ15" s="573">
        <v>28.63798</v>
      </c>
      <c r="AK15" s="573">
        <v>28.63798</v>
      </c>
      <c r="AL15" s="573">
        <v>28.63798</v>
      </c>
    </row>
    <row r="16">
      <c r="G16" s="151"/>
      <c r="H16" s="151"/>
      <c r="L16" s="151"/>
      <c r="T16" s="151"/>
      <c r="W16" s="151"/>
      <c r="X16" s="151"/>
      <c r="AA16" s="151"/>
      <c r="AB16" s="151"/>
      <c r="AC16" s="151"/>
      <c r="AG16" s="151"/>
    </row>
    <row r="17">
      <c r="A17" s="91" t="s">
        <v>648</v>
      </c>
      <c r="B17" s="447">
        <v>100000.0</v>
      </c>
      <c r="C17" s="447">
        <v>100000.0</v>
      </c>
      <c r="D17" s="447">
        <v>100000.0</v>
      </c>
      <c r="E17" s="447">
        <v>100000.0</v>
      </c>
      <c r="F17" s="447">
        <v>100000.0</v>
      </c>
      <c r="G17" s="370">
        <v>100000.0</v>
      </c>
      <c r="H17" s="370">
        <v>100000.0</v>
      </c>
      <c r="I17" s="447">
        <v>100000.0</v>
      </c>
      <c r="J17" s="447">
        <v>100000.0</v>
      </c>
      <c r="K17" s="447">
        <v>100000.0</v>
      </c>
      <c r="L17" s="370">
        <v>100000.0</v>
      </c>
      <c r="M17" s="447">
        <v>100000.0</v>
      </c>
      <c r="N17" s="447">
        <v>100000.0</v>
      </c>
      <c r="O17" s="447">
        <v>100000.0</v>
      </c>
      <c r="P17" s="447">
        <v>100000.0</v>
      </c>
      <c r="Q17" s="447">
        <v>100000.0</v>
      </c>
      <c r="R17" s="447">
        <v>100000.0</v>
      </c>
      <c r="S17" s="447">
        <v>100000.0</v>
      </c>
      <c r="T17" s="370">
        <v>100000.0</v>
      </c>
      <c r="U17" s="447">
        <v>100000.0</v>
      </c>
      <c r="V17" s="447">
        <v>100000.0</v>
      </c>
      <c r="W17" s="370">
        <v>100000.0</v>
      </c>
      <c r="X17" s="370">
        <v>100000.0</v>
      </c>
      <c r="Y17" s="447">
        <v>100000.0</v>
      </c>
      <c r="Z17" s="447">
        <v>100000.0</v>
      </c>
      <c r="AA17" s="370">
        <v>100000.0</v>
      </c>
      <c r="AB17" s="370">
        <v>100000.0</v>
      </c>
      <c r="AC17" s="370">
        <v>100000.0</v>
      </c>
      <c r="AD17" s="447">
        <v>100000.0</v>
      </c>
      <c r="AE17" s="447">
        <v>100000.0</v>
      </c>
      <c r="AF17" s="447">
        <v>100000.0</v>
      </c>
      <c r="AG17" s="370">
        <v>100000.0</v>
      </c>
      <c r="AH17" s="447">
        <v>100000.0</v>
      </c>
      <c r="AI17" s="447">
        <v>100000.0</v>
      </c>
      <c r="AJ17" s="447">
        <v>100000.0</v>
      </c>
      <c r="AK17" s="447">
        <v>100000.0</v>
      </c>
      <c r="AL17" s="447">
        <v>100000.0</v>
      </c>
    </row>
    <row r="18">
      <c r="A18" s="393" t="s">
        <v>649</v>
      </c>
      <c r="B18" s="574">
        <f t="shared" ref="B18:AL18" si="3">B5</f>
        <v>0.8555069107</v>
      </c>
      <c r="C18" s="574">
        <f t="shared" si="3"/>
        <v>0.7052281384</v>
      </c>
      <c r="D18" s="574">
        <f t="shared" si="3"/>
        <v>0.815321324</v>
      </c>
      <c r="E18" s="574">
        <f t="shared" si="3"/>
        <v>0.78040975</v>
      </c>
      <c r="F18" s="574">
        <f t="shared" si="3"/>
        <v>0.4558586028</v>
      </c>
      <c r="G18" s="574">
        <f t="shared" si="3"/>
        <v>0.7492582786</v>
      </c>
      <c r="H18" s="574">
        <f t="shared" si="3"/>
        <v>0.7483148732</v>
      </c>
      <c r="I18" s="574">
        <f t="shared" si="3"/>
        <v>0.4899441591</v>
      </c>
      <c r="J18" s="574">
        <f t="shared" si="3"/>
        <v>0.8986962241</v>
      </c>
      <c r="K18" s="574">
        <f t="shared" si="3"/>
        <v>0.7658638041</v>
      </c>
      <c r="L18" s="574">
        <f t="shared" si="3"/>
        <v>0.9808066788</v>
      </c>
      <c r="M18" s="574">
        <f t="shared" si="3"/>
        <v>0.8741529149</v>
      </c>
      <c r="N18" s="574">
        <f t="shared" si="3"/>
        <v>0.9305731255</v>
      </c>
      <c r="O18" s="574">
        <f t="shared" si="3"/>
        <v>0.9550536137</v>
      </c>
      <c r="P18" s="574">
        <f t="shared" si="3"/>
        <v>0.9046220703</v>
      </c>
      <c r="Q18" s="574">
        <f t="shared" si="3"/>
        <v>0.5809358639</v>
      </c>
      <c r="R18" s="574">
        <f t="shared" si="3"/>
        <v>0.9126650923</v>
      </c>
      <c r="S18" s="574">
        <f t="shared" si="3"/>
        <v>0.529198977</v>
      </c>
      <c r="T18" s="574">
        <f t="shared" si="3"/>
        <v>0.6051988944</v>
      </c>
      <c r="U18" s="574">
        <f t="shared" si="3"/>
        <v>0.4984540467</v>
      </c>
      <c r="V18" s="574">
        <f t="shared" si="3"/>
        <v>0.4454829472</v>
      </c>
      <c r="W18" s="574">
        <f t="shared" si="3"/>
        <v>0.4257033106</v>
      </c>
      <c r="X18" s="574">
        <f t="shared" si="3"/>
        <v>0.7812986068</v>
      </c>
      <c r="Y18" s="574">
        <f t="shared" si="3"/>
        <v>0.6329072623</v>
      </c>
      <c r="Z18" s="574">
        <f t="shared" si="3"/>
        <v>0.8980508168</v>
      </c>
      <c r="AA18" s="574">
        <f t="shared" si="3"/>
        <v>0.6728358097</v>
      </c>
      <c r="AB18" s="574">
        <f t="shared" si="3"/>
        <v>0.54797963</v>
      </c>
      <c r="AC18" s="574">
        <f t="shared" si="3"/>
        <v>0.6059475566</v>
      </c>
      <c r="AD18" s="574">
        <f t="shared" si="3"/>
        <v>0.6888697559</v>
      </c>
      <c r="AE18" s="574">
        <f t="shared" si="3"/>
        <v>0.8652257388</v>
      </c>
      <c r="AF18" s="574">
        <f t="shared" si="3"/>
        <v>0.6854333533</v>
      </c>
      <c r="AG18" s="574">
        <f t="shared" si="3"/>
        <v>0.7596359298</v>
      </c>
      <c r="AH18" s="574">
        <f t="shared" si="3"/>
        <v>0.8669164826</v>
      </c>
      <c r="AI18" s="574">
        <f t="shared" si="3"/>
        <v>0.2271505171</v>
      </c>
      <c r="AJ18" s="574">
        <f t="shared" si="3"/>
        <v>0.6606662843</v>
      </c>
      <c r="AK18" s="574">
        <f t="shared" si="3"/>
        <v>0.7091098086</v>
      </c>
      <c r="AL18" s="574">
        <f t="shared" si="3"/>
        <v>0.4302526789</v>
      </c>
    </row>
    <row r="19">
      <c r="A19" s="344" t="s">
        <v>650</v>
      </c>
      <c r="B19" s="542">
        <v>0.95</v>
      </c>
      <c r="C19" s="542">
        <v>0.95</v>
      </c>
      <c r="D19" s="542">
        <v>0.95</v>
      </c>
      <c r="E19" s="542">
        <v>0.95</v>
      </c>
      <c r="F19" s="542">
        <v>0.95</v>
      </c>
      <c r="G19" s="127">
        <v>0.95</v>
      </c>
      <c r="H19" s="127">
        <v>0.95</v>
      </c>
      <c r="I19" s="542">
        <v>0.95</v>
      </c>
      <c r="J19" s="542">
        <v>0.95</v>
      </c>
      <c r="K19" s="542">
        <v>0.95</v>
      </c>
      <c r="L19" s="127">
        <v>0.95</v>
      </c>
      <c r="M19" s="542">
        <v>0.95</v>
      </c>
      <c r="N19" s="542">
        <v>0.95</v>
      </c>
      <c r="O19" s="542">
        <v>0.95</v>
      </c>
      <c r="P19" s="542">
        <v>0.95</v>
      </c>
      <c r="Q19" s="542">
        <v>0.95</v>
      </c>
      <c r="R19" s="542">
        <v>0.95</v>
      </c>
      <c r="S19" s="542">
        <v>0.95</v>
      </c>
      <c r="T19" s="127">
        <v>0.95</v>
      </c>
      <c r="U19" s="542">
        <v>0.95</v>
      </c>
      <c r="V19" s="542">
        <v>0.95</v>
      </c>
      <c r="W19" s="127">
        <v>0.95</v>
      </c>
      <c r="X19" s="127">
        <v>0.95</v>
      </c>
      <c r="Y19" s="542">
        <v>0.95</v>
      </c>
      <c r="Z19" s="542">
        <v>0.95</v>
      </c>
      <c r="AA19" s="127">
        <v>0.95</v>
      </c>
      <c r="AB19" s="127">
        <v>0.95</v>
      </c>
      <c r="AC19" s="127">
        <v>0.95</v>
      </c>
      <c r="AD19" s="542">
        <v>0.95</v>
      </c>
      <c r="AE19" s="542">
        <v>0.95</v>
      </c>
      <c r="AF19" s="542">
        <v>0.95</v>
      </c>
      <c r="AG19" s="127">
        <v>0.95</v>
      </c>
      <c r="AH19" s="542">
        <v>0.95</v>
      </c>
      <c r="AI19" s="542">
        <v>0.95</v>
      </c>
      <c r="AJ19" s="542">
        <v>0.95</v>
      </c>
      <c r="AK19" s="542">
        <v>0.95</v>
      </c>
      <c r="AL19" s="542">
        <v>0.95</v>
      </c>
    </row>
    <row r="20">
      <c r="A20" s="344" t="s">
        <v>651</v>
      </c>
      <c r="B20" s="575">
        <f t="shared" ref="B20:AL20" si="4">B17/(B13*(B18+B9)*B19)</f>
        <v>5476.006325</v>
      </c>
      <c r="C20" s="575">
        <f t="shared" si="4"/>
        <v>6159.876835</v>
      </c>
      <c r="D20" s="575">
        <f t="shared" si="4"/>
        <v>5643.549547</v>
      </c>
      <c r="E20" s="575">
        <f t="shared" si="4"/>
        <v>5797.653689</v>
      </c>
      <c r="F20" s="575">
        <f t="shared" si="4"/>
        <v>7770.082376</v>
      </c>
      <c r="G20" s="168">
        <f t="shared" si="4"/>
        <v>5942.442873</v>
      </c>
      <c r="H20" s="168">
        <f t="shared" si="4"/>
        <v>5946.940642</v>
      </c>
      <c r="I20" s="575">
        <f t="shared" si="4"/>
        <v>7502.032734</v>
      </c>
      <c r="J20" s="575">
        <f t="shared" si="4"/>
        <v>5306.687962</v>
      </c>
      <c r="K20" s="575">
        <f t="shared" si="4"/>
        <v>5864.373706</v>
      </c>
      <c r="L20" s="168">
        <f t="shared" si="4"/>
        <v>5012.057067</v>
      </c>
      <c r="M20" s="575">
        <f t="shared" si="4"/>
        <v>5401.599568</v>
      </c>
      <c r="N20" s="575">
        <f t="shared" si="4"/>
        <v>5188.284686</v>
      </c>
      <c r="O20" s="575">
        <f t="shared" si="4"/>
        <v>5100.881082</v>
      </c>
      <c r="P20" s="575">
        <f t="shared" si="4"/>
        <v>5284.269842</v>
      </c>
      <c r="Q20" s="575">
        <f t="shared" si="4"/>
        <v>6869.415777</v>
      </c>
      <c r="R20" s="575">
        <f t="shared" si="4"/>
        <v>5254.143497</v>
      </c>
      <c r="S20" s="575">
        <f t="shared" si="4"/>
        <v>7215.37028</v>
      </c>
      <c r="T20" s="168">
        <f t="shared" si="4"/>
        <v>6718.349438</v>
      </c>
      <c r="U20" s="575">
        <f t="shared" si="4"/>
        <v>7437.97117</v>
      </c>
      <c r="V20" s="575">
        <f t="shared" si="4"/>
        <v>7855.521435</v>
      </c>
      <c r="W20" s="168">
        <f t="shared" si="4"/>
        <v>8023.714887</v>
      </c>
      <c r="X20" s="168">
        <f t="shared" si="4"/>
        <v>5793.625825</v>
      </c>
      <c r="Y20" s="575">
        <f t="shared" si="4"/>
        <v>6553.759122</v>
      </c>
      <c r="Z20" s="575">
        <f t="shared" si="4"/>
        <v>5309.141099</v>
      </c>
      <c r="AA20" s="168">
        <f t="shared" si="4"/>
        <v>6330.279892</v>
      </c>
      <c r="AB20" s="168">
        <f t="shared" si="4"/>
        <v>7085.831324</v>
      </c>
      <c r="AC20" s="168">
        <f t="shared" si="4"/>
        <v>6713.793721</v>
      </c>
      <c r="AD20" s="575">
        <f t="shared" si="4"/>
        <v>6244.769282</v>
      </c>
      <c r="AE20" s="575">
        <f t="shared" si="4"/>
        <v>5436.969453</v>
      </c>
      <c r="AF20" s="575">
        <f t="shared" si="4"/>
        <v>6262.900887</v>
      </c>
      <c r="AG20" s="168">
        <f t="shared" si="4"/>
        <v>5893.411828</v>
      </c>
      <c r="AH20" s="575">
        <f t="shared" si="4"/>
        <v>5430.235136</v>
      </c>
      <c r="AI20" s="575">
        <f t="shared" si="4"/>
        <v>10220.34746</v>
      </c>
      <c r="AJ20" s="575">
        <f t="shared" si="4"/>
        <v>6396.760799</v>
      </c>
      <c r="AK20" s="575">
        <f t="shared" si="4"/>
        <v>6140.070492</v>
      </c>
      <c r="AL20" s="575">
        <f t="shared" si="4"/>
        <v>7984.395305</v>
      </c>
    </row>
    <row r="21">
      <c r="A21" s="344" t="s">
        <v>652</v>
      </c>
      <c r="B21" s="576">
        <f t="shared" ref="B21:AL21" si="5">B20*(B18+B9)*B19</f>
        <v>4700.45194</v>
      </c>
      <c r="C21" s="576">
        <f t="shared" si="5"/>
        <v>4700.45194</v>
      </c>
      <c r="D21" s="576">
        <f t="shared" si="5"/>
        <v>4700.45194</v>
      </c>
      <c r="E21" s="576">
        <f t="shared" si="5"/>
        <v>4700.45194</v>
      </c>
      <c r="F21" s="576">
        <f t="shared" si="5"/>
        <v>4700.45194</v>
      </c>
      <c r="G21" s="168">
        <f t="shared" si="5"/>
        <v>4700.45194</v>
      </c>
      <c r="H21" s="168">
        <f t="shared" si="5"/>
        <v>4700.45194</v>
      </c>
      <c r="I21" s="576">
        <f t="shared" si="5"/>
        <v>4700.45194</v>
      </c>
      <c r="J21" s="576">
        <f t="shared" si="5"/>
        <v>4700.45194</v>
      </c>
      <c r="K21" s="576">
        <f t="shared" si="5"/>
        <v>4700.45194</v>
      </c>
      <c r="L21" s="168">
        <f t="shared" si="5"/>
        <v>4700.45194</v>
      </c>
      <c r="M21" s="576">
        <f t="shared" si="5"/>
        <v>4700.45194</v>
      </c>
      <c r="N21" s="576">
        <f t="shared" si="5"/>
        <v>4700.45194</v>
      </c>
      <c r="O21" s="576">
        <f t="shared" si="5"/>
        <v>4700.45194</v>
      </c>
      <c r="P21" s="576">
        <f t="shared" si="5"/>
        <v>4700.45194</v>
      </c>
      <c r="Q21" s="576">
        <f t="shared" si="5"/>
        <v>4700.45194</v>
      </c>
      <c r="R21" s="576">
        <f t="shared" si="5"/>
        <v>4700.45194</v>
      </c>
      <c r="S21" s="576">
        <f t="shared" si="5"/>
        <v>4700.45194</v>
      </c>
      <c r="T21" s="168">
        <f t="shared" si="5"/>
        <v>4700.45194</v>
      </c>
      <c r="U21" s="576">
        <f t="shared" si="5"/>
        <v>4700.45194</v>
      </c>
      <c r="V21" s="576">
        <f t="shared" si="5"/>
        <v>4700.45194</v>
      </c>
      <c r="W21" s="168">
        <f t="shared" si="5"/>
        <v>4700.45194</v>
      </c>
      <c r="X21" s="168">
        <f t="shared" si="5"/>
        <v>4700.45194</v>
      </c>
      <c r="Y21" s="576">
        <f t="shared" si="5"/>
        <v>4700.45194</v>
      </c>
      <c r="Z21" s="576">
        <f t="shared" si="5"/>
        <v>4700.45194</v>
      </c>
      <c r="AA21" s="168">
        <f t="shared" si="5"/>
        <v>4700.45194</v>
      </c>
      <c r="AB21" s="168">
        <f t="shared" si="5"/>
        <v>4700.45194</v>
      </c>
      <c r="AC21" s="168">
        <f t="shared" si="5"/>
        <v>4700.45194</v>
      </c>
      <c r="AD21" s="576">
        <f t="shared" si="5"/>
        <v>4700.45194</v>
      </c>
      <c r="AE21" s="576">
        <f t="shared" si="5"/>
        <v>4700.45194</v>
      </c>
      <c r="AF21" s="576">
        <f t="shared" si="5"/>
        <v>4700.45194</v>
      </c>
      <c r="AG21" s="168">
        <f t="shared" si="5"/>
        <v>4700.45194</v>
      </c>
      <c r="AH21" s="576">
        <f t="shared" si="5"/>
        <v>4700.45194</v>
      </c>
      <c r="AI21" s="576">
        <f t="shared" si="5"/>
        <v>4700.45194</v>
      </c>
      <c r="AJ21" s="576">
        <f t="shared" si="5"/>
        <v>4700.45194</v>
      </c>
      <c r="AK21" s="576">
        <f t="shared" si="5"/>
        <v>4700.45194</v>
      </c>
      <c r="AL21" s="576">
        <f t="shared" si="5"/>
        <v>4700.45194</v>
      </c>
    </row>
    <row r="22">
      <c r="A22" s="344" t="s">
        <v>653</v>
      </c>
      <c r="B22" s="576">
        <f t="shared" ref="B22:AL22" si="6">B20*B9</f>
        <v>263.0828935</v>
      </c>
      <c r="C22" s="576">
        <f t="shared" si="6"/>
        <v>603.725674</v>
      </c>
      <c r="D22" s="576">
        <f t="shared" si="6"/>
        <v>346.5378581</v>
      </c>
      <c r="E22" s="576">
        <f t="shared" si="6"/>
        <v>423.2986811</v>
      </c>
      <c r="F22" s="576">
        <f t="shared" si="6"/>
        <v>1405.785252</v>
      </c>
      <c r="G22" s="168">
        <f t="shared" si="6"/>
        <v>495.41963</v>
      </c>
      <c r="H22" s="168">
        <f t="shared" si="6"/>
        <v>497.6600145</v>
      </c>
      <c r="I22" s="576">
        <f t="shared" si="6"/>
        <v>1272.267028</v>
      </c>
      <c r="J22" s="576">
        <f t="shared" si="6"/>
        <v>178.7437137</v>
      </c>
      <c r="K22" s="576">
        <f t="shared" si="6"/>
        <v>456.5325926</v>
      </c>
      <c r="L22" s="168">
        <f t="shared" si="6"/>
        <v>31.98510136</v>
      </c>
      <c r="M22" s="576">
        <f t="shared" si="6"/>
        <v>226.0201395</v>
      </c>
      <c r="N22" s="576">
        <f t="shared" si="6"/>
        <v>119.7658509</v>
      </c>
      <c r="O22" s="576">
        <f t="shared" si="6"/>
        <v>76.22923679</v>
      </c>
      <c r="P22" s="576">
        <f t="shared" si="6"/>
        <v>167.5770228</v>
      </c>
      <c r="Q22" s="576">
        <f t="shared" si="6"/>
        <v>957.1541584</v>
      </c>
      <c r="R22" s="576">
        <f t="shared" si="6"/>
        <v>152.5707874</v>
      </c>
      <c r="S22" s="576">
        <f t="shared" si="6"/>
        <v>1129.477576</v>
      </c>
      <c r="T22" s="168">
        <f t="shared" si="6"/>
        <v>881.9064952</v>
      </c>
      <c r="U22" s="576">
        <f t="shared" si="6"/>
        <v>1240.357319</v>
      </c>
      <c r="V22" s="576">
        <f t="shared" si="6"/>
        <v>1448.343306</v>
      </c>
      <c r="W22" s="168">
        <f t="shared" si="6"/>
        <v>1532.122156</v>
      </c>
      <c r="X22" s="168">
        <f t="shared" si="6"/>
        <v>421.2923616</v>
      </c>
      <c r="Y22" s="576">
        <f t="shared" si="6"/>
        <v>799.9224034</v>
      </c>
      <c r="Z22" s="576">
        <f t="shared" si="6"/>
        <v>179.9656462</v>
      </c>
      <c r="AA22" s="168">
        <f t="shared" si="6"/>
        <v>688.6051506</v>
      </c>
      <c r="AB22" s="168">
        <f t="shared" si="6"/>
        <v>1064.952919</v>
      </c>
      <c r="AC22" s="168">
        <f t="shared" si="6"/>
        <v>879.6372467</v>
      </c>
      <c r="AD22" s="576">
        <f t="shared" si="6"/>
        <v>646.0114559</v>
      </c>
      <c r="AE22" s="576">
        <f t="shared" si="6"/>
        <v>243.6382351</v>
      </c>
      <c r="AF22" s="576">
        <f t="shared" si="6"/>
        <v>655.0429906</v>
      </c>
      <c r="AG22" s="168">
        <f t="shared" si="6"/>
        <v>470.9967735</v>
      </c>
      <c r="AH22" s="576">
        <f t="shared" si="6"/>
        <v>240.2838038</v>
      </c>
      <c r="AI22" s="576">
        <f t="shared" si="6"/>
        <v>2626.286937</v>
      </c>
      <c r="AJ22" s="576">
        <f t="shared" si="6"/>
        <v>721.7199591</v>
      </c>
      <c r="AK22" s="576">
        <f t="shared" si="6"/>
        <v>593.8599354</v>
      </c>
      <c r="AL22" s="576">
        <f t="shared" si="6"/>
        <v>1512.536677</v>
      </c>
    </row>
    <row r="23">
      <c r="A23" s="344"/>
      <c r="B23" s="577"/>
      <c r="C23" s="577"/>
      <c r="D23" s="577"/>
      <c r="E23" s="577"/>
      <c r="F23" s="577"/>
      <c r="G23" s="95"/>
      <c r="H23" s="95"/>
      <c r="I23" s="577"/>
      <c r="J23" s="577"/>
      <c r="K23" s="577"/>
      <c r="L23" s="95"/>
      <c r="M23" s="577"/>
      <c r="N23" s="577"/>
      <c r="O23" s="577"/>
      <c r="P23" s="577"/>
      <c r="Q23" s="577"/>
      <c r="R23" s="577"/>
      <c r="S23" s="577"/>
      <c r="T23" s="95"/>
      <c r="U23" s="577"/>
      <c r="V23" s="577"/>
      <c r="W23" s="95"/>
      <c r="X23" s="95"/>
      <c r="Y23" s="577"/>
      <c r="Z23" s="577"/>
      <c r="AA23" s="95"/>
      <c r="AB23" s="95"/>
      <c r="AC23" s="95"/>
      <c r="AD23" s="577"/>
      <c r="AE23" s="577"/>
      <c r="AF23" s="577"/>
      <c r="AG23" s="95"/>
      <c r="AH23" s="577"/>
      <c r="AI23" s="577"/>
      <c r="AJ23" s="577"/>
      <c r="AK23" s="577"/>
      <c r="AL23" s="577"/>
    </row>
    <row r="24">
      <c r="A24" s="344" t="s">
        <v>654</v>
      </c>
      <c r="B24" s="577">
        <f t="shared" ref="B24:AL24" si="7">B14*B22</f>
        <v>9020.054826</v>
      </c>
      <c r="C24" s="577">
        <f t="shared" si="7"/>
        <v>20699.32638</v>
      </c>
      <c r="D24" s="577">
        <f t="shared" si="7"/>
        <v>11881.39007</v>
      </c>
      <c r="E24" s="577">
        <f t="shared" si="7"/>
        <v>14513.21011</v>
      </c>
      <c r="F24" s="577">
        <f t="shared" si="7"/>
        <v>48198.72502</v>
      </c>
      <c r="G24" s="248">
        <f t="shared" si="7"/>
        <v>16985.94753</v>
      </c>
      <c r="H24" s="248">
        <f t="shared" si="7"/>
        <v>17062.7613</v>
      </c>
      <c r="I24" s="577">
        <f t="shared" si="7"/>
        <v>43620.92188</v>
      </c>
      <c r="J24" s="577">
        <f t="shared" si="7"/>
        <v>6128.403393</v>
      </c>
      <c r="K24" s="577">
        <f t="shared" si="7"/>
        <v>15652.66734</v>
      </c>
      <c r="L24" s="248">
        <f t="shared" si="7"/>
        <v>1096.640546</v>
      </c>
      <c r="M24" s="577">
        <f t="shared" si="7"/>
        <v>7749.321984</v>
      </c>
      <c r="N24" s="577">
        <f t="shared" si="7"/>
        <v>4106.28957</v>
      </c>
      <c r="O24" s="577">
        <f t="shared" si="7"/>
        <v>2613.594088</v>
      </c>
      <c r="P24" s="577">
        <f t="shared" si="7"/>
        <v>5745.542452</v>
      </c>
      <c r="Q24" s="577">
        <f t="shared" si="7"/>
        <v>32816.96833</v>
      </c>
      <c r="R24" s="577">
        <f t="shared" si="7"/>
        <v>5231.038964</v>
      </c>
      <c r="S24" s="577">
        <f t="shared" si="7"/>
        <v>38725.24559</v>
      </c>
      <c r="T24" s="248">
        <f t="shared" si="7"/>
        <v>30237.02846</v>
      </c>
      <c r="U24" s="577">
        <f t="shared" si="7"/>
        <v>42526.86622</v>
      </c>
      <c r="V24" s="577">
        <f t="shared" si="7"/>
        <v>49657.86963</v>
      </c>
      <c r="W24" s="248">
        <f t="shared" si="7"/>
        <v>52530.30961</v>
      </c>
      <c r="X24" s="248">
        <f t="shared" si="7"/>
        <v>14444.42148</v>
      </c>
      <c r="Y24" s="577">
        <f t="shared" si="7"/>
        <v>27426.12352</v>
      </c>
      <c r="Z24" s="577">
        <f t="shared" si="7"/>
        <v>6170.298548</v>
      </c>
      <c r="AA24" s="248">
        <f t="shared" si="7"/>
        <v>23609.50242</v>
      </c>
      <c r="AB24" s="248">
        <f t="shared" si="7"/>
        <v>36512.9545</v>
      </c>
      <c r="AC24" s="248">
        <f t="shared" si="7"/>
        <v>30159.22505</v>
      </c>
      <c r="AD24" s="577">
        <f t="shared" si="7"/>
        <v>22149.13586</v>
      </c>
      <c r="AE24" s="577">
        <f t="shared" si="7"/>
        <v>8353.375657</v>
      </c>
      <c r="AF24" s="577">
        <f t="shared" si="7"/>
        <v>22458.79087</v>
      </c>
      <c r="AG24" s="248">
        <f t="shared" si="7"/>
        <v>16148.58595</v>
      </c>
      <c r="AH24" s="577">
        <f t="shared" si="7"/>
        <v>8238.36569</v>
      </c>
      <c r="AI24" s="577">
        <f t="shared" si="7"/>
        <v>90044.82139</v>
      </c>
      <c r="AJ24" s="577">
        <f t="shared" si="7"/>
        <v>24744.87608</v>
      </c>
      <c r="AK24" s="577">
        <f t="shared" si="7"/>
        <v>20361.06987</v>
      </c>
      <c r="AL24" s="577">
        <f t="shared" si="7"/>
        <v>51858.80227</v>
      </c>
    </row>
    <row r="25">
      <c r="A25" s="344" t="s">
        <v>655</v>
      </c>
      <c r="B25" s="577">
        <f t="shared" ref="B25:AL25" si="8">B15*B22</f>
        <v>7534.162643</v>
      </c>
      <c r="C25" s="577">
        <f t="shared" si="8"/>
        <v>17289.48378</v>
      </c>
      <c r="D25" s="577">
        <f t="shared" si="8"/>
        <v>9924.14425</v>
      </c>
      <c r="E25" s="577">
        <f t="shared" si="8"/>
        <v>12122.41916</v>
      </c>
      <c r="F25" s="577">
        <f t="shared" si="8"/>
        <v>40258.84992</v>
      </c>
      <c r="G25" s="248">
        <f t="shared" si="8"/>
        <v>14187.81746</v>
      </c>
      <c r="H25" s="248">
        <f t="shared" si="8"/>
        <v>14251.97754</v>
      </c>
      <c r="I25" s="577">
        <f t="shared" si="8"/>
        <v>36435.15771</v>
      </c>
      <c r="J25" s="577">
        <f t="shared" si="8"/>
        <v>5118.858898</v>
      </c>
      <c r="K25" s="577">
        <f t="shared" si="8"/>
        <v>13074.17126</v>
      </c>
      <c r="L25" s="248">
        <f t="shared" si="8"/>
        <v>915.9886932</v>
      </c>
      <c r="M25" s="577">
        <f t="shared" si="8"/>
        <v>6472.760236</v>
      </c>
      <c r="N25" s="577">
        <f t="shared" si="8"/>
        <v>3429.852044</v>
      </c>
      <c r="O25" s="577">
        <f t="shared" si="8"/>
        <v>2183.051359</v>
      </c>
      <c r="P25" s="577">
        <f t="shared" si="8"/>
        <v>4799.067428</v>
      </c>
      <c r="Q25" s="577">
        <f t="shared" si="8"/>
        <v>27410.96164</v>
      </c>
      <c r="R25" s="577">
        <f t="shared" si="8"/>
        <v>4369.319157</v>
      </c>
      <c r="S25" s="577">
        <f t="shared" si="8"/>
        <v>32345.95624</v>
      </c>
      <c r="T25" s="248">
        <f t="shared" si="8"/>
        <v>25256.02057</v>
      </c>
      <c r="U25" s="577">
        <f t="shared" si="8"/>
        <v>35521.32808</v>
      </c>
      <c r="V25" s="577">
        <f t="shared" si="8"/>
        <v>41477.62664</v>
      </c>
      <c r="W25" s="248">
        <f t="shared" si="8"/>
        <v>43876.88367</v>
      </c>
      <c r="X25" s="248">
        <f t="shared" si="8"/>
        <v>12064.96223</v>
      </c>
      <c r="Y25" s="577">
        <f t="shared" si="8"/>
        <v>22908.16179</v>
      </c>
      <c r="Z25" s="577">
        <f t="shared" si="8"/>
        <v>5153.852578</v>
      </c>
      <c r="AA25" s="248">
        <f t="shared" si="8"/>
        <v>19720.26053</v>
      </c>
      <c r="AB25" s="248">
        <f t="shared" si="8"/>
        <v>30498.10041</v>
      </c>
      <c r="AC25" s="248">
        <f t="shared" si="8"/>
        <v>25191.03388</v>
      </c>
      <c r="AD25" s="577">
        <f t="shared" si="8"/>
        <v>18500.46315</v>
      </c>
      <c r="AE25" s="577">
        <f t="shared" si="8"/>
        <v>6977.306905</v>
      </c>
      <c r="AF25" s="577">
        <f t="shared" si="8"/>
        <v>18759.10806</v>
      </c>
      <c r="AG25" s="248">
        <f t="shared" si="8"/>
        <v>13488.39618</v>
      </c>
      <c r="AH25" s="577">
        <f t="shared" si="8"/>
        <v>6881.242766</v>
      </c>
      <c r="AI25" s="577">
        <f t="shared" si="8"/>
        <v>75211.55277</v>
      </c>
      <c r="AJ25" s="577">
        <f t="shared" si="8"/>
        <v>20668.60175</v>
      </c>
      <c r="AK25" s="577">
        <f t="shared" si="8"/>
        <v>17006.94895</v>
      </c>
      <c r="AL25" s="577">
        <f t="shared" si="8"/>
        <v>43315.99512</v>
      </c>
    </row>
    <row r="26">
      <c r="A26" s="400" t="s">
        <v>571</v>
      </c>
      <c r="B26" s="577">
        <f t="shared" ref="B26:AL26" si="9">sum(B17,B24:B25)</f>
        <v>116554.2175</v>
      </c>
      <c r="C26" s="577">
        <f t="shared" si="9"/>
        <v>137988.8102</v>
      </c>
      <c r="D26" s="577">
        <f t="shared" si="9"/>
        <v>121805.5343</v>
      </c>
      <c r="E26" s="577">
        <f t="shared" si="9"/>
        <v>126635.6293</v>
      </c>
      <c r="F26" s="577">
        <f t="shared" si="9"/>
        <v>188457.5749</v>
      </c>
      <c r="G26" s="248">
        <f t="shared" si="9"/>
        <v>131173.765</v>
      </c>
      <c r="H26" s="248">
        <f t="shared" si="9"/>
        <v>131314.7388</v>
      </c>
      <c r="I26" s="577">
        <f t="shared" si="9"/>
        <v>180056.0796</v>
      </c>
      <c r="J26" s="577">
        <f t="shared" si="9"/>
        <v>111247.2623</v>
      </c>
      <c r="K26" s="577">
        <f t="shared" si="9"/>
        <v>128726.8386</v>
      </c>
      <c r="L26" s="248">
        <f t="shared" si="9"/>
        <v>102012.6292</v>
      </c>
      <c r="M26" s="577">
        <f t="shared" si="9"/>
        <v>114222.0822</v>
      </c>
      <c r="N26" s="577">
        <f t="shared" si="9"/>
        <v>107536.1416</v>
      </c>
      <c r="O26" s="577">
        <f t="shared" si="9"/>
        <v>104796.6454</v>
      </c>
      <c r="P26" s="577">
        <f t="shared" si="9"/>
        <v>110544.6099</v>
      </c>
      <c r="Q26" s="577">
        <f t="shared" si="9"/>
        <v>160227.93</v>
      </c>
      <c r="R26" s="577">
        <f t="shared" si="9"/>
        <v>109600.3581</v>
      </c>
      <c r="S26" s="577">
        <f t="shared" si="9"/>
        <v>171071.2018</v>
      </c>
      <c r="T26" s="248">
        <f t="shared" si="9"/>
        <v>155493.049</v>
      </c>
      <c r="U26" s="577">
        <f t="shared" si="9"/>
        <v>178048.1943</v>
      </c>
      <c r="V26" s="577">
        <f t="shared" si="9"/>
        <v>191135.4963</v>
      </c>
      <c r="W26" s="248">
        <f t="shared" si="9"/>
        <v>196407.1933</v>
      </c>
      <c r="X26" s="248">
        <f t="shared" si="9"/>
        <v>126509.3837</v>
      </c>
      <c r="Y26" s="577">
        <f t="shared" si="9"/>
        <v>150334.2853</v>
      </c>
      <c r="Z26" s="577">
        <f t="shared" si="9"/>
        <v>111324.1511</v>
      </c>
      <c r="AA26" s="248">
        <f t="shared" si="9"/>
        <v>143329.763</v>
      </c>
      <c r="AB26" s="248">
        <f t="shared" si="9"/>
        <v>167011.0549</v>
      </c>
      <c r="AC26" s="248">
        <f t="shared" si="9"/>
        <v>155350.2589</v>
      </c>
      <c r="AD26" s="577">
        <f t="shared" si="9"/>
        <v>140649.599</v>
      </c>
      <c r="AE26" s="577">
        <f t="shared" si="9"/>
        <v>115330.6826</v>
      </c>
      <c r="AF26" s="577">
        <f t="shared" si="9"/>
        <v>141217.8989</v>
      </c>
      <c r="AG26" s="248">
        <f t="shared" si="9"/>
        <v>129636.9821</v>
      </c>
      <c r="AH26" s="577">
        <f t="shared" si="9"/>
        <v>115119.6085</v>
      </c>
      <c r="AI26" s="577">
        <f t="shared" si="9"/>
        <v>265256.3742</v>
      </c>
      <c r="AJ26" s="577">
        <f t="shared" si="9"/>
        <v>145413.4778</v>
      </c>
      <c r="AK26" s="577">
        <f t="shared" si="9"/>
        <v>137368.0188</v>
      </c>
      <c r="AL26" s="577">
        <f t="shared" si="9"/>
        <v>195174.7974</v>
      </c>
    </row>
    <row r="27">
      <c r="A27" s="400"/>
      <c r="B27" s="578"/>
      <c r="C27" s="578"/>
      <c r="D27" s="578"/>
      <c r="E27" s="578"/>
      <c r="F27" s="578"/>
      <c r="G27" s="551"/>
      <c r="H27" s="551"/>
      <c r="I27" s="551"/>
      <c r="J27" s="551"/>
      <c r="K27" s="551"/>
      <c r="L27" s="551"/>
      <c r="M27" s="551"/>
      <c r="N27" s="551"/>
      <c r="O27" s="551"/>
      <c r="P27" s="551"/>
      <c r="Q27" s="578"/>
      <c r="R27" s="578"/>
      <c r="S27" s="578"/>
      <c r="T27" s="551"/>
      <c r="U27" s="578"/>
      <c r="V27" s="578"/>
      <c r="W27" s="551"/>
      <c r="X27" s="551"/>
      <c r="Y27" s="578"/>
      <c r="Z27" s="578"/>
      <c r="AA27" s="551"/>
      <c r="AB27" s="551"/>
      <c r="AC27" s="551"/>
      <c r="AD27" s="551"/>
      <c r="AE27" s="551"/>
      <c r="AF27" s="551"/>
      <c r="AG27" s="551"/>
      <c r="AH27" s="551"/>
      <c r="AI27" s="578"/>
      <c r="AJ27" s="578"/>
      <c r="AK27" s="578"/>
      <c r="AL27" s="578"/>
    </row>
    <row r="28">
      <c r="A28" s="160" t="s">
        <v>656</v>
      </c>
      <c r="B28" s="472"/>
      <c r="C28" s="472"/>
      <c r="D28" s="472"/>
      <c r="E28" s="472"/>
      <c r="F28" s="472"/>
      <c r="G28" s="161"/>
      <c r="H28" s="161"/>
      <c r="I28" s="161"/>
      <c r="J28" s="161"/>
      <c r="K28" s="161"/>
      <c r="L28" s="161"/>
      <c r="M28" s="161"/>
      <c r="N28" s="161"/>
      <c r="O28" s="161"/>
      <c r="P28" s="161"/>
      <c r="Q28" s="472"/>
      <c r="R28" s="472"/>
      <c r="S28" s="472"/>
      <c r="T28" s="161"/>
      <c r="U28" s="472"/>
      <c r="V28" s="472"/>
      <c r="W28" s="161"/>
      <c r="X28" s="161"/>
      <c r="Y28" s="472"/>
      <c r="Z28" s="472"/>
      <c r="AA28" s="161"/>
      <c r="AB28" s="161"/>
      <c r="AC28" s="161"/>
      <c r="AD28" s="161"/>
      <c r="AE28" s="161"/>
      <c r="AF28" s="161"/>
      <c r="AG28" s="161"/>
      <c r="AH28" s="161"/>
      <c r="AI28" s="472"/>
      <c r="AJ28" s="472"/>
      <c r="AK28" s="472"/>
      <c r="AL28" s="472"/>
    </row>
    <row r="29">
      <c r="A29" s="538"/>
      <c r="B29" s="579"/>
      <c r="C29" s="579"/>
      <c r="D29" s="579"/>
      <c r="E29" s="579"/>
      <c r="F29" s="579"/>
      <c r="G29" s="142"/>
      <c r="H29" s="142"/>
      <c r="I29" s="142"/>
      <c r="J29" s="142"/>
      <c r="K29" s="142"/>
      <c r="L29" s="142"/>
      <c r="M29" s="142"/>
      <c r="N29" s="142"/>
      <c r="O29" s="142"/>
      <c r="P29" s="142"/>
      <c r="Q29" s="579"/>
      <c r="R29" s="579"/>
      <c r="S29" s="579"/>
      <c r="T29" s="142"/>
      <c r="U29" s="579"/>
      <c r="V29" s="579"/>
      <c r="W29" s="142"/>
      <c r="X29" s="142"/>
      <c r="Y29" s="579"/>
      <c r="Z29" s="579"/>
      <c r="AA29" s="142"/>
      <c r="AB29" s="142"/>
      <c r="AC29" s="142"/>
      <c r="AD29" s="142"/>
      <c r="AE29" s="142"/>
      <c r="AF29" s="142"/>
      <c r="AG29" s="142"/>
      <c r="AH29" s="142"/>
      <c r="AI29" s="579"/>
      <c r="AJ29" s="579"/>
      <c r="AK29" s="579"/>
      <c r="AL29" s="579"/>
    </row>
    <row r="30">
      <c r="A30" s="580" t="s">
        <v>657</v>
      </c>
      <c r="B30" s="569"/>
      <c r="C30" s="569"/>
      <c r="D30" s="569"/>
      <c r="E30" s="569"/>
      <c r="F30" s="569"/>
      <c r="G30" s="570"/>
      <c r="H30" s="570"/>
      <c r="I30" s="570"/>
      <c r="J30" s="570"/>
      <c r="K30" s="570"/>
      <c r="L30" s="570"/>
      <c r="M30" s="570"/>
      <c r="N30" s="570"/>
      <c r="O30" s="570"/>
      <c r="P30" s="570"/>
      <c r="Q30" s="569"/>
      <c r="R30" s="569"/>
      <c r="S30" s="569"/>
      <c r="T30" s="570"/>
      <c r="U30" s="569"/>
      <c r="V30" s="569"/>
      <c r="W30" s="570"/>
      <c r="X30" s="570"/>
      <c r="Y30" s="569"/>
      <c r="Z30" s="569"/>
      <c r="AA30" s="570"/>
      <c r="AB30" s="570"/>
      <c r="AC30" s="570"/>
      <c r="AD30" s="570"/>
      <c r="AE30" s="570"/>
      <c r="AF30" s="570"/>
      <c r="AG30" s="570"/>
      <c r="AH30" s="570"/>
      <c r="AI30" s="569"/>
      <c r="AJ30" s="569"/>
      <c r="AK30" s="569"/>
      <c r="AL30" s="569"/>
    </row>
    <row r="31">
      <c r="A31" s="129" t="s">
        <v>658</v>
      </c>
      <c r="B31" s="124">
        <v>0.4618104</v>
      </c>
      <c r="C31" s="124">
        <v>0.4610018</v>
      </c>
      <c r="D31" s="124">
        <v>0.4830095</v>
      </c>
      <c r="E31" s="124">
        <v>0.5170203</v>
      </c>
      <c r="F31" s="124">
        <v>0.3793611</v>
      </c>
      <c r="G31" s="124">
        <v>0.386267</v>
      </c>
      <c r="H31" s="124">
        <v>0.4246698</v>
      </c>
      <c r="I31" s="124">
        <v>0.3192938</v>
      </c>
      <c r="J31" s="124">
        <v>0.4821392</v>
      </c>
      <c r="K31" s="124">
        <v>0.4785302</v>
      </c>
      <c r="L31" s="124">
        <v>0.4877549</v>
      </c>
      <c r="M31" s="124">
        <v>0.5279664</v>
      </c>
      <c r="N31" s="124">
        <v>0.480956</v>
      </c>
      <c r="O31" s="124">
        <v>0.4695148</v>
      </c>
      <c r="P31" s="124">
        <v>0.4895306</v>
      </c>
      <c r="Q31" s="124">
        <v>0.44069</v>
      </c>
      <c r="R31" s="124">
        <v>0.5073929</v>
      </c>
      <c r="S31" s="124">
        <v>0.3672891</v>
      </c>
      <c r="T31" s="124">
        <v>0.4648691</v>
      </c>
      <c r="U31" s="124">
        <v>0.4368777</v>
      </c>
      <c r="V31" s="124">
        <v>0.345629</v>
      </c>
      <c r="W31" s="124">
        <v>0.3624048</v>
      </c>
      <c r="X31" s="124">
        <v>0.4077909</v>
      </c>
      <c r="Y31" s="124">
        <v>0.4231941</v>
      </c>
      <c r="Z31" s="124">
        <v>0.4498909</v>
      </c>
      <c r="AA31" s="124">
        <v>0.4564212</v>
      </c>
      <c r="AB31" s="124">
        <v>0.4495445</v>
      </c>
      <c r="AC31" s="124">
        <v>0.4610719</v>
      </c>
      <c r="AD31" s="124">
        <v>0.518829</v>
      </c>
      <c r="AE31" s="124">
        <v>0.4618178</v>
      </c>
      <c r="AF31" s="124">
        <v>0.4752229</v>
      </c>
      <c r="AG31" s="124">
        <v>0.4547581</v>
      </c>
      <c r="AH31" s="124">
        <v>0.4884794</v>
      </c>
      <c r="AI31" s="124">
        <v>0.3544356</v>
      </c>
      <c r="AJ31" s="124">
        <v>0.4716414</v>
      </c>
      <c r="AK31" s="124">
        <v>0.3614847</v>
      </c>
      <c r="AL31" s="124">
        <v>0.3108365</v>
      </c>
    </row>
    <row r="32">
      <c r="A32" s="129" t="s">
        <v>659</v>
      </c>
      <c r="B32" s="124">
        <v>0.0671042</v>
      </c>
      <c r="C32" s="124">
        <v>0.0811091</v>
      </c>
      <c r="D32" s="124">
        <v>0.1238369</v>
      </c>
      <c r="E32" s="124">
        <v>0.1500745</v>
      </c>
      <c r="F32" s="124">
        <v>0.0980014</v>
      </c>
      <c r="G32" s="124">
        <v>0.1396038</v>
      </c>
      <c r="H32" s="124">
        <v>0.0990966</v>
      </c>
      <c r="I32" s="124">
        <v>0.1533664</v>
      </c>
      <c r="J32" s="124">
        <v>0.1249163</v>
      </c>
      <c r="K32" s="124">
        <v>0.1032725</v>
      </c>
      <c r="L32" s="124">
        <v>0.0976111</v>
      </c>
      <c r="M32" s="124">
        <v>0.0904374</v>
      </c>
      <c r="N32" s="124">
        <v>0.0800885</v>
      </c>
      <c r="O32" s="124">
        <v>0.1316944</v>
      </c>
      <c r="P32" s="124">
        <v>0.0998072</v>
      </c>
      <c r="Q32" s="124">
        <v>0.1149043</v>
      </c>
      <c r="R32" s="124">
        <v>0.0981836</v>
      </c>
      <c r="S32" s="124">
        <v>0.09929</v>
      </c>
      <c r="T32" s="124">
        <v>0.1181215</v>
      </c>
      <c r="U32" s="124">
        <v>0.0896078</v>
      </c>
      <c r="V32" s="124">
        <v>0.1132966</v>
      </c>
      <c r="W32" s="124">
        <v>0.1343173</v>
      </c>
      <c r="X32" s="124">
        <v>0.2625532</v>
      </c>
      <c r="Y32" s="124">
        <v>0.1439739</v>
      </c>
      <c r="Z32" s="124">
        <v>0.1028277</v>
      </c>
      <c r="AA32" s="124">
        <v>0.1221478</v>
      </c>
      <c r="AB32" s="124">
        <v>0.1130463</v>
      </c>
      <c r="AC32" s="124">
        <v>0.1244848</v>
      </c>
      <c r="AD32" s="124">
        <v>0.0911259</v>
      </c>
      <c r="AE32" s="124">
        <v>0.1133016</v>
      </c>
      <c r="AF32" s="124">
        <v>0.1722005</v>
      </c>
      <c r="AG32" s="124">
        <v>0.0963838</v>
      </c>
      <c r="AH32" s="124">
        <v>0.0904191</v>
      </c>
      <c r="AI32" s="124">
        <v>0.1095313</v>
      </c>
      <c r="AJ32" s="124">
        <v>0.0862766</v>
      </c>
      <c r="AK32" s="124">
        <v>0.1339093</v>
      </c>
      <c r="AL32" s="124">
        <v>0.1202065</v>
      </c>
    </row>
    <row r="33">
      <c r="A33" s="129" t="s">
        <v>660</v>
      </c>
      <c r="B33" s="117">
        <v>0.0419005</v>
      </c>
      <c r="C33" s="117">
        <v>0.0355441</v>
      </c>
      <c r="D33" s="117">
        <v>0.0447451</v>
      </c>
      <c r="E33" s="117">
        <v>0.0481509</v>
      </c>
      <c r="F33" s="117">
        <v>0.0256765</v>
      </c>
      <c r="G33" s="117">
        <v>0.0309052</v>
      </c>
      <c r="H33" s="117">
        <v>0.0360898</v>
      </c>
      <c r="I33" s="117">
        <v>0.0255473</v>
      </c>
      <c r="J33" s="117">
        <v>0.0465403</v>
      </c>
      <c r="K33" s="117">
        <v>0.040644</v>
      </c>
      <c r="L33" s="117">
        <v>0.0481161</v>
      </c>
      <c r="M33" s="117">
        <v>0.0579679</v>
      </c>
      <c r="N33" s="117">
        <v>0.0510729</v>
      </c>
      <c r="O33" s="117">
        <v>0.0479145</v>
      </c>
      <c r="P33" s="117">
        <v>0.0468194</v>
      </c>
      <c r="Q33" s="117">
        <v>0.0312747</v>
      </c>
      <c r="R33" s="117">
        <v>0.0493946</v>
      </c>
      <c r="S33" s="117">
        <v>0.0250969</v>
      </c>
      <c r="T33" s="117">
        <v>0.0341924</v>
      </c>
      <c r="U33" s="117">
        <v>0.0299843</v>
      </c>
      <c r="V33" s="117">
        <v>0.0240252</v>
      </c>
      <c r="W33" s="117">
        <v>0.0252918</v>
      </c>
      <c r="X33" s="117">
        <v>0.0322284</v>
      </c>
      <c r="Y33" s="117">
        <v>0.0345196</v>
      </c>
      <c r="Z33" s="117">
        <v>0.0483125</v>
      </c>
      <c r="AA33" s="117">
        <v>0.0347271</v>
      </c>
      <c r="AB33" s="117">
        <v>0.0320457</v>
      </c>
      <c r="AC33" s="117">
        <v>0.0360393</v>
      </c>
      <c r="AD33" s="117">
        <v>0.0439115</v>
      </c>
      <c r="AE33" s="117">
        <v>0.0440542</v>
      </c>
      <c r="AF33" s="117">
        <v>0.0393302</v>
      </c>
      <c r="AG33" s="117">
        <v>0.0390772</v>
      </c>
      <c r="AH33" s="117">
        <v>0.0465113</v>
      </c>
      <c r="AI33" s="117">
        <v>0.023036</v>
      </c>
      <c r="AJ33" s="117">
        <v>0.0336219</v>
      </c>
      <c r="AK33" s="117">
        <v>0.025757</v>
      </c>
      <c r="AL33" s="117">
        <v>0.0209795</v>
      </c>
    </row>
    <row r="34">
      <c r="A34" s="129" t="s">
        <v>661</v>
      </c>
      <c r="B34" s="117">
        <v>0.021539</v>
      </c>
      <c r="C34" s="117">
        <v>0.0275875</v>
      </c>
      <c r="D34" s="117">
        <v>0.0420471</v>
      </c>
      <c r="E34" s="117">
        <v>0.0298192</v>
      </c>
      <c r="F34" s="117">
        <v>0.049534</v>
      </c>
      <c r="G34" s="117">
        <v>0.0484615</v>
      </c>
      <c r="H34" s="117">
        <v>0.0294221</v>
      </c>
      <c r="I34" s="117">
        <v>0.0628616</v>
      </c>
      <c r="J34" s="117">
        <v>0.0473417</v>
      </c>
      <c r="K34" s="117">
        <v>0.0345609</v>
      </c>
      <c r="L34" s="117">
        <v>0.0338183</v>
      </c>
      <c r="M34" s="117">
        <v>0.0429772</v>
      </c>
      <c r="N34" s="117">
        <v>0.0546966</v>
      </c>
      <c r="O34" s="117">
        <v>0.0424022</v>
      </c>
      <c r="P34" s="117">
        <v>0.0332336</v>
      </c>
      <c r="Q34" s="117">
        <v>0.0390248</v>
      </c>
      <c r="R34" s="117">
        <v>0.0304159</v>
      </c>
      <c r="S34" s="117">
        <v>0.0535248</v>
      </c>
      <c r="T34" s="117">
        <v>0.0464354</v>
      </c>
      <c r="U34" s="117">
        <v>0.0270432</v>
      </c>
      <c r="V34" s="117">
        <v>0.0665249</v>
      </c>
      <c r="W34" s="117">
        <v>0.0677902</v>
      </c>
      <c r="X34" s="117">
        <v>0.0561006</v>
      </c>
      <c r="Y34" s="117">
        <v>0.0779018</v>
      </c>
      <c r="Z34" s="117">
        <v>0.0418556</v>
      </c>
      <c r="AA34" s="117">
        <v>0.0414672</v>
      </c>
      <c r="AB34" s="117">
        <v>0.0434159</v>
      </c>
      <c r="AC34" s="117">
        <v>0.0377028</v>
      </c>
      <c r="AD34" s="117">
        <v>0.041389</v>
      </c>
      <c r="AE34" s="117">
        <v>0.0485056</v>
      </c>
      <c r="AF34" s="117">
        <v>0.0514643</v>
      </c>
      <c r="AG34" s="117">
        <v>0.0421615</v>
      </c>
      <c r="AH34" s="117">
        <v>0.0359568</v>
      </c>
      <c r="AI34" s="117">
        <v>0.0530668</v>
      </c>
      <c r="AJ34" s="117">
        <v>0.0298299</v>
      </c>
      <c r="AK34" s="117">
        <v>0.0682564</v>
      </c>
      <c r="AL34" s="117">
        <v>0.0626144</v>
      </c>
    </row>
    <row r="35">
      <c r="A35" s="129" t="s">
        <v>662</v>
      </c>
      <c r="B35" s="117">
        <v>0.1122563</v>
      </c>
      <c r="C35" s="117">
        <v>0.143943</v>
      </c>
      <c r="D35" s="117">
        <v>0.1038876</v>
      </c>
      <c r="E35" s="117">
        <v>0.1008551</v>
      </c>
      <c r="F35" s="117">
        <v>0.1832531</v>
      </c>
      <c r="G35" s="117">
        <v>0.0811273</v>
      </c>
      <c r="H35" s="117">
        <v>0.1142574</v>
      </c>
      <c r="I35" s="117">
        <v>0.1271589</v>
      </c>
      <c r="J35" s="117">
        <v>0.1320442</v>
      </c>
      <c r="K35" s="117">
        <v>0.114228</v>
      </c>
      <c r="L35" s="117">
        <v>0.1494461</v>
      </c>
      <c r="M35" s="117">
        <v>0.1541251</v>
      </c>
      <c r="N35" s="117">
        <v>0.1533235</v>
      </c>
      <c r="O35" s="117">
        <v>0.1443439</v>
      </c>
      <c r="P35" s="117">
        <v>0.1410643</v>
      </c>
      <c r="Q35" s="117">
        <v>0.1358637</v>
      </c>
      <c r="R35" s="117">
        <v>0.1462376</v>
      </c>
      <c r="S35" s="117">
        <v>0.1991331</v>
      </c>
      <c r="T35" s="117">
        <v>0.1176968</v>
      </c>
      <c r="U35" s="117">
        <v>0.1230617</v>
      </c>
      <c r="V35" s="117">
        <v>0.1696462</v>
      </c>
      <c r="W35" s="117">
        <v>0.1677436</v>
      </c>
      <c r="X35" s="117">
        <v>0.1041199</v>
      </c>
      <c r="Y35" s="117">
        <v>0.094308</v>
      </c>
      <c r="Z35" s="117">
        <v>0.1115037</v>
      </c>
      <c r="AA35" s="117">
        <v>0.1240425</v>
      </c>
      <c r="AB35" s="117">
        <v>0.1155366</v>
      </c>
      <c r="AC35" s="117">
        <v>0.1048193</v>
      </c>
      <c r="AD35" s="117">
        <v>0.1144961</v>
      </c>
      <c r="AE35" s="117">
        <v>0.1387096</v>
      </c>
      <c r="AF35" s="117">
        <v>0.089408</v>
      </c>
      <c r="AG35" s="117">
        <v>0.1492277</v>
      </c>
      <c r="AH35" s="117">
        <v>0.1165042</v>
      </c>
      <c r="AI35" s="117">
        <v>0.1712558</v>
      </c>
      <c r="AJ35" s="117">
        <v>0.116401</v>
      </c>
      <c r="AK35" s="117">
        <v>0.1653566</v>
      </c>
      <c r="AL35" s="117">
        <v>0.2079666</v>
      </c>
    </row>
    <row r="36">
      <c r="A36" s="129" t="s">
        <v>663</v>
      </c>
      <c r="B36" s="117">
        <v>0.2953897</v>
      </c>
      <c r="C36" s="117">
        <v>0.2508145</v>
      </c>
      <c r="D36" s="117">
        <v>0.2024737</v>
      </c>
      <c r="E36" s="117">
        <v>0.1540801</v>
      </c>
      <c r="F36" s="117">
        <v>0.2641737</v>
      </c>
      <c r="G36" s="117">
        <v>0.3136353</v>
      </c>
      <c r="H36" s="117">
        <v>0.2964643</v>
      </c>
      <c r="I36" s="117">
        <v>0.311772</v>
      </c>
      <c r="J36" s="117">
        <v>0.1670184</v>
      </c>
      <c r="K36" s="117">
        <v>0.2287645</v>
      </c>
      <c r="L36" s="117">
        <v>0.1832535</v>
      </c>
      <c r="M36" s="117">
        <v>0.126526</v>
      </c>
      <c r="N36" s="117">
        <v>0.1798625</v>
      </c>
      <c r="O36" s="117">
        <v>0.1641301</v>
      </c>
      <c r="P36" s="117">
        <v>0.1895449</v>
      </c>
      <c r="Q36" s="117">
        <v>0.2382426</v>
      </c>
      <c r="R36" s="117">
        <v>0.1683754</v>
      </c>
      <c r="S36" s="117">
        <v>0.2556661</v>
      </c>
      <c r="T36" s="117">
        <v>0.2186847</v>
      </c>
      <c r="U36" s="117">
        <v>0.2934253</v>
      </c>
      <c r="V36" s="117">
        <v>0.2808781</v>
      </c>
      <c r="W36" s="117">
        <v>0.2424523</v>
      </c>
      <c r="X36" s="117">
        <v>0.1372071</v>
      </c>
      <c r="Y36" s="117">
        <v>0.2261026</v>
      </c>
      <c r="Z36" s="117">
        <v>0.2456096</v>
      </c>
      <c r="AA36" s="117">
        <v>0.2211941</v>
      </c>
      <c r="AB36" s="117">
        <v>0.246411</v>
      </c>
      <c r="AC36" s="117">
        <v>0.2358819</v>
      </c>
      <c r="AD36" s="117">
        <v>0.1902484</v>
      </c>
      <c r="AE36" s="117">
        <v>0.1936111</v>
      </c>
      <c r="AF36" s="117">
        <v>0.1723742</v>
      </c>
      <c r="AG36" s="117">
        <v>0.2183917</v>
      </c>
      <c r="AH36" s="117">
        <v>0.2221292</v>
      </c>
      <c r="AI36" s="117">
        <v>0.2886743</v>
      </c>
      <c r="AJ36" s="117">
        <v>0.2622292</v>
      </c>
      <c r="AK36" s="117">
        <v>0.2452361</v>
      </c>
      <c r="AL36" s="117">
        <v>0.2773964</v>
      </c>
    </row>
    <row r="37">
      <c r="A37" s="581"/>
      <c r="B37" s="579"/>
      <c r="C37" s="579"/>
      <c r="D37" s="579"/>
      <c r="E37" s="579"/>
      <c r="F37" s="579"/>
      <c r="G37" s="142"/>
      <c r="H37" s="142"/>
      <c r="I37" s="142"/>
      <c r="J37" s="142"/>
      <c r="K37" s="142"/>
      <c r="L37" s="142"/>
      <c r="M37" s="142"/>
      <c r="N37" s="142"/>
      <c r="O37" s="142"/>
      <c r="P37" s="142"/>
      <c r="Q37" s="579"/>
      <c r="R37" s="579"/>
      <c r="S37" s="579"/>
      <c r="T37" s="142"/>
      <c r="U37" s="579"/>
      <c r="V37" s="579"/>
      <c r="W37" s="142"/>
      <c r="X37" s="142"/>
      <c r="Y37" s="579"/>
      <c r="Z37" s="579"/>
      <c r="AA37" s="142"/>
      <c r="AB37" s="142"/>
      <c r="AC37" s="142"/>
      <c r="AD37" s="142"/>
      <c r="AE37" s="142"/>
      <c r="AF37" s="142"/>
      <c r="AG37" s="142"/>
      <c r="AH37" s="142"/>
      <c r="AI37" s="579"/>
      <c r="AJ37" s="579"/>
      <c r="AK37" s="579"/>
      <c r="AL37" s="579"/>
    </row>
    <row r="38">
      <c r="A38" s="581" t="s">
        <v>664</v>
      </c>
      <c r="B38" s="579"/>
      <c r="C38" s="579"/>
      <c r="D38" s="579"/>
      <c r="E38" s="579"/>
      <c r="F38" s="579"/>
      <c r="G38" s="142"/>
      <c r="H38" s="142"/>
      <c r="I38" s="142"/>
      <c r="J38" s="142"/>
      <c r="K38" s="142"/>
      <c r="L38" s="142"/>
      <c r="M38" s="142"/>
      <c r="N38" s="142"/>
      <c r="O38" s="142"/>
      <c r="P38" s="142"/>
      <c r="Q38" s="579"/>
      <c r="R38" s="579"/>
      <c r="S38" s="579"/>
      <c r="T38" s="142"/>
      <c r="U38" s="579"/>
      <c r="V38" s="579"/>
      <c r="W38" s="142"/>
      <c r="X38" s="142"/>
      <c r="Y38" s="579"/>
      <c r="Z38" s="579"/>
      <c r="AA38" s="142"/>
      <c r="AB38" s="142"/>
      <c r="AC38" s="142"/>
      <c r="AD38" s="142"/>
      <c r="AE38" s="142"/>
      <c r="AF38" s="142"/>
      <c r="AG38" s="142"/>
      <c r="AH38" s="142"/>
      <c r="AI38" s="579"/>
      <c r="AJ38" s="579"/>
      <c r="AK38" s="579"/>
      <c r="AL38" s="579"/>
    </row>
    <row r="39">
      <c r="A39" s="91" t="s">
        <v>658</v>
      </c>
      <c r="B39" s="582">
        <v>0.58</v>
      </c>
      <c r="C39" s="582">
        <v>0.58</v>
      </c>
      <c r="D39" s="582">
        <v>0.58</v>
      </c>
      <c r="E39" s="582">
        <v>0.58</v>
      </c>
      <c r="F39" s="582">
        <v>0.58</v>
      </c>
      <c r="G39" s="583">
        <v>0.58</v>
      </c>
      <c r="H39" s="583">
        <v>0.58</v>
      </c>
      <c r="I39" s="582">
        <v>0.58</v>
      </c>
      <c r="J39" s="582">
        <v>0.58</v>
      </c>
      <c r="K39" s="582">
        <v>0.58</v>
      </c>
      <c r="L39" s="583">
        <v>0.58</v>
      </c>
      <c r="M39" s="582">
        <v>0.58</v>
      </c>
      <c r="N39" s="582">
        <v>0.58</v>
      </c>
      <c r="O39" s="582">
        <v>0.58</v>
      </c>
      <c r="P39" s="582">
        <v>0.58</v>
      </c>
      <c r="Q39" s="582">
        <v>0.58</v>
      </c>
      <c r="R39" s="582">
        <v>0.58</v>
      </c>
      <c r="S39" s="582">
        <v>0.58</v>
      </c>
      <c r="T39" s="583">
        <v>0.58</v>
      </c>
      <c r="U39" s="582">
        <v>0.58</v>
      </c>
      <c r="V39" s="582">
        <v>0.58</v>
      </c>
      <c r="W39" s="583">
        <v>0.58</v>
      </c>
      <c r="X39" s="583">
        <v>0.58</v>
      </c>
      <c r="Y39" s="582">
        <v>0.58</v>
      </c>
      <c r="Z39" s="582">
        <v>0.58</v>
      </c>
      <c r="AA39" s="583">
        <v>0.58</v>
      </c>
      <c r="AB39" s="583">
        <v>0.58</v>
      </c>
      <c r="AC39" s="583">
        <v>0.58</v>
      </c>
      <c r="AD39" s="582">
        <v>0.58</v>
      </c>
      <c r="AE39" s="582">
        <v>0.58</v>
      </c>
      <c r="AF39" s="582">
        <v>0.58</v>
      </c>
      <c r="AG39" s="583">
        <v>0.58</v>
      </c>
      <c r="AH39" s="582">
        <v>0.58</v>
      </c>
      <c r="AI39" s="582">
        <v>0.58</v>
      </c>
      <c r="AJ39" s="582">
        <v>0.58</v>
      </c>
      <c r="AK39" s="582">
        <v>0.58</v>
      </c>
      <c r="AL39" s="582">
        <v>0.58</v>
      </c>
    </row>
    <row r="40">
      <c r="A40" s="91" t="s">
        <v>659</v>
      </c>
      <c r="B40" s="582">
        <v>0.84</v>
      </c>
      <c r="C40" s="582">
        <v>0.84</v>
      </c>
      <c r="D40" s="582">
        <v>0.84</v>
      </c>
      <c r="E40" s="582">
        <v>0.84</v>
      </c>
      <c r="F40" s="582">
        <v>0.84</v>
      </c>
      <c r="G40" s="583">
        <v>0.84</v>
      </c>
      <c r="H40" s="583">
        <v>0.84</v>
      </c>
      <c r="I40" s="582">
        <v>0.84</v>
      </c>
      <c r="J40" s="582">
        <v>0.84</v>
      </c>
      <c r="K40" s="582">
        <v>0.84</v>
      </c>
      <c r="L40" s="583">
        <v>0.84</v>
      </c>
      <c r="M40" s="582">
        <v>0.84</v>
      </c>
      <c r="N40" s="582">
        <v>0.84</v>
      </c>
      <c r="O40" s="582">
        <v>0.84</v>
      </c>
      <c r="P40" s="582">
        <v>0.84</v>
      </c>
      <c r="Q40" s="582">
        <v>0.84</v>
      </c>
      <c r="R40" s="582">
        <v>0.84</v>
      </c>
      <c r="S40" s="582">
        <v>0.84</v>
      </c>
      <c r="T40" s="583">
        <v>0.84</v>
      </c>
      <c r="U40" s="582">
        <v>0.84</v>
      </c>
      <c r="V40" s="582">
        <v>0.84</v>
      </c>
      <c r="W40" s="583">
        <v>0.84</v>
      </c>
      <c r="X40" s="583">
        <v>0.84</v>
      </c>
      <c r="Y40" s="582">
        <v>0.84</v>
      </c>
      <c r="Z40" s="582">
        <v>0.84</v>
      </c>
      <c r="AA40" s="583">
        <v>0.84</v>
      </c>
      <c r="AB40" s="583">
        <v>0.84</v>
      </c>
      <c r="AC40" s="583">
        <v>0.84</v>
      </c>
      <c r="AD40" s="582">
        <v>0.84</v>
      </c>
      <c r="AE40" s="582">
        <v>0.84</v>
      </c>
      <c r="AF40" s="582">
        <v>0.84</v>
      </c>
      <c r="AG40" s="583">
        <v>0.84</v>
      </c>
      <c r="AH40" s="582">
        <v>0.84</v>
      </c>
      <c r="AI40" s="582">
        <v>0.84</v>
      </c>
      <c r="AJ40" s="582">
        <v>0.84</v>
      </c>
      <c r="AK40" s="582">
        <v>0.84</v>
      </c>
      <c r="AL40" s="582">
        <v>0.84</v>
      </c>
    </row>
    <row r="41">
      <c r="A41" s="91" t="s">
        <v>660</v>
      </c>
      <c r="B41" s="582">
        <v>0.82</v>
      </c>
      <c r="C41" s="582">
        <v>0.82</v>
      </c>
      <c r="D41" s="582">
        <v>0.82</v>
      </c>
      <c r="E41" s="582">
        <v>0.82</v>
      </c>
      <c r="F41" s="582">
        <v>0.82</v>
      </c>
      <c r="G41" s="583">
        <v>0.82</v>
      </c>
      <c r="H41" s="583">
        <v>0.82</v>
      </c>
      <c r="I41" s="582">
        <v>0.82</v>
      </c>
      <c r="J41" s="582">
        <v>0.82</v>
      </c>
      <c r="K41" s="582">
        <v>0.82</v>
      </c>
      <c r="L41" s="583">
        <v>0.82</v>
      </c>
      <c r="M41" s="582">
        <v>0.82</v>
      </c>
      <c r="N41" s="582">
        <v>0.82</v>
      </c>
      <c r="O41" s="582">
        <v>0.82</v>
      </c>
      <c r="P41" s="582">
        <v>0.82</v>
      </c>
      <c r="Q41" s="582">
        <v>0.82</v>
      </c>
      <c r="R41" s="582">
        <v>0.82</v>
      </c>
      <c r="S41" s="582">
        <v>0.82</v>
      </c>
      <c r="T41" s="583">
        <v>0.82</v>
      </c>
      <c r="U41" s="582">
        <v>0.82</v>
      </c>
      <c r="V41" s="582">
        <v>0.82</v>
      </c>
      <c r="W41" s="583">
        <v>0.82</v>
      </c>
      <c r="X41" s="583">
        <v>0.82</v>
      </c>
      <c r="Y41" s="582">
        <v>0.82</v>
      </c>
      <c r="Z41" s="582">
        <v>0.82</v>
      </c>
      <c r="AA41" s="583">
        <v>0.82</v>
      </c>
      <c r="AB41" s="583">
        <v>0.82</v>
      </c>
      <c r="AC41" s="583">
        <v>0.82</v>
      </c>
      <c r="AD41" s="582">
        <v>0.82</v>
      </c>
      <c r="AE41" s="582">
        <v>0.82</v>
      </c>
      <c r="AF41" s="582">
        <v>0.82</v>
      </c>
      <c r="AG41" s="583">
        <v>0.82</v>
      </c>
      <c r="AH41" s="582">
        <v>0.82</v>
      </c>
      <c r="AI41" s="582">
        <v>0.82</v>
      </c>
      <c r="AJ41" s="582">
        <v>0.82</v>
      </c>
      <c r="AK41" s="582">
        <v>0.82</v>
      </c>
      <c r="AL41" s="582">
        <v>0.82</v>
      </c>
    </row>
    <row r="42">
      <c r="A42" s="91" t="s">
        <v>661</v>
      </c>
      <c r="B42" s="582">
        <v>0.85</v>
      </c>
      <c r="C42" s="582">
        <v>0.85</v>
      </c>
      <c r="D42" s="582">
        <v>0.85</v>
      </c>
      <c r="E42" s="582">
        <v>0.85</v>
      </c>
      <c r="F42" s="582">
        <v>0.85</v>
      </c>
      <c r="G42" s="583">
        <v>0.85</v>
      </c>
      <c r="H42" s="583">
        <v>0.85</v>
      </c>
      <c r="I42" s="582">
        <v>0.85</v>
      </c>
      <c r="J42" s="582">
        <v>0.85</v>
      </c>
      <c r="K42" s="582">
        <v>0.85</v>
      </c>
      <c r="L42" s="583">
        <v>0.85</v>
      </c>
      <c r="M42" s="582">
        <v>0.85</v>
      </c>
      <c r="N42" s="582">
        <v>0.85</v>
      </c>
      <c r="O42" s="582">
        <v>0.85</v>
      </c>
      <c r="P42" s="582">
        <v>0.85</v>
      </c>
      <c r="Q42" s="582">
        <v>0.85</v>
      </c>
      <c r="R42" s="582">
        <v>0.85</v>
      </c>
      <c r="S42" s="582">
        <v>0.85</v>
      </c>
      <c r="T42" s="583">
        <v>0.85</v>
      </c>
      <c r="U42" s="582">
        <v>0.85</v>
      </c>
      <c r="V42" s="582">
        <v>0.85</v>
      </c>
      <c r="W42" s="583">
        <v>0.85</v>
      </c>
      <c r="X42" s="583">
        <v>0.85</v>
      </c>
      <c r="Y42" s="582">
        <v>0.85</v>
      </c>
      <c r="Z42" s="582">
        <v>0.85</v>
      </c>
      <c r="AA42" s="583">
        <v>0.85</v>
      </c>
      <c r="AB42" s="583">
        <v>0.85</v>
      </c>
      <c r="AC42" s="583">
        <v>0.85</v>
      </c>
      <c r="AD42" s="582">
        <v>0.85</v>
      </c>
      <c r="AE42" s="582">
        <v>0.85</v>
      </c>
      <c r="AF42" s="582">
        <v>0.85</v>
      </c>
      <c r="AG42" s="583">
        <v>0.85</v>
      </c>
      <c r="AH42" s="582">
        <v>0.85</v>
      </c>
      <c r="AI42" s="582">
        <v>0.85</v>
      </c>
      <c r="AJ42" s="582">
        <v>0.85</v>
      </c>
      <c r="AK42" s="582">
        <v>0.85</v>
      </c>
      <c r="AL42" s="582">
        <v>0.85</v>
      </c>
    </row>
    <row r="43">
      <c r="A43" s="91" t="s">
        <v>662</v>
      </c>
      <c r="B43" s="582">
        <v>0.85</v>
      </c>
      <c r="C43" s="582">
        <v>0.85</v>
      </c>
      <c r="D43" s="582">
        <v>0.85</v>
      </c>
      <c r="E43" s="582">
        <v>0.85</v>
      </c>
      <c r="F43" s="582">
        <v>0.85</v>
      </c>
      <c r="G43" s="583">
        <v>0.85</v>
      </c>
      <c r="H43" s="583">
        <v>0.85</v>
      </c>
      <c r="I43" s="582">
        <v>0.85</v>
      </c>
      <c r="J43" s="582">
        <v>0.85</v>
      </c>
      <c r="K43" s="582">
        <v>0.85</v>
      </c>
      <c r="L43" s="583">
        <v>0.85</v>
      </c>
      <c r="M43" s="582">
        <v>0.85</v>
      </c>
      <c r="N43" s="582">
        <v>0.85</v>
      </c>
      <c r="O43" s="582">
        <v>0.85</v>
      </c>
      <c r="P43" s="582">
        <v>0.85</v>
      </c>
      <c r="Q43" s="582">
        <v>0.85</v>
      </c>
      <c r="R43" s="582">
        <v>0.85</v>
      </c>
      <c r="S43" s="582">
        <v>0.85</v>
      </c>
      <c r="T43" s="583">
        <v>0.85</v>
      </c>
      <c r="U43" s="582">
        <v>0.85</v>
      </c>
      <c r="V43" s="582">
        <v>0.85</v>
      </c>
      <c r="W43" s="583">
        <v>0.85</v>
      </c>
      <c r="X43" s="583">
        <v>0.85</v>
      </c>
      <c r="Y43" s="582">
        <v>0.85</v>
      </c>
      <c r="Z43" s="582">
        <v>0.85</v>
      </c>
      <c r="AA43" s="583">
        <v>0.85</v>
      </c>
      <c r="AB43" s="583">
        <v>0.85</v>
      </c>
      <c r="AC43" s="583">
        <v>0.85</v>
      </c>
      <c r="AD43" s="582">
        <v>0.85</v>
      </c>
      <c r="AE43" s="582">
        <v>0.85</v>
      </c>
      <c r="AF43" s="582">
        <v>0.85</v>
      </c>
      <c r="AG43" s="583">
        <v>0.85</v>
      </c>
      <c r="AH43" s="582">
        <v>0.85</v>
      </c>
      <c r="AI43" s="582">
        <v>0.85</v>
      </c>
      <c r="AJ43" s="582">
        <v>0.85</v>
      </c>
      <c r="AK43" s="582">
        <v>0.85</v>
      </c>
      <c r="AL43" s="582">
        <v>0.85</v>
      </c>
    </row>
    <row r="44">
      <c r="A44" s="91" t="s">
        <v>663</v>
      </c>
      <c r="B44" s="582">
        <v>0.46</v>
      </c>
      <c r="C44" s="582">
        <v>0.46</v>
      </c>
      <c r="D44" s="582">
        <v>0.46</v>
      </c>
      <c r="E44" s="582">
        <v>0.46</v>
      </c>
      <c r="F44" s="582">
        <v>0.46</v>
      </c>
      <c r="G44" s="583">
        <v>0.46</v>
      </c>
      <c r="H44" s="583">
        <v>0.46</v>
      </c>
      <c r="I44" s="582">
        <v>0.46</v>
      </c>
      <c r="J44" s="582">
        <v>0.46</v>
      </c>
      <c r="K44" s="582">
        <v>0.46</v>
      </c>
      <c r="L44" s="583">
        <v>0.46</v>
      </c>
      <c r="M44" s="582">
        <v>0.46</v>
      </c>
      <c r="N44" s="582">
        <v>0.46</v>
      </c>
      <c r="O44" s="582">
        <v>0.46</v>
      </c>
      <c r="P44" s="582">
        <v>0.46</v>
      </c>
      <c r="Q44" s="582">
        <v>0.46</v>
      </c>
      <c r="R44" s="582">
        <v>0.46</v>
      </c>
      <c r="S44" s="582">
        <v>0.46</v>
      </c>
      <c r="T44" s="583">
        <v>0.46</v>
      </c>
      <c r="U44" s="582">
        <v>0.46</v>
      </c>
      <c r="V44" s="582">
        <v>0.46</v>
      </c>
      <c r="W44" s="583">
        <v>0.46</v>
      </c>
      <c r="X44" s="583">
        <v>0.46</v>
      </c>
      <c r="Y44" s="582">
        <v>0.46</v>
      </c>
      <c r="Z44" s="582">
        <v>0.46</v>
      </c>
      <c r="AA44" s="583">
        <v>0.46</v>
      </c>
      <c r="AB44" s="583">
        <v>0.46</v>
      </c>
      <c r="AC44" s="583">
        <v>0.46</v>
      </c>
      <c r="AD44" s="582">
        <v>0.46</v>
      </c>
      <c r="AE44" s="582">
        <v>0.46</v>
      </c>
      <c r="AF44" s="582">
        <v>0.46</v>
      </c>
      <c r="AG44" s="583">
        <v>0.46</v>
      </c>
      <c r="AH44" s="582">
        <v>0.46</v>
      </c>
      <c r="AI44" s="582">
        <v>0.46</v>
      </c>
      <c r="AJ44" s="582">
        <v>0.46</v>
      </c>
      <c r="AK44" s="582">
        <v>0.46</v>
      </c>
      <c r="AL44" s="582">
        <v>0.46</v>
      </c>
    </row>
    <row r="45">
      <c r="A45" s="494" t="s">
        <v>665</v>
      </c>
      <c r="B45" s="542">
        <v>1.0</v>
      </c>
      <c r="C45" s="542">
        <v>1.0</v>
      </c>
      <c r="D45" s="542">
        <v>1.0</v>
      </c>
      <c r="E45" s="542">
        <v>1.0</v>
      </c>
      <c r="F45" s="542">
        <v>1.0</v>
      </c>
      <c r="G45" s="127">
        <v>1.0</v>
      </c>
      <c r="H45" s="127">
        <v>1.0</v>
      </c>
      <c r="I45" s="542">
        <v>1.0</v>
      </c>
      <c r="J45" s="542">
        <v>1.0</v>
      </c>
      <c r="K45" s="542">
        <v>1.0</v>
      </c>
      <c r="L45" s="127">
        <v>1.0</v>
      </c>
      <c r="M45" s="542">
        <v>1.0</v>
      </c>
      <c r="N45" s="542">
        <v>1.0</v>
      </c>
      <c r="O45" s="542">
        <v>1.0</v>
      </c>
      <c r="P45" s="542">
        <v>1.0</v>
      </c>
      <c r="Q45" s="542">
        <v>1.0</v>
      </c>
      <c r="R45" s="542">
        <v>1.0</v>
      </c>
      <c r="S45" s="542">
        <v>1.0</v>
      </c>
      <c r="T45" s="127">
        <v>1.0</v>
      </c>
      <c r="U45" s="542">
        <v>1.0</v>
      </c>
      <c r="V45" s="542">
        <v>1.0</v>
      </c>
      <c r="W45" s="127">
        <v>1.0</v>
      </c>
      <c r="X45" s="127">
        <v>1.0</v>
      </c>
      <c r="Y45" s="542">
        <v>1.0</v>
      </c>
      <c r="Z45" s="542">
        <v>1.0</v>
      </c>
      <c r="AA45" s="127">
        <v>1.0</v>
      </c>
      <c r="AB45" s="127">
        <v>1.0</v>
      </c>
      <c r="AC45" s="127">
        <v>1.0</v>
      </c>
      <c r="AD45" s="542">
        <v>1.0</v>
      </c>
      <c r="AE45" s="542">
        <v>1.0</v>
      </c>
      <c r="AF45" s="542">
        <v>1.0</v>
      </c>
      <c r="AG45" s="127">
        <v>1.0</v>
      </c>
      <c r="AH45" s="542">
        <v>1.0</v>
      </c>
      <c r="AI45" s="542">
        <v>1.0</v>
      </c>
      <c r="AJ45" s="542">
        <v>1.0</v>
      </c>
      <c r="AK45" s="542">
        <v>1.0</v>
      </c>
      <c r="AL45" s="542">
        <v>1.0</v>
      </c>
    </row>
    <row r="46">
      <c r="A46" s="91" t="s">
        <v>666</v>
      </c>
      <c r="B46" s="174">
        <f t="array" ref="B46">SUMPRODUCT(B39:B44*B45,B31:B36)</f>
        <v>0.608181237</v>
      </c>
      <c r="C46" s="174">
        <f t="array" ref="C46">SUMPRODUCT(C39:C44*C45,C31:C36)</f>
        <v>0.625834445</v>
      </c>
      <c r="D46" s="174">
        <f t="array" ref="D46">SUMPRODUCT(D39:D44*D45,D31:D36)</f>
        <v>0.638041885</v>
      </c>
      <c r="E46" s="174">
        <f t="array" ref="E46">SUMPRODUCT(E39:E44*E45,E31:E36)</f>
        <v>0.647368093</v>
      </c>
      <c r="F46" s="174">
        <f t="array" ref="F46">SUMPRODUCT(F39:F44*F45,F31:F36)</f>
        <v>0.642794281</v>
      </c>
      <c r="G46" s="198">
        <f t="array" ref="G46">SUMPRODUCT(G39:G44*G45,G31:G36)</f>
        <v>0.621067034</v>
      </c>
      <c r="H46" s="198">
        <f t="array" ref="H46">SUMPRODUCT(H39:H44*H45,H31:H36)</f>
        <v>0.617644417</v>
      </c>
      <c r="I46" s="174">
        <f t="array" ref="I46">SUMPRODUCT(I39:I44*I45,I31:I36)</f>
        <v>0.639899511</v>
      </c>
      <c r="J46" s="174">
        <f t="array" ref="J46">SUMPRODUCT(J39:J44*J45,J31:J36)</f>
        <v>0.652039953</v>
      </c>
      <c r="K46" s="174">
        <f t="array" ref="K46">SUMPRODUCT(K39:K44*K45,K31:K36)</f>
        <v>0.629326731</v>
      </c>
      <c r="L46" s="198">
        <f t="array" ref="L46">SUMPRODUCT(L39:L44*L45,L31:L36)</f>
        <v>0.644417718</v>
      </c>
      <c r="M46" s="174">
        <f t="array" ref="M46">SUMPRODUCT(M39:M44*M45,M31:M36)</f>
        <v>0.655460521</v>
      </c>
      <c r="N46" s="174">
        <f t="array" ref="N46">SUMPRODUCT(N39:N44*N45,N31:N36)</f>
        <v>0.647662433</v>
      </c>
      <c r="O46" s="174">
        <f t="array" ref="O46">SUMPRODUCT(O39:O44*O45,O31:O36)</f>
        <v>0.656465801</v>
      </c>
      <c r="P46" s="174">
        <f t="array" ref="P46">SUMPRODUCT(P39:P44*P45,P31:P36)</f>
        <v>0.641501573</v>
      </c>
      <c r="Q46" s="174">
        <f t="array" ref="Q46">SUMPRODUCT(Q39:Q44*Q45,Q31:Q36)</f>
        <v>0.636011887</v>
      </c>
      <c r="R46" s="174">
        <f t="array" ref="R46">SUMPRODUCT(R39:R44*R45,R31:R36)</f>
        <v>0.644873837</v>
      </c>
      <c r="S46" s="174">
        <f t="array" ref="S46">SUMPRODUCT(S39:S44*S45,S31:S36)</f>
        <v>0.649376357</v>
      </c>
      <c r="T46" s="198">
        <f t="array" ref="T46">SUMPRODUCT(T39:T44*T45,T31:T36)</f>
        <v>0.636991238</v>
      </c>
      <c r="U46" s="174">
        <f t="array" ref="U46">SUMPRODUCT(U39:U44*U45,U31:U36)</f>
        <v>0.615811547</v>
      </c>
      <c r="V46" s="174">
        <f t="array" ref="V46">SUMPRODUCT(V39:V44*V45,V31:V36)</f>
        <v>0.645283989</v>
      </c>
      <c r="W46" s="198">
        <f t="array" ref="W46">SUMPRODUCT(W39:W44*W45,W31:W36)</f>
        <v>0.65549238</v>
      </c>
      <c r="X46" s="198">
        <f t="array" ref="X46">SUMPRODUCT(X39:X44*X45,X31:X36)</f>
        <v>0.682793389</v>
      </c>
      <c r="Y46" s="174">
        <f t="array" ref="Y46">SUMPRODUCT(Y39:Y44*Y45,Y31:Y36)</f>
        <v>0.645082252</v>
      </c>
      <c r="Z46" s="174">
        <f t="array" ref="Z46">SUMPRODUCT(Z39:Z44*Z45,Z31:Z36)</f>
        <v>0.630264061</v>
      </c>
      <c r="AA46" s="198">
        <f t="array" ref="AA46">SUMPRODUCT(AA39:AA44*AA45,AA31:AA36)</f>
        <v>0.638237201</v>
      </c>
      <c r="AB46" s="198">
        <f t="array" ref="AB46">SUMPRODUCT(AB39:AB44*AB45,AB31:AB36)</f>
        <v>0.630430861</v>
      </c>
      <c r="AC46" s="198">
        <f t="array" ref="AC46">SUMPRODUCT(AC39:AC44*AC45,AC31:AC36)</f>
        <v>0.631190619</v>
      </c>
      <c r="AD46" s="174">
        <f t="array" ref="AD46">SUMPRODUCT(AD39:AD44*AD45,AD31:AD36)</f>
        <v>0.633490605</v>
      </c>
      <c r="AE46" s="174">
        <f t="array" ref="AE46">SUMPRODUCT(AE39:AE44*AE45,AE31:AE36)</f>
        <v>0.647346138</v>
      </c>
      <c r="AF46" s="174">
        <f t="array" ref="AF46">SUMPRODUCT(AF39:AF44*AF45,AF31:AF36)</f>
        <v>0.651562053</v>
      </c>
      <c r="AG46" s="198">
        <f t="array" ref="AG46">SUMPRODUCT(AG39:AG44*AG45,AG31:AG36)</f>
        <v>0.639906396</v>
      </c>
      <c r="AH46" s="174">
        <f t="array" ref="AH46">SUMPRODUCT(AH39:AH44*AH45,AH31:AH36)</f>
        <v>0.629180644</v>
      </c>
      <c r="AI46" s="174">
        <f t="array" ref="AI46">SUMPRODUCT(AI39:AI44*AI45,AI31:AI36)</f>
        <v>0.639932848</v>
      </c>
      <c r="AJ46" s="174">
        <f t="array" ref="AJ46">SUMPRODUCT(AJ39:AJ44*AJ45,AJ31:AJ36)</f>
        <v>0.618516011</v>
      </c>
      <c r="AK46" s="174">
        <f t="array" ref="AK46">SUMPRODUCT(AK39:AK44*AK45,AK31:AK36)</f>
        <v>0.654645334</v>
      </c>
      <c r="AL46" s="174">
        <f t="array" ref="AL46">SUMPRODUCT(AL39:AL44*AL45,AL31:AL36)</f>
        <v>0.656058014</v>
      </c>
    </row>
    <row r="47">
      <c r="A47" s="91" t="s">
        <v>667</v>
      </c>
      <c r="B47" s="584">
        <f t="shared" ref="B47:AL47" si="10">1-B46</f>
        <v>0.391818763</v>
      </c>
      <c r="C47" s="584">
        <f t="shared" si="10"/>
        <v>0.374165555</v>
      </c>
      <c r="D47" s="584">
        <f t="shared" si="10"/>
        <v>0.361958115</v>
      </c>
      <c r="E47" s="584">
        <f t="shared" si="10"/>
        <v>0.352631907</v>
      </c>
      <c r="F47" s="584">
        <f t="shared" si="10"/>
        <v>0.357205719</v>
      </c>
      <c r="G47" s="585">
        <f t="shared" si="10"/>
        <v>0.378932966</v>
      </c>
      <c r="H47" s="585">
        <f t="shared" si="10"/>
        <v>0.382355583</v>
      </c>
      <c r="I47" s="584">
        <f t="shared" si="10"/>
        <v>0.360100489</v>
      </c>
      <c r="J47" s="584">
        <f t="shared" si="10"/>
        <v>0.347960047</v>
      </c>
      <c r="K47" s="584">
        <f t="shared" si="10"/>
        <v>0.370673269</v>
      </c>
      <c r="L47" s="585">
        <f t="shared" si="10"/>
        <v>0.355582282</v>
      </c>
      <c r="M47" s="584">
        <f t="shared" si="10"/>
        <v>0.344539479</v>
      </c>
      <c r="N47" s="584">
        <f t="shared" si="10"/>
        <v>0.352337567</v>
      </c>
      <c r="O47" s="584">
        <f t="shared" si="10"/>
        <v>0.343534199</v>
      </c>
      <c r="P47" s="584">
        <f t="shared" si="10"/>
        <v>0.358498427</v>
      </c>
      <c r="Q47" s="584">
        <f t="shared" si="10"/>
        <v>0.363988113</v>
      </c>
      <c r="R47" s="584">
        <f t="shared" si="10"/>
        <v>0.355126163</v>
      </c>
      <c r="S47" s="584">
        <f t="shared" si="10"/>
        <v>0.350623643</v>
      </c>
      <c r="T47" s="585">
        <f t="shared" si="10"/>
        <v>0.363008762</v>
      </c>
      <c r="U47" s="584">
        <f t="shared" si="10"/>
        <v>0.384188453</v>
      </c>
      <c r="V47" s="584">
        <f t="shared" si="10"/>
        <v>0.354716011</v>
      </c>
      <c r="W47" s="585">
        <f t="shared" si="10"/>
        <v>0.34450762</v>
      </c>
      <c r="X47" s="585">
        <f t="shared" si="10"/>
        <v>0.317206611</v>
      </c>
      <c r="Y47" s="584">
        <f t="shared" si="10"/>
        <v>0.354917748</v>
      </c>
      <c r="Z47" s="584">
        <f t="shared" si="10"/>
        <v>0.369735939</v>
      </c>
      <c r="AA47" s="585">
        <f t="shared" si="10"/>
        <v>0.361762799</v>
      </c>
      <c r="AB47" s="585">
        <f t="shared" si="10"/>
        <v>0.369569139</v>
      </c>
      <c r="AC47" s="585">
        <f t="shared" si="10"/>
        <v>0.368809381</v>
      </c>
      <c r="AD47" s="584">
        <f t="shared" si="10"/>
        <v>0.366509395</v>
      </c>
      <c r="AE47" s="584">
        <f t="shared" si="10"/>
        <v>0.352653862</v>
      </c>
      <c r="AF47" s="584">
        <f t="shared" si="10"/>
        <v>0.348437947</v>
      </c>
      <c r="AG47" s="585">
        <f t="shared" si="10"/>
        <v>0.360093604</v>
      </c>
      <c r="AH47" s="584">
        <f t="shared" si="10"/>
        <v>0.370819356</v>
      </c>
      <c r="AI47" s="584">
        <f t="shared" si="10"/>
        <v>0.360067152</v>
      </c>
      <c r="AJ47" s="584">
        <f t="shared" si="10"/>
        <v>0.381483989</v>
      </c>
      <c r="AK47" s="584">
        <f t="shared" si="10"/>
        <v>0.345354666</v>
      </c>
      <c r="AL47" s="584">
        <f t="shared" si="10"/>
        <v>0.343941986</v>
      </c>
    </row>
    <row r="48">
      <c r="A48" s="91"/>
      <c r="B48" s="586"/>
      <c r="C48" s="586"/>
      <c r="D48" s="586"/>
      <c r="E48" s="586"/>
      <c r="F48" s="586"/>
      <c r="G48" s="142"/>
      <c r="H48" s="142"/>
      <c r="I48" s="586"/>
      <c r="J48" s="586"/>
      <c r="K48" s="586"/>
      <c r="L48" s="142"/>
      <c r="M48" s="586"/>
      <c r="N48" s="586"/>
      <c r="O48" s="586"/>
      <c r="P48" s="586"/>
      <c r="Q48" s="586"/>
      <c r="R48" s="586"/>
      <c r="S48" s="586"/>
      <c r="T48" s="142"/>
      <c r="U48" s="586"/>
      <c r="V48" s="586"/>
      <c r="W48" s="142"/>
      <c r="X48" s="142"/>
      <c r="Y48" s="586"/>
      <c r="Z48" s="586"/>
      <c r="AA48" s="142"/>
      <c r="AB48" s="142"/>
      <c r="AC48" s="142"/>
      <c r="AD48" s="586"/>
      <c r="AE48" s="586"/>
      <c r="AF48" s="586"/>
      <c r="AG48" s="142"/>
      <c r="AH48" s="586"/>
      <c r="AI48" s="586"/>
      <c r="AJ48" s="586"/>
      <c r="AK48" s="586"/>
      <c r="AL48" s="586"/>
    </row>
    <row r="49">
      <c r="A49" s="91" t="s">
        <v>668</v>
      </c>
      <c r="B49" s="587">
        <f t="shared" ref="B49:AL49" si="11">0.95</f>
        <v>0.95</v>
      </c>
      <c r="C49" s="587">
        <f t="shared" si="11"/>
        <v>0.95</v>
      </c>
      <c r="D49" s="587">
        <f t="shared" si="11"/>
        <v>0.95</v>
      </c>
      <c r="E49" s="587">
        <f t="shared" si="11"/>
        <v>0.95</v>
      </c>
      <c r="F49" s="587">
        <f t="shared" si="11"/>
        <v>0.95</v>
      </c>
      <c r="G49" s="141">
        <f t="shared" si="11"/>
        <v>0.95</v>
      </c>
      <c r="H49" s="141">
        <f t="shared" si="11"/>
        <v>0.95</v>
      </c>
      <c r="I49" s="587">
        <f t="shared" si="11"/>
        <v>0.95</v>
      </c>
      <c r="J49" s="587">
        <f t="shared" si="11"/>
        <v>0.95</v>
      </c>
      <c r="K49" s="587">
        <f t="shared" si="11"/>
        <v>0.95</v>
      </c>
      <c r="L49" s="141">
        <f t="shared" si="11"/>
        <v>0.95</v>
      </c>
      <c r="M49" s="587">
        <f t="shared" si="11"/>
        <v>0.95</v>
      </c>
      <c r="N49" s="587">
        <f t="shared" si="11"/>
        <v>0.95</v>
      </c>
      <c r="O49" s="587">
        <f t="shared" si="11"/>
        <v>0.95</v>
      </c>
      <c r="P49" s="587">
        <f t="shared" si="11"/>
        <v>0.95</v>
      </c>
      <c r="Q49" s="587">
        <f t="shared" si="11"/>
        <v>0.95</v>
      </c>
      <c r="R49" s="587">
        <f t="shared" si="11"/>
        <v>0.95</v>
      </c>
      <c r="S49" s="587">
        <f t="shared" si="11"/>
        <v>0.95</v>
      </c>
      <c r="T49" s="141">
        <f t="shared" si="11"/>
        <v>0.95</v>
      </c>
      <c r="U49" s="587">
        <f t="shared" si="11"/>
        <v>0.95</v>
      </c>
      <c r="V49" s="587">
        <f t="shared" si="11"/>
        <v>0.95</v>
      </c>
      <c r="W49" s="141">
        <f t="shared" si="11"/>
        <v>0.95</v>
      </c>
      <c r="X49" s="141">
        <f t="shared" si="11"/>
        <v>0.95</v>
      </c>
      <c r="Y49" s="587">
        <f t="shared" si="11"/>
        <v>0.95</v>
      </c>
      <c r="Z49" s="587">
        <f t="shared" si="11"/>
        <v>0.95</v>
      </c>
      <c r="AA49" s="141">
        <f t="shared" si="11"/>
        <v>0.95</v>
      </c>
      <c r="AB49" s="141">
        <f t="shared" si="11"/>
        <v>0.95</v>
      </c>
      <c r="AC49" s="141">
        <f t="shared" si="11"/>
        <v>0.95</v>
      </c>
      <c r="AD49" s="587">
        <f t="shared" si="11"/>
        <v>0.95</v>
      </c>
      <c r="AE49" s="587">
        <f t="shared" si="11"/>
        <v>0.95</v>
      </c>
      <c r="AF49" s="587">
        <f t="shared" si="11"/>
        <v>0.95</v>
      </c>
      <c r="AG49" s="141">
        <f t="shared" si="11"/>
        <v>0.95</v>
      </c>
      <c r="AH49" s="587">
        <f t="shared" si="11"/>
        <v>0.95</v>
      </c>
      <c r="AI49" s="587">
        <f t="shared" si="11"/>
        <v>0.95</v>
      </c>
      <c r="AJ49" s="587">
        <f t="shared" si="11"/>
        <v>0.95</v>
      </c>
      <c r="AK49" s="587">
        <f t="shared" si="11"/>
        <v>0.95</v>
      </c>
      <c r="AL49" s="587">
        <f t="shared" si="11"/>
        <v>0.95</v>
      </c>
    </row>
    <row r="50">
      <c r="A50" s="91"/>
      <c r="B50" s="586"/>
      <c r="C50" s="586"/>
      <c r="D50" s="586"/>
      <c r="E50" s="586"/>
      <c r="F50" s="586"/>
      <c r="G50" s="142"/>
      <c r="H50" s="142"/>
      <c r="I50" s="142"/>
      <c r="J50" s="142"/>
      <c r="K50" s="142"/>
      <c r="L50" s="142"/>
      <c r="M50" s="142"/>
      <c r="N50" s="142"/>
      <c r="O50" s="142"/>
      <c r="P50" s="142"/>
      <c r="Q50" s="586"/>
      <c r="R50" s="586"/>
      <c r="S50" s="586"/>
      <c r="T50" s="142"/>
      <c r="U50" s="586"/>
      <c r="V50" s="586"/>
      <c r="W50" s="142"/>
      <c r="X50" s="142"/>
      <c r="Y50" s="586"/>
      <c r="Z50" s="586"/>
      <c r="AA50" s="142"/>
      <c r="AB50" s="142"/>
      <c r="AC50" s="142"/>
      <c r="AD50" s="142"/>
      <c r="AE50" s="142"/>
      <c r="AF50" s="142"/>
      <c r="AG50" s="142"/>
      <c r="AH50" s="142"/>
      <c r="AI50" s="586"/>
      <c r="AJ50" s="586"/>
      <c r="AK50" s="586"/>
      <c r="AL50" s="586"/>
    </row>
    <row r="51">
      <c r="A51" s="97" t="s">
        <v>669</v>
      </c>
      <c r="B51" s="586"/>
      <c r="C51" s="586"/>
      <c r="D51" s="586"/>
      <c r="E51" s="586"/>
      <c r="F51" s="586"/>
      <c r="G51" s="142"/>
      <c r="H51" s="142"/>
      <c r="I51" s="142"/>
      <c r="J51" s="142"/>
      <c r="K51" s="142"/>
      <c r="L51" s="142"/>
      <c r="M51" s="142"/>
      <c r="N51" s="142"/>
      <c r="O51" s="142"/>
      <c r="P51" s="142"/>
      <c r="Q51" s="586"/>
      <c r="R51" s="586"/>
      <c r="S51" s="586"/>
      <c r="T51" s="142"/>
      <c r="U51" s="586"/>
      <c r="V51" s="586"/>
      <c r="W51" s="142"/>
      <c r="X51" s="142"/>
      <c r="Y51" s="586"/>
      <c r="Z51" s="586"/>
      <c r="AA51" s="142"/>
      <c r="AB51" s="142"/>
      <c r="AC51" s="142"/>
      <c r="AD51" s="142"/>
      <c r="AE51" s="142"/>
      <c r="AF51" s="142"/>
      <c r="AG51" s="142"/>
      <c r="AH51" s="142"/>
      <c r="AI51" s="586"/>
      <c r="AJ51" s="586"/>
      <c r="AK51" s="586"/>
      <c r="AL51" s="586"/>
    </row>
    <row r="52">
      <c r="A52" s="91" t="s">
        <v>670</v>
      </c>
      <c r="B52" s="588"/>
      <c r="C52" s="588"/>
      <c r="D52" s="588"/>
      <c r="E52" s="588"/>
      <c r="F52" s="588"/>
      <c r="G52" s="589"/>
      <c r="H52" s="589"/>
      <c r="I52" s="589"/>
      <c r="J52" s="589"/>
      <c r="K52" s="589"/>
      <c r="L52" s="589"/>
      <c r="M52" s="589"/>
      <c r="N52" s="589"/>
      <c r="O52" s="589"/>
      <c r="P52" s="589"/>
      <c r="Q52" s="588"/>
      <c r="R52" s="588"/>
      <c r="S52" s="588"/>
      <c r="T52" s="589"/>
      <c r="U52" s="588"/>
      <c r="V52" s="588"/>
      <c r="W52" s="589"/>
      <c r="X52" s="589"/>
      <c r="Y52" s="588"/>
      <c r="Z52" s="588"/>
      <c r="AA52" s="589"/>
      <c r="AB52" s="589"/>
      <c r="AC52" s="589"/>
      <c r="AD52" s="589"/>
      <c r="AE52" s="589"/>
      <c r="AF52" s="589"/>
      <c r="AG52" s="589"/>
      <c r="AH52" s="589"/>
      <c r="AI52" s="588"/>
      <c r="AJ52" s="588"/>
      <c r="AK52" s="588"/>
      <c r="AL52" s="588"/>
    </row>
    <row r="53">
      <c r="A53" s="590" t="s">
        <v>671</v>
      </c>
      <c r="B53" s="169">
        <v>0.3</v>
      </c>
      <c r="C53" s="169">
        <v>0.3</v>
      </c>
      <c r="D53" s="169">
        <v>0.3</v>
      </c>
      <c r="E53" s="169">
        <v>0.3</v>
      </c>
      <c r="F53" s="169">
        <v>0.3</v>
      </c>
      <c r="G53" s="127">
        <v>0.3</v>
      </c>
      <c r="H53" s="127">
        <v>0.3</v>
      </c>
      <c r="I53" s="169">
        <v>0.3</v>
      </c>
      <c r="J53" s="169">
        <v>0.3</v>
      </c>
      <c r="K53" s="169">
        <v>0.3</v>
      </c>
      <c r="L53" s="127">
        <v>0.3</v>
      </c>
      <c r="M53" s="169">
        <v>0.3</v>
      </c>
      <c r="N53" s="169">
        <v>0.3</v>
      </c>
      <c r="O53" s="169">
        <v>0.3</v>
      </c>
      <c r="P53" s="169">
        <v>0.3</v>
      </c>
      <c r="Q53" s="169">
        <v>0.3</v>
      </c>
      <c r="R53" s="169">
        <v>0.3</v>
      </c>
      <c r="S53" s="169">
        <v>0.3</v>
      </c>
      <c r="T53" s="127">
        <v>0.3</v>
      </c>
      <c r="U53" s="169">
        <v>0.3</v>
      </c>
      <c r="V53" s="169">
        <v>0.3</v>
      </c>
      <c r="W53" s="127">
        <v>0.3</v>
      </c>
      <c r="X53" s="127">
        <v>0.3</v>
      </c>
      <c r="Y53" s="169">
        <v>0.3</v>
      </c>
      <c r="Z53" s="169">
        <v>0.3</v>
      </c>
      <c r="AA53" s="127">
        <v>0.3</v>
      </c>
      <c r="AB53" s="127">
        <v>0.3</v>
      </c>
      <c r="AC53" s="127">
        <v>0.3</v>
      </c>
      <c r="AD53" s="169">
        <v>0.3</v>
      </c>
      <c r="AE53" s="169">
        <v>0.3</v>
      </c>
      <c r="AF53" s="169">
        <v>0.3</v>
      </c>
      <c r="AG53" s="127">
        <v>0.3</v>
      </c>
      <c r="AH53" s="169">
        <v>0.3</v>
      </c>
      <c r="AI53" s="169">
        <v>0.3</v>
      </c>
      <c r="AJ53" s="169">
        <v>0.3</v>
      </c>
      <c r="AK53" s="169">
        <v>0.3</v>
      </c>
      <c r="AL53" s="169">
        <v>0.3</v>
      </c>
    </row>
    <row r="54">
      <c r="A54" s="590" t="s">
        <v>672</v>
      </c>
      <c r="B54" s="169">
        <v>0.7</v>
      </c>
      <c r="C54" s="169">
        <v>0.7</v>
      </c>
      <c r="D54" s="169">
        <v>0.7</v>
      </c>
      <c r="E54" s="169">
        <v>0.7</v>
      </c>
      <c r="F54" s="169">
        <v>0.7</v>
      </c>
      <c r="G54" s="127">
        <v>0.7</v>
      </c>
      <c r="H54" s="127">
        <v>0.7</v>
      </c>
      <c r="I54" s="169">
        <v>0.7</v>
      </c>
      <c r="J54" s="169">
        <v>0.7</v>
      </c>
      <c r="K54" s="169">
        <v>0.7</v>
      </c>
      <c r="L54" s="127">
        <v>0.7</v>
      </c>
      <c r="M54" s="169">
        <v>0.7</v>
      </c>
      <c r="N54" s="169">
        <v>0.7</v>
      </c>
      <c r="O54" s="169">
        <v>0.7</v>
      </c>
      <c r="P54" s="169">
        <v>0.7</v>
      </c>
      <c r="Q54" s="169">
        <v>0.7</v>
      </c>
      <c r="R54" s="169">
        <v>0.7</v>
      </c>
      <c r="S54" s="169">
        <v>0.7</v>
      </c>
      <c r="T54" s="127">
        <v>0.7</v>
      </c>
      <c r="U54" s="169">
        <v>0.7</v>
      </c>
      <c r="V54" s="169">
        <v>0.7</v>
      </c>
      <c r="W54" s="127">
        <v>0.7</v>
      </c>
      <c r="X54" s="127">
        <v>0.7</v>
      </c>
      <c r="Y54" s="169">
        <v>0.7</v>
      </c>
      <c r="Z54" s="169">
        <v>0.7</v>
      </c>
      <c r="AA54" s="127">
        <v>0.7</v>
      </c>
      <c r="AB54" s="127">
        <v>0.7</v>
      </c>
      <c r="AC54" s="127">
        <v>0.7</v>
      </c>
      <c r="AD54" s="169">
        <v>0.7</v>
      </c>
      <c r="AE54" s="169">
        <v>0.7</v>
      </c>
      <c r="AF54" s="169">
        <v>0.7</v>
      </c>
      <c r="AG54" s="127">
        <v>0.7</v>
      </c>
      <c r="AH54" s="169">
        <v>0.7</v>
      </c>
      <c r="AI54" s="169">
        <v>0.7</v>
      </c>
      <c r="AJ54" s="169">
        <v>0.7</v>
      </c>
      <c r="AK54" s="169">
        <v>0.7</v>
      </c>
      <c r="AL54" s="169">
        <v>0.7</v>
      </c>
    </row>
    <row r="55">
      <c r="A55" s="91" t="s">
        <v>673</v>
      </c>
      <c r="B55" s="586"/>
      <c r="C55" s="586"/>
      <c r="D55" s="586"/>
      <c r="E55" s="586"/>
      <c r="F55" s="586"/>
      <c r="G55" s="142"/>
      <c r="H55" s="142"/>
      <c r="I55" s="586"/>
      <c r="J55" s="586"/>
      <c r="K55" s="586"/>
      <c r="L55" s="142"/>
      <c r="M55" s="586"/>
      <c r="N55" s="586"/>
      <c r="O55" s="586"/>
      <c r="P55" s="586"/>
      <c r="Q55" s="586"/>
      <c r="R55" s="586"/>
      <c r="S55" s="586"/>
      <c r="T55" s="142"/>
      <c r="U55" s="586"/>
      <c r="V55" s="586"/>
      <c r="W55" s="142"/>
      <c r="X55" s="142"/>
      <c r="Y55" s="586"/>
      <c r="Z55" s="586"/>
      <c r="AA55" s="142"/>
      <c r="AB55" s="142"/>
      <c r="AC55" s="142"/>
      <c r="AD55" s="586"/>
      <c r="AE55" s="586"/>
      <c r="AF55" s="586"/>
      <c r="AG55" s="142"/>
      <c r="AH55" s="586"/>
      <c r="AI55" s="586"/>
      <c r="AJ55" s="586"/>
      <c r="AK55" s="586"/>
      <c r="AL55" s="586"/>
    </row>
    <row r="56">
      <c r="A56" s="590" t="s">
        <v>671</v>
      </c>
      <c r="B56" s="591">
        <v>1.0</v>
      </c>
      <c r="C56" s="591">
        <v>1.0</v>
      </c>
      <c r="D56" s="591">
        <v>1.0</v>
      </c>
      <c r="E56" s="591">
        <v>1.0</v>
      </c>
      <c r="F56" s="591">
        <v>1.0</v>
      </c>
      <c r="G56" s="114">
        <v>1.0</v>
      </c>
      <c r="H56" s="114">
        <v>1.0</v>
      </c>
      <c r="I56" s="591">
        <v>1.0</v>
      </c>
      <c r="J56" s="591">
        <v>1.0</v>
      </c>
      <c r="K56" s="591">
        <v>1.0</v>
      </c>
      <c r="L56" s="114">
        <v>1.0</v>
      </c>
      <c r="M56" s="591">
        <v>1.0</v>
      </c>
      <c r="N56" s="591">
        <v>1.0</v>
      </c>
      <c r="O56" s="591">
        <v>1.0</v>
      </c>
      <c r="P56" s="591">
        <v>1.0</v>
      </c>
      <c r="Q56" s="591">
        <v>1.0</v>
      </c>
      <c r="R56" s="591">
        <v>1.0</v>
      </c>
      <c r="S56" s="591">
        <v>1.0</v>
      </c>
      <c r="T56" s="114">
        <v>1.0</v>
      </c>
      <c r="U56" s="591">
        <v>1.0</v>
      </c>
      <c r="V56" s="591">
        <v>1.0</v>
      </c>
      <c r="W56" s="114">
        <v>1.0</v>
      </c>
      <c r="X56" s="114">
        <v>1.0</v>
      </c>
      <c r="Y56" s="591">
        <v>1.0</v>
      </c>
      <c r="Z56" s="591">
        <v>1.0</v>
      </c>
      <c r="AA56" s="114">
        <v>1.0</v>
      </c>
      <c r="AB56" s="114">
        <v>1.0</v>
      </c>
      <c r="AC56" s="114">
        <v>1.0</v>
      </c>
      <c r="AD56" s="591">
        <v>1.0</v>
      </c>
      <c r="AE56" s="591">
        <v>1.0</v>
      </c>
      <c r="AF56" s="591">
        <v>1.0</v>
      </c>
      <c r="AG56" s="114">
        <v>1.0</v>
      </c>
      <c r="AH56" s="591">
        <v>1.0</v>
      </c>
      <c r="AI56" s="591">
        <v>1.0</v>
      </c>
      <c r="AJ56" s="591">
        <v>1.0</v>
      </c>
      <c r="AK56" s="591">
        <v>1.0</v>
      </c>
      <c r="AL56" s="591">
        <v>1.0</v>
      </c>
    </row>
    <row r="57">
      <c r="A57" s="590" t="s">
        <v>672</v>
      </c>
      <c r="B57" s="591">
        <v>0.3</v>
      </c>
      <c r="C57" s="591">
        <v>0.3</v>
      </c>
      <c r="D57" s="591">
        <v>0.3</v>
      </c>
      <c r="E57" s="591">
        <v>0.3</v>
      </c>
      <c r="F57" s="591">
        <v>0.3</v>
      </c>
      <c r="G57" s="114">
        <v>0.3</v>
      </c>
      <c r="H57" s="114">
        <v>0.3</v>
      </c>
      <c r="I57" s="591">
        <v>0.3</v>
      </c>
      <c r="J57" s="591">
        <v>0.3</v>
      </c>
      <c r="K57" s="591">
        <v>0.3</v>
      </c>
      <c r="L57" s="114">
        <v>0.3</v>
      </c>
      <c r="M57" s="591">
        <v>0.3</v>
      </c>
      <c r="N57" s="591">
        <v>0.3</v>
      </c>
      <c r="O57" s="591">
        <v>0.3</v>
      </c>
      <c r="P57" s="591">
        <v>0.3</v>
      </c>
      <c r="Q57" s="591">
        <v>0.3</v>
      </c>
      <c r="R57" s="591">
        <v>0.3</v>
      </c>
      <c r="S57" s="591">
        <v>0.3</v>
      </c>
      <c r="T57" s="114">
        <v>0.3</v>
      </c>
      <c r="U57" s="591">
        <v>0.3</v>
      </c>
      <c r="V57" s="591">
        <v>0.3</v>
      </c>
      <c r="W57" s="114">
        <v>0.3</v>
      </c>
      <c r="X57" s="114">
        <v>0.3</v>
      </c>
      <c r="Y57" s="591">
        <v>0.3</v>
      </c>
      <c r="Z57" s="591">
        <v>0.3</v>
      </c>
      <c r="AA57" s="114">
        <v>0.3</v>
      </c>
      <c r="AB57" s="114">
        <v>0.3</v>
      </c>
      <c r="AC57" s="114">
        <v>0.3</v>
      </c>
      <c r="AD57" s="591">
        <v>0.3</v>
      </c>
      <c r="AE57" s="591">
        <v>0.3</v>
      </c>
      <c r="AF57" s="591">
        <v>0.3</v>
      </c>
      <c r="AG57" s="114">
        <v>0.3</v>
      </c>
      <c r="AH57" s="591">
        <v>0.3</v>
      </c>
      <c r="AI57" s="591">
        <v>0.3</v>
      </c>
      <c r="AJ57" s="591">
        <v>0.3</v>
      </c>
      <c r="AK57" s="591">
        <v>0.3</v>
      </c>
      <c r="AL57" s="591">
        <v>0.3</v>
      </c>
    </row>
    <row r="58">
      <c r="A58" s="91" t="s">
        <v>674</v>
      </c>
      <c r="B58" s="592">
        <f t="shared" ref="B58:AL58" si="12">sumproduct(B53:B54,B56:B57)/sum(B53:B54)</f>
        <v>0.51</v>
      </c>
      <c r="C58" s="592">
        <f t="shared" si="12"/>
        <v>0.51</v>
      </c>
      <c r="D58" s="592">
        <f t="shared" si="12"/>
        <v>0.51</v>
      </c>
      <c r="E58" s="592">
        <f t="shared" si="12"/>
        <v>0.51</v>
      </c>
      <c r="F58" s="592">
        <f t="shared" si="12"/>
        <v>0.51</v>
      </c>
      <c r="G58" s="200">
        <f t="shared" si="12"/>
        <v>0.51</v>
      </c>
      <c r="H58" s="200">
        <f t="shared" si="12"/>
        <v>0.51</v>
      </c>
      <c r="I58" s="592">
        <f t="shared" si="12"/>
        <v>0.51</v>
      </c>
      <c r="J58" s="592">
        <f t="shared" si="12"/>
        <v>0.51</v>
      </c>
      <c r="K58" s="592">
        <f t="shared" si="12"/>
        <v>0.51</v>
      </c>
      <c r="L58" s="200">
        <f t="shared" si="12"/>
        <v>0.51</v>
      </c>
      <c r="M58" s="592">
        <f t="shared" si="12"/>
        <v>0.51</v>
      </c>
      <c r="N58" s="592">
        <f t="shared" si="12"/>
        <v>0.51</v>
      </c>
      <c r="O58" s="592">
        <f t="shared" si="12"/>
        <v>0.51</v>
      </c>
      <c r="P58" s="592">
        <f t="shared" si="12"/>
        <v>0.51</v>
      </c>
      <c r="Q58" s="592">
        <f t="shared" si="12"/>
        <v>0.51</v>
      </c>
      <c r="R58" s="592">
        <f t="shared" si="12"/>
        <v>0.51</v>
      </c>
      <c r="S58" s="592">
        <f t="shared" si="12"/>
        <v>0.51</v>
      </c>
      <c r="T58" s="200">
        <f t="shared" si="12"/>
        <v>0.51</v>
      </c>
      <c r="U58" s="592">
        <f t="shared" si="12"/>
        <v>0.51</v>
      </c>
      <c r="V58" s="592">
        <f t="shared" si="12"/>
        <v>0.51</v>
      </c>
      <c r="W58" s="200">
        <f t="shared" si="12"/>
        <v>0.51</v>
      </c>
      <c r="X58" s="200">
        <f t="shared" si="12"/>
        <v>0.51</v>
      </c>
      <c r="Y58" s="592">
        <f t="shared" si="12"/>
        <v>0.51</v>
      </c>
      <c r="Z58" s="592">
        <f t="shared" si="12"/>
        <v>0.51</v>
      </c>
      <c r="AA58" s="200">
        <f t="shared" si="12"/>
        <v>0.51</v>
      </c>
      <c r="AB58" s="200">
        <f t="shared" si="12"/>
        <v>0.51</v>
      </c>
      <c r="AC58" s="200">
        <f t="shared" si="12"/>
        <v>0.51</v>
      </c>
      <c r="AD58" s="592">
        <f t="shared" si="12"/>
        <v>0.51</v>
      </c>
      <c r="AE58" s="592">
        <f t="shared" si="12"/>
        <v>0.51</v>
      </c>
      <c r="AF58" s="592">
        <f t="shared" si="12"/>
        <v>0.51</v>
      </c>
      <c r="AG58" s="200">
        <f t="shared" si="12"/>
        <v>0.51</v>
      </c>
      <c r="AH58" s="592">
        <f t="shared" si="12"/>
        <v>0.51</v>
      </c>
      <c r="AI58" s="592">
        <f t="shared" si="12"/>
        <v>0.51</v>
      </c>
      <c r="AJ58" s="592">
        <f t="shared" si="12"/>
        <v>0.51</v>
      </c>
      <c r="AK58" s="592">
        <f t="shared" si="12"/>
        <v>0.51</v>
      </c>
      <c r="AL58" s="592">
        <f t="shared" si="12"/>
        <v>0.51</v>
      </c>
    </row>
    <row r="59">
      <c r="A59" s="91" t="s">
        <v>675</v>
      </c>
      <c r="G59" s="151"/>
      <c r="H59" s="151"/>
      <c r="L59" s="151"/>
      <c r="T59" s="151"/>
      <c r="W59" s="151"/>
      <c r="X59" s="151"/>
      <c r="AA59" s="151"/>
      <c r="AB59" s="151"/>
      <c r="AC59" s="151"/>
      <c r="AG59" s="151"/>
    </row>
    <row r="60">
      <c r="A60" s="590" t="s">
        <v>676</v>
      </c>
      <c r="B60" s="586">
        <v>1.0</v>
      </c>
      <c r="C60" s="586">
        <v>1.0</v>
      </c>
      <c r="D60" s="586">
        <v>1.0</v>
      </c>
      <c r="E60" s="586">
        <v>1.0</v>
      </c>
      <c r="F60" s="586">
        <v>1.0</v>
      </c>
      <c r="G60" s="142">
        <v>1.0</v>
      </c>
      <c r="H60" s="142">
        <v>1.0</v>
      </c>
      <c r="I60" s="586">
        <v>1.0</v>
      </c>
      <c r="J60" s="586">
        <v>1.0</v>
      </c>
      <c r="K60" s="586">
        <v>1.0</v>
      </c>
      <c r="L60" s="142">
        <v>1.0</v>
      </c>
      <c r="M60" s="586">
        <v>1.0</v>
      </c>
      <c r="N60" s="586">
        <v>1.0</v>
      </c>
      <c r="O60" s="586">
        <v>1.0</v>
      </c>
      <c r="P60" s="586">
        <v>1.0</v>
      </c>
      <c r="Q60" s="586">
        <v>1.0</v>
      </c>
      <c r="R60" s="586">
        <v>1.0</v>
      </c>
      <c r="S60" s="586">
        <v>1.0</v>
      </c>
      <c r="T60" s="142">
        <v>1.0</v>
      </c>
      <c r="U60" s="586">
        <v>1.0</v>
      </c>
      <c r="V60" s="586">
        <v>1.0</v>
      </c>
      <c r="W60" s="142">
        <v>1.0</v>
      </c>
      <c r="X60" s="142">
        <v>1.0</v>
      </c>
      <c r="Y60" s="586">
        <v>1.0</v>
      </c>
      <c r="Z60" s="586">
        <v>1.0</v>
      </c>
      <c r="AA60" s="142">
        <v>1.0</v>
      </c>
      <c r="AB60" s="142">
        <v>1.0</v>
      </c>
      <c r="AC60" s="142">
        <v>1.0</v>
      </c>
      <c r="AD60" s="586">
        <v>1.0</v>
      </c>
      <c r="AE60" s="586">
        <v>1.0</v>
      </c>
      <c r="AF60" s="586">
        <v>1.0</v>
      </c>
      <c r="AG60" s="142">
        <v>1.0</v>
      </c>
      <c r="AH60" s="586">
        <v>1.0</v>
      </c>
      <c r="AI60" s="586">
        <v>1.0</v>
      </c>
      <c r="AJ60" s="586">
        <v>1.0</v>
      </c>
      <c r="AK60" s="586">
        <v>1.0</v>
      </c>
      <c r="AL60" s="586">
        <v>1.0</v>
      </c>
    </row>
    <row r="61">
      <c r="A61" s="590" t="s">
        <v>677</v>
      </c>
      <c r="B61" s="592">
        <f t="shared" ref="B61:AL61" si="13">0.69/B42</f>
        <v>0.8117647059</v>
      </c>
      <c r="C61" s="592">
        <f t="shared" si="13"/>
        <v>0.8117647059</v>
      </c>
      <c r="D61" s="592">
        <f t="shared" si="13"/>
        <v>0.8117647059</v>
      </c>
      <c r="E61" s="592">
        <f t="shared" si="13"/>
        <v>0.8117647059</v>
      </c>
      <c r="F61" s="592">
        <f t="shared" si="13"/>
        <v>0.8117647059</v>
      </c>
      <c r="G61" s="200">
        <f t="shared" si="13"/>
        <v>0.8117647059</v>
      </c>
      <c r="H61" s="200">
        <f t="shared" si="13"/>
        <v>0.8117647059</v>
      </c>
      <c r="I61" s="592">
        <f t="shared" si="13"/>
        <v>0.8117647059</v>
      </c>
      <c r="J61" s="592">
        <f t="shared" si="13"/>
        <v>0.8117647059</v>
      </c>
      <c r="K61" s="592">
        <f t="shared" si="13"/>
        <v>0.8117647059</v>
      </c>
      <c r="L61" s="200">
        <f t="shared" si="13"/>
        <v>0.8117647059</v>
      </c>
      <c r="M61" s="592">
        <f t="shared" si="13"/>
        <v>0.8117647059</v>
      </c>
      <c r="N61" s="592">
        <f t="shared" si="13"/>
        <v>0.8117647059</v>
      </c>
      <c r="O61" s="592">
        <f t="shared" si="13"/>
        <v>0.8117647059</v>
      </c>
      <c r="P61" s="592">
        <f t="shared" si="13"/>
        <v>0.8117647059</v>
      </c>
      <c r="Q61" s="592">
        <f t="shared" si="13"/>
        <v>0.8117647059</v>
      </c>
      <c r="R61" s="592">
        <f t="shared" si="13"/>
        <v>0.8117647059</v>
      </c>
      <c r="S61" s="592">
        <f t="shared" si="13"/>
        <v>0.8117647059</v>
      </c>
      <c r="T61" s="200">
        <f t="shared" si="13"/>
        <v>0.8117647059</v>
      </c>
      <c r="U61" s="592">
        <f t="shared" si="13"/>
        <v>0.8117647059</v>
      </c>
      <c r="V61" s="592">
        <f t="shared" si="13"/>
        <v>0.8117647059</v>
      </c>
      <c r="W61" s="200">
        <f t="shared" si="13"/>
        <v>0.8117647059</v>
      </c>
      <c r="X61" s="200">
        <f t="shared" si="13"/>
        <v>0.8117647059</v>
      </c>
      <c r="Y61" s="592">
        <f t="shared" si="13"/>
        <v>0.8117647059</v>
      </c>
      <c r="Z61" s="592">
        <f t="shared" si="13"/>
        <v>0.8117647059</v>
      </c>
      <c r="AA61" s="200">
        <f t="shared" si="13"/>
        <v>0.8117647059</v>
      </c>
      <c r="AB61" s="200">
        <f t="shared" si="13"/>
        <v>0.8117647059</v>
      </c>
      <c r="AC61" s="200">
        <f t="shared" si="13"/>
        <v>0.8117647059</v>
      </c>
      <c r="AD61" s="592">
        <f t="shared" si="13"/>
        <v>0.8117647059</v>
      </c>
      <c r="AE61" s="592">
        <f t="shared" si="13"/>
        <v>0.8117647059</v>
      </c>
      <c r="AF61" s="592">
        <f t="shared" si="13"/>
        <v>0.8117647059</v>
      </c>
      <c r="AG61" s="200">
        <f t="shared" si="13"/>
        <v>0.8117647059</v>
      </c>
      <c r="AH61" s="592">
        <f t="shared" si="13"/>
        <v>0.8117647059</v>
      </c>
      <c r="AI61" s="592">
        <f t="shared" si="13"/>
        <v>0.8117647059</v>
      </c>
      <c r="AJ61" s="592">
        <f t="shared" si="13"/>
        <v>0.8117647059</v>
      </c>
      <c r="AK61" s="592">
        <f t="shared" si="13"/>
        <v>0.8117647059</v>
      </c>
      <c r="AL61" s="592">
        <f t="shared" si="13"/>
        <v>0.8117647059</v>
      </c>
    </row>
    <row r="62">
      <c r="A62" s="590" t="s">
        <v>678</v>
      </c>
      <c r="B62" s="592">
        <f t="shared" ref="B62:AL62" si="14">0.73/B42</f>
        <v>0.8588235294</v>
      </c>
      <c r="C62" s="592">
        <f t="shared" si="14"/>
        <v>0.8588235294</v>
      </c>
      <c r="D62" s="592">
        <f t="shared" si="14"/>
        <v>0.8588235294</v>
      </c>
      <c r="E62" s="592">
        <f t="shared" si="14"/>
        <v>0.8588235294</v>
      </c>
      <c r="F62" s="592">
        <f t="shared" si="14"/>
        <v>0.8588235294</v>
      </c>
      <c r="G62" s="200">
        <f t="shared" si="14"/>
        <v>0.8588235294</v>
      </c>
      <c r="H62" s="200">
        <f t="shared" si="14"/>
        <v>0.8588235294</v>
      </c>
      <c r="I62" s="592">
        <f t="shared" si="14"/>
        <v>0.8588235294</v>
      </c>
      <c r="J62" s="592">
        <f t="shared" si="14"/>
        <v>0.8588235294</v>
      </c>
      <c r="K62" s="592">
        <f t="shared" si="14"/>
        <v>0.8588235294</v>
      </c>
      <c r="L62" s="200">
        <f t="shared" si="14"/>
        <v>0.8588235294</v>
      </c>
      <c r="M62" s="592">
        <f t="shared" si="14"/>
        <v>0.8588235294</v>
      </c>
      <c r="N62" s="592">
        <f t="shared" si="14"/>
        <v>0.8588235294</v>
      </c>
      <c r="O62" s="592">
        <f t="shared" si="14"/>
        <v>0.8588235294</v>
      </c>
      <c r="P62" s="592">
        <f t="shared" si="14"/>
        <v>0.8588235294</v>
      </c>
      <c r="Q62" s="592">
        <f t="shared" si="14"/>
        <v>0.8588235294</v>
      </c>
      <c r="R62" s="592">
        <f t="shared" si="14"/>
        <v>0.8588235294</v>
      </c>
      <c r="S62" s="592">
        <f t="shared" si="14"/>
        <v>0.8588235294</v>
      </c>
      <c r="T62" s="200">
        <f t="shared" si="14"/>
        <v>0.8588235294</v>
      </c>
      <c r="U62" s="592">
        <f t="shared" si="14"/>
        <v>0.8588235294</v>
      </c>
      <c r="V62" s="592">
        <f t="shared" si="14"/>
        <v>0.8588235294</v>
      </c>
      <c r="W62" s="200">
        <f t="shared" si="14"/>
        <v>0.8588235294</v>
      </c>
      <c r="X62" s="200">
        <f t="shared" si="14"/>
        <v>0.8588235294</v>
      </c>
      <c r="Y62" s="592">
        <f t="shared" si="14"/>
        <v>0.8588235294</v>
      </c>
      <c r="Z62" s="592">
        <f t="shared" si="14"/>
        <v>0.8588235294</v>
      </c>
      <c r="AA62" s="200">
        <f t="shared" si="14"/>
        <v>0.8588235294</v>
      </c>
      <c r="AB62" s="200">
        <f t="shared" si="14"/>
        <v>0.8588235294</v>
      </c>
      <c r="AC62" s="200">
        <f t="shared" si="14"/>
        <v>0.8588235294</v>
      </c>
      <c r="AD62" s="592">
        <f t="shared" si="14"/>
        <v>0.8588235294</v>
      </c>
      <c r="AE62" s="592">
        <f t="shared" si="14"/>
        <v>0.8588235294</v>
      </c>
      <c r="AF62" s="592">
        <f t="shared" si="14"/>
        <v>0.8588235294</v>
      </c>
      <c r="AG62" s="200">
        <f t="shared" si="14"/>
        <v>0.8588235294</v>
      </c>
      <c r="AH62" s="592">
        <f t="shared" si="14"/>
        <v>0.8588235294</v>
      </c>
      <c r="AI62" s="592">
        <f t="shared" si="14"/>
        <v>0.8588235294</v>
      </c>
      <c r="AJ62" s="592">
        <f t="shared" si="14"/>
        <v>0.8588235294</v>
      </c>
      <c r="AK62" s="592">
        <f t="shared" si="14"/>
        <v>0.8588235294</v>
      </c>
      <c r="AL62" s="592">
        <f t="shared" si="14"/>
        <v>0.8588235294</v>
      </c>
    </row>
    <row r="63">
      <c r="A63" s="91" t="s">
        <v>679</v>
      </c>
      <c r="B63" s="586"/>
      <c r="C63" s="586"/>
      <c r="D63" s="586"/>
      <c r="E63" s="586"/>
      <c r="F63" s="586"/>
      <c r="G63" s="142"/>
      <c r="H63" s="142"/>
      <c r="I63" s="586"/>
      <c r="J63" s="586"/>
      <c r="K63" s="586"/>
      <c r="L63" s="142"/>
      <c r="M63" s="586"/>
      <c r="N63" s="586"/>
      <c r="O63" s="586"/>
      <c r="P63" s="586"/>
      <c r="Q63" s="586"/>
      <c r="R63" s="586"/>
      <c r="S63" s="586"/>
      <c r="T63" s="142"/>
      <c r="U63" s="586"/>
      <c r="V63" s="586"/>
      <c r="W63" s="142"/>
      <c r="X63" s="142"/>
      <c r="Y63" s="586"/>
      <c r="Z63" s="586"/>
      <c r="AA63" s="142"/>
      <c r="AB63" s="142"/>
      <c r="AC63" s="142"/>
      <c r="AD63" s="586"/>
      <c r="AE63" s="586"/>
      <c r="AF63" s="586"/>
      <c r="AG63" s="142"/>
      <c r="AH63" s="586"/>
      <c r="AI63" s="586"/>
      <c r="AJ63" s="586"/>
      <c r="AK63" s="586"/>
      <c r="AL63" s="586"/>
    </row>
    <row r="64">
      <c r="A64" s="590" t="s">
        <v>680</v>
      </c>
      <c r="B64" s="169">
        <v>0.3</v>
      </c>
      <c r="C64" s="169">
        <v>0.3</v>
      </c>
      <c r="D64" s="169">
        <v>0.3</v>
      </c>
      <c r="E64" s="169">
        <v>0.3</v>
      </c>
      <c r="F64" s="169">
        <v>0.3</v>
      </c>
      <c r="G64" s="127">
        <v>0.3</v>
      </c>
      <c r="H64" s="127">
        <v>0.3</v>
      </c>
      <c r="I64" s="169">
        <v>0.3</v>
      </c>
      <c r="J64" s="169">
        <v>0.3</v>
      </c>
      <c r="K64" s="169">
        <v>0.3</v>
      </c>
      <c r="L64" s="127">
        <v>0.3</v>
      </c>
      <c r="M64" s="169">
        <v>0.3</v>
      </c>
      <c r="N64" s="169">
        <v>0.3</v>
      </c>
      <c r="O64" s="169">
        <v>0.3</v>
      </c>
      <c r="P64" s="169">
        <v>0.3</v>
      </c>
      <c r="Q64" s="169">
        <v>0.3</v>
      </c>
      <c r="R64" s="169">
        <v>0.3</v>
      </c>
      <c r="S64" s="169">
        <v>0.3</v>
      </c>
      <c r="T64" s="127">
        <v>0.3</v>
      </c>
      <c r="U64" s="169">
        <v>0.3</v>
      </c>
      <c r="V64" s="169">
        <v>0.3</v>
      </c>
      <c r="W64" s="127">
        <v>0.3</v>
      </c>
      <c r="X64" s="127">
        <v>0.3</v>
      </c>
      <c r="Y64" s="169">
        <v>0.3</v>
      </c>
      <c r="Z64" s="169">
        <v>0.3</v>
      </c>
      <c r="AA64" s="127">
        <v>0.3</v>
      </c>
      <c r="AB64" s="127">
        <v>0.3</v>
      </c>
      <c r="AC64" s="127">
        <v>0.3</v>
      </c>
      <c r="AD64" s="169">
        <v>0.3</v>
      </c>
      <c r="AE64" s="169">
        <v>0.3</v>
      </c>
      <c r="AF64" s="169">
        <v>0.3</v>
      </c>
      <c r="AG64" s="127">
        <v>0.3</v>
      </c>
      <c r="AH64" s="169">
        <v>0.3</v>
      </c>
      <c r="AI64" s="169">
        <v>0.3</v>
      </c>
      <c r="AJ64" s="169">
        <v>0.3</v>
      </c>
      <c r="AK64" s="169">
        <v>0.3</v>
      </c>
      <c r="AL64" s="169">
        <v>0.3</v>
      </c>
    </row>
    <row r="65">
      <c r="A65" s="590" t="s">
        <v>681</v>
      </c>
      <c r="B65" s="169">
        <v>0.1</v>
      </c>
      <c r="C65" s="169">
        <v>0.1</v>
      </c>
      <c r="D65" s="169">
        <v>0.1</v>
      </c>
      <c r="E65" s="169">
        <v>0.1</v>
      </c>
      <c r="F65" s="169">
        <v>0.1</v>
      </c>
      <c r="G65" s="127">
        <v>0.1</v>
      </c>
      <c r="H65" s="127">
        <v>0.1</v>
      </c>
      <c r="I65" s="169">
        <v>0.1</v>
      </c>
      <c r="J65" s="169">
        <v>0.1</v>
      </c>
      <c r="K65" s="169">
        <v>0.1</v>
      </c>
      <c r="L65" s="127">
        <v>0.1</v>
      </c>
      <c r="M65" s="169">
        <v>0.1</v>
      </c>
      <c r="N65" s="169">
        <v>0.1</v>
      </c>
      <c r="O65" s="169">
        <v>0.1</v>
      </c>
      <c r="P65" s="169">
        <v>0.1</v>
      </c>
      <c r="Q65" s="169">
        <v>0.1</v>
      </c>
      <c r="R65" s="169">
        <v>0.1</v>
      </c>
      <c r="S65" s="169">
        <v>0.1</v>
      </c>
      <c r="T65" s="127">
        <v>0.1</v>
      </c>
      <c r="U65" s="169">
        <v>0.1</v>
      </c>
      <c r="V65" s="169">
        <v>0.1</v>
      </c>
      <c r="W65" s="127">
        <v>0.1</v>
      </c>
      <c r="X65" s="127">
        <v>0.1</v>
      </c>
      <c r="Y65" s="169">
        <v>0.1</v>
      </c>
      <c r="Z65" s="169">
        <v>0.1</v>
      </c>
      <c r="AA65" s="127">
        <v>0.1</v>
      </c>
      <c r="AB65" s="127">
        <v>0.1</v>
      </c>
      <c r="AC65" s="127">
        <v>0.1</v>
      </c>
      <c r="AD65" s="169">
        <v>0.1</v>
      </c>
      <c r="AE65" s="169">
        <v>0.1</v>
      </c>
      <c r="AF65" s="169">
        <v>0.1</v>
      </c>
      <c r="AG65" s="127">
        <v>0.1</v>
      </c>
      <c r="AH65" s="169">
        <v>0.1</v>
      </c>
      <c r="AI65" s="169">
        <v>0.1</v>
      </c>
      <c r="AJ65" s="169">
        <v>0.1</v>
      </c>
      <c r="AK65" s="169">
        <v>0.1</v>
      </c>
      <c r="AL65" s="169">
        <v>0.1</v>
      </c>
    </row>
    <row r="66">
      <c r="A66" s="590" t="s">
        <v>677</v>
      </c>
      <c r="B66" s="169">
        <v>0.3</v>
      </c>
      <c r="C66" s="169">
        <v>0.3</v>
      </c>
      <c r="D66" s="169">
        <v>0.3</v>
      </c>
      <c r="E66" s="169">
        <v>0.3</v>
      </c>
      <c r="F66" s="169">
        <v>0.3</v>
      </c>
      <c r="G66" s="127">
        <v>0.3</v>
      </c>
      <c r="H66" s="127">
        <v>0.3</v>
      </c>
      <c r="I66" s="169">
        <v>0.3</v>
      </c>
      <c r="J66" s="169">
        <v>0.3</v>
      </c>
      <c r="K66" s="169">
        <v>0.3</v>
      </c>
      <c r="L66" s="127">
        <v>0.3</v>
      </c>
      <c r="M66" s="169">
        <v>0.3</v>
      </c>
      <c r="N66" s="169">
        <v>0.3</v>
      </c>
      <c r="O66" s="169">
        <v>0.3</v>
      </c>
      <c r="P66" s="169">
        <v>0.3</v>
      </c>
      <c r="Q66" s="169">
        <v>0.3</v>
      </c>
      <c r="R66" s="169">
        <v>0.3</v>
      </c>
      <c r="S66" s="169">
        <v>0.3</v>
      </c>
      <c r="T66" s="127">
        <v>0.3</v>
      </c>
      <c r="U66" s="169">
        <v>0.3</v>
      </c>
      <c r="V66" s="169">
        <v>0.3</v>
      </c>
      <c r="W66" s="127">
        <v>0.3</v>
      </c>
      <c r="X66" s="127">
        <v>0.3</v>
      </c>
      <c r="Y66" s="169">
        <v>0.3</v>
      </c>
      <c r="Z66" s="169">
        <v>0.3</v>
      </c>
      <c r="AA66" s="127">
        <v>0.3</v>
      </c>
      <c r="AB66" s="127">
        <v>0.3</v>
      </c>
      <c r="AC66" s="127">
        <v>0.3</v>
      </c>
      <c r="AD66" s="169">
        <v>0.3</v>
      </c>
      <c r="AE66" s="169">
        <v>0.3</v>
      </c>
      <c r="AF66" s="169">
        <v>0.3</v>
      </c>
      <c r="AG66" s="127">
        <v>0.3</v>
      </c>
      <c r="AH66" s="169">
        <v>0.3</v>
      </c>
      <c r="AI66" s="169">
        <v>0.3</v>
      </c>
      <c r="AJ66" s="169">
        <v>0.3</v>
      </c>
      <c r="AK66" s="169">
        <v>0.3</v>
      </c>
      <c r="AL66" s="169">
        <v>0.3</v>
      </c>
    </row>
    <row r="67">
      <c r="A67" s="590" t="s">
        <v>678</v>
      </c>
      <c r="B67" s="169">
        <v>0.3</v>
      </c>
      <c r="C67" s="169">
        <v>0.3</v>
      </c>
      <c r="D67" s="169">
        <v>0.3</v>
      </c>
      <c r="E67" s="169">
        <v>0.3</v>
      </c>
      <c r="F67" s="169">
        <v>0.3</v>
      </c>
      <c r="G67" s="127">
        <v>0.3</v>
      </c>
      <c r="H67" s="127">
        <v>0.3</v>
      </c>
      <c r="I67" s="169">
        <v>0.3</v>
      </c>
      <c r="J67" s="169">
        <v>0.3</v>
      </c>
      <c r="K67" s="169">
        <v>0.3</v>
      </c>
      <c r="L67" s="127">
        <v>0.3</v>
      </c>
      <c r="M67" s="169">
        <v>0.3</v>
      </c>
      <c r="N67" s="169">
        <v>0.3</v>
      </c>
      <c r="O67" s="169">
        <v>0.3</v>
      </c>
      <c r="P67" s="169">
        <v>0.3</v>
      </c>
      <c r="Q67" s="169">
        <v>0.3</v>
      </c>
      <c r="R67" s="169">
        <v>0.3</v>
      </c>
      <c r="S67" s="169">
        <v>0.3</v>
      </c>
      <c r="T67" s="127">
        <v>0.3</v>
      </c>
      <c r="U67" s="169">
        <v>0.3</v>
      </c>
      <c r="V67" s="169">
        <v>0.3</v>
      </c>
      <c r="W67" s="127">
        <v>0.3</v>
      </c>
      <c r="X67" s="127">
        <v>0.3</v>
      </c>
      <c r="Y67" s="169">
        <v>0.3</v>
      </c>
      <c r="Z67" s="169">
        <v>0.3</v>
      </c>
      <c r="AA67" s="127">
        <v>0.3</v>
      </c>
      <c r="AB67" s="127">
        <v>0.3</v>
      </c>
      <c r="AC67" s="127">
        <v>0.3</v>
      </c>
      <c r="AD67" s="169">
        <v>0.3</v>
      </c>
      <c r="AE67" s="169">
        <v>0.3</v>
      </c>
      <c r="AF67" s="169">
        <v>0.3</v>
      </c>
      <c r="AG67" s="127">
        <v>0.3</v>
      </c>
      <c r="AH67" s="169">
        <v>0.3</v>
      </c>
      <c r="AI67" s="169">
        <v>0.3</v>
      </c>
      <c r="AJ67" s="169">
        <v>0.3</v>
      </c>
      <c r="AK67" s="169">
        <v>0.3</v>
      </c>
      <c r="AL67" s="169">
        <v>0.3</v>
      </c>
    </row>
    <row r="68">
      <c r="A68" s="91" t="s">
        <v>682</v>
      </c>
      <c r="B68" s="592">
        <f>IFERROR(__xludf.DUMMYFUNCTION("AVERAGE.WEIGHTED({B58;B60:B62},B64:B67)"),0.7541764705882353)</f>
        <v>0.7541764706</v>
      </c>
      <c r="C68" s="592">
        <f>IFERROR(__xludf.DUMMYFUNCTION("AVERAGE.WEIGHTED({C58;C60:C62},C64:C67)"),0.7541764705882353)</f>
        <v>0.7541764706</v>
      </c>
      <c r="D68" s="592">
        <f>IFERROR(__xludf.DUMMYFUNCTION("AVERAGE.WEIGHTED({D58;D60:D62},D64:D67)"),0.7541764705882353)</f>
        <v>0.7541764706</v>
      </c>
      <c r="E68" s="592">
        <f>IFERROR(__xludf.DUMMYFUNCTION("AVERAGE.WEIGHTED({E58;E60:E62},E64:E67)"),0.7541764705882353)</f>
        <v>0.7541764706</v>
      </c>
      <c r="F68" s="592">
        <f>IFERROR(__xludf.DUMMYFUNCTION("AVERAGE.WEIGHTED({F58;F60:F62},F64:F67)"),0.7541764705882353)</f>
        <v>0.7541764706</v>
      </c>
      <c r="G68" s="200">
        <f>IFERROR(__xludf.DUMMYFUNCTION("AVERAGE.WEIGHTED({G58;G60:G62},G64:G67)"),0.7541764705882353)</f>
        <v>0.7541764706</v>
      </c>
      <c r="H68" s="200">
        <f>IFERROR(__xludf.DUMMYFUNCTION("AVERAGE.WEIGHTED({H58;H60:H62},H64:H67)"),0.7541764705882353)</f>
        <v>0.7541764706</v>
      </c>
      <c r="I68" s="592">
        <f>IFERROR(__xludf.DUMMYFUNCTION("AVERAGE.WEIGHTED({I58;I60:I62},I64:I67)"),0.7541764705882353)</f>
        <v>0.7541764706</v>
      </c>
      <c r="J68" s="592">
        <f>IFERROR(__xludf.DUMMYFUNCTION("AVERAGE.WEIGHTED({J58;J60:J62},J64:J67)"),0.7541764705882353)</f>
        <v>0.7541764706</v>
      </c>
      <c r="K68" s="592">
        <f>IFERROR(__xludf.DUMMYFUNCTION("AVERAGE.WEIGHTED({K58;K60:K62},K64:K67)"),0.7541764705882353)</f>
        <v>0.7541764706</v>
      </c>
      <c r="L68" s="200">
        <f>IFERROR(__xludf.DUMMYFUNCTION("AVERAGE.WEIGHTED({L58;L60:L62},L64:L67)"),0.7541764705882353)</f>
        <v>0.7541764706</v>
      </c>
      <c r="M68" s="592">
        <f>IFERROR(__xludf.DUMMYFUNCTION("AVERAGE.WEIGHTED({M58;M60:M62},M64:M67)"),0.7541764705882353)</f>
        <v>0.7541764706</v>
      </c>
      <c r="N68" s="592">
        <f>IFERROR(__xludf.DUMMYFUNCTION("AVERAGE.WEIGHTED({N58;N60:N62},N64:N67)"),0.7541764705882353)</f>
        <v>0.7541764706</v>
      </c>
      <c r="O68" s="592">
        <f>IFERROR(__xludf.DUMMYFUNCTION("AVERAGE.WEIGHTED({O58;O60:O62},O64:O67)"),0.7541764705882353)</f>
        <v>0.7541764706</v>
      </c>
      <c r="P68" s="592">
        <f>IFERROR(__xludf.DUMMYFUNCTION("AVERAGE.WEIGHTED({P58;P60:P62},P64:P67)"),0.7541764705882353)</f>
        <v>0.7541764706</v>
      </c>
      <c r="Q68" s="592">
        <f>IFERROR(__xludf.DUMMYFUNCTION("AVERAGE.WEIGHTED({Q58;Q60:Q62},Q64:Q67)"),0.7541764705882353)</f>
        <v>0.7541764706</v>
      </c>
      <c r="R68" s="592">
        <f>IFERROR(__xludf.DUMMYFUNCTION("AVERAGE.WEIGHTED({R58;R60:R62},R64:R67)"),0.7541764705882353)</f>
        <v>0.7541764706</v>
      </c>
      <c r="S68" s="592">
        <f>IFERROR(__xludf.DUMMYFUNCTION("AVERAGE.WEIGHTED({S58;S60:S62},S64:S67)"),0.7541764705882353)</f>
        <v>0.7541764706</v>
      </c>
      <c r="T68" s="200">
        <f>IFERROR(__xludf.DUMMYFUNCTION("AVERAGE.WEIGHTED({T58;T60:T62},T64:T67)"),0.7541764705882353)</f>
        <v>0.7541764706</v>
      </c>
      <c r="U68" s="592">
        <f>IFERROR(__xludf.DUMMYFUNCTION("AVERAGE.WEIGHTED({U58;U60:U62},U64:U67)"),0.7541764705882353)</f>
        <v>0.7541764706</v>
      </c>
      <c r="V68" s="592">
        <f>IFERROR(__xludf.DUMMYFUNCTION("AVERAGE.WEIGHTED({V58;V60:V62},V64:V67)"),0.7541764705882353)</f>
        <v>0.7541764706</v>
      </c>
      <c r="W68" s="200">
        <f>IFERROR(__xludf.DUMMYFUNCTION("AVERAGE.WEIGHTED({W58;W60:W62},W64:W67)"),0.7541764705882353)</f>
        <v>0.7541764706</v>
      </c>
      <c r="X68" s="200">
        <f>IFERROR(__xludf.DUMMYFUNCTION("AVERAGE.WEIGHTED({X58;X60:X62},X64:X67)"),0.7541764705882353)</f>
        <v>0.7541764706</v>
      </c>
      <c r="Y68" s="592">
        <f>IFERROR(__xludf.DUMMYFUNCTION("AVERAGE.WEIGHTED({Y58;Y60:Y62},Y64:Y67)"),0.7541764705882353)</f>
        <v>0.7541764706</v>
      </c>
      <c r="Z68" s="592">
        <f>IFERROR(__xludf.DUMMYFUNCTION("AVERAGE.WEIGHTED({Z58;Z60:Z62},Z64:Z67)"),0.7541764705882353)</f>
        <v>0.7541764706</v>
      </c>
      <c r="AA68" s="200">
        <f>IFERROR(__xludf.DUMMYFUNCTION("AVERAGE.WEIGHTED({AA58;AA60:AA62},AA64:AA67)"),0.7541764705882353)</f>
        <v>0.7541764706</v>
      </c>
      <c r="AB68" s="200">
        <f>IFERROR(__xludf.DUMMYFUNCTION("AVERAGE.WEIGHTED({AB58;AB60:AB62},AB64:AB67)"),0.7541764705882353)</f>
        <v>0.7541764706</v>
      </c>
      <c r="AC68" s="200">
        <f>IFERROR(__xludf.DUMMYFUNCTION("AVERAGE.WEIGHTED({AC58;AC60:AC62},AC64:AC67)"),0.7541764705882353)</f>
        <v>0.7541764706</v>
      </c>
      <c r="AD68" s="592">
        <f>IFERROR(__xludf.DUMMYFUNCTION("AVERAGE.WEIGHTED({AD58;AD60:AD62},AD64:AD67)"),0.7541764705882353)</f>
        <v>0.7541764706</v>
      </c>
      <c r="AE68" s="592">
        <f>IFERROR(__xludf.DUMMYFUNCTION("AVERAGE.WEIGHTED({AE58;AE60:AE62},AE64:AE67)"),0.7541764705882353)</f>
        <v>0.7541764706</v>
      </c>
      <c r="AF68" s="592">
        <f>IFERROR(__xludf.DUMMYFUNCTION("AVERAGE.WEIGHTED({AF58;AF60:AF62},AF64:AF67)"),0.7541764705882353)</f>
        <v>0.7541764706</v>
      </c>
      <c r="AG68" s="200">
        <f>IFERROR(__xludf.DUMMYFUNCTION("AVERAGE.WEIGHTED({AG58;AG60:AG62},AG64:AG67)"),0.7541764705882353)</f>
        <v>0.7541764706</v>
      </c>
      <c r="AH68" s="592">
        <f>IFERROR(__xludf.DUMMYFUNCTION("AVERAGE.WEIGHTED({AH58;AH60:AH62},AH64:AH67)"),0.7541764705882353)</f>
        <v>0.7541764706</v>
      </c>
      <c r="AI68" s="592">
        <f>IFERROR(__xludf.DUMMYFUNCTION("AVERAGE.WEIGHTED({AI58;AI60:AI62},AI64:AI67)"),0.7541764705882353)</f>
        <v>0.7541764706</v>
      </c>
      <c r="AJ68" s="592">
        <f>IFERROR(__xludf.DUMMYFUNCTION("AVERAGE.WEIGHTED({AJ58;AJ60:AJ62},AJ64:AJ67)"),0.7541764705882353)</f>
        <v>0.7541764706</v>
      </c>
      <c r="AK68" s="592">
        <f>IFERROR(__xludf.DUMMYFUNCTION("AVERAGE.WEIGHTED({AK58;AK60:AK62},AK64:AK67)"),0.7541764705882353)</f>
        <v>0.7541764706</v>
      </c>
      <c r="AL68" s="592">
        <f>IFERROR(__xludf.DUMMYFUNCTION("AVERAGE.WEIGHTED({AL58;AL60:AL62},AL64:AL67)"),0.7541764705882353)</f>
        <v>0.7541764706</v>
      </c>
    </row>
    <row r="69">
      <c r="A69" s="91" t="s">
        <v>683</v>
      </c>
      <c r="B69" s="169"/>
      <c r="C69" s="169"/>
      <c r="D69" s="169"/>
      <c r="E69" s="169"/>
      <c r="F69" s="169"/>
      <c r="G69" s="127"/>
      <c r="H69" s="127"/>
      <c r="I69" s="169"/>
      <c r="J69" s="169"/>
      <c r="K69" s="169"/>
      <c r="L69" s="127"/>
      <c r="M69" s="169"/>
      <c r="N69" s="169"/>
      <c r="O69" s="169"/>
      <c r="P69" s="169"/>
      <c r="Q69" s="169"/>
      <c r="R69" s="169"/>
      <c r="S69" s="169"/>
      <c r="T69" s="127"/>
      <c r="U69" s="169"/>
      <c r="V69" s="169"/>
      <c r="W69" s="127"/>
      <c r="X69" s="127"/>
      <c r="Y69" s="169"/>
      <c r="Z69" s="169"/>
      <c r="AA69" s="127"/>
      <c r="AB69" s="127"/>
      <c r="AC69" s="127"/>
      <c r="AD69" s="169"/>
      <c r="AE69" s="169"/>
      <c r="AF69" s="169"/>
      <c r="AG69" s="127"/>
      <c r="AH69" s="169"/>
      <c r="AI69" s="169"/>
      <c r="AJ69" s="169"/>
      <c r="AK69" s="169"/>
      <c r="AL69" s="169"/>
    </row>
    <row r="70">
      <c r="A70" s="590" t="s">
        <v>684</v>
      </c>
      <c r="B70" s="593">
        <f t="shared" ref="B70:AL70" si="15">B34</f>
        <v>0.021539</v>
      </c>
      <c r="C70" s="593">
        <f t="shared" si="15"/>
        <v>0.0275875</v>
      </c>
      <c r="D70" s="593">
        <f t="shared" si="15"/>
        <v>0.0420471</v>
      </c>
      <c r="E70" s="593">
        <f t="shared" si="15"/>
        <v>0.0298192</v>
      </c>
      <c r="F70" s="593">
        <f t="shared" si="15"/>
        <v>0.049534</v>
      </c>
      <c r="G70" s="594">
        <f t="shared" si="15"/>
        <v>0.0484615</v>
      </c>
      <c r="H70" s="594">
        <f t="shared" si="15"/>
        <v>0.0294221</v>
      </c>
      <c r="I70" s="593">
        <f t="shared" si="15"/>
        <v>0.0628616</v>
      </c>
      <c r="J70" s="593">
        <f t="shared" si="15"/>
        <v>0.0473417</v>
      </c>
      <c r="K70" s="593">
        <f t="shared" si="15"/>
        <v>0.0345609</v>
      </c>
      <c r="L70" s="594">
        <f t="shared" si="15"/>
        <v>0.0338183</v>
      </c>
      <c r="M70" s="593">
        <f t="shared" si="15"/>
        <v>0.0429772</v>
      </c>
      <c r="N70" s="593">
        <f t="shared" si="15"/>
        <v>0.0546966</v>
      </c>
      <c r="O70" s="593">
        <f t="shared" si="15"/>
        <v>0.0424022</v>
      </c>
      <c r="P70" s="593">
        <f t="shared" si="15"/>
        <v>0.0332336</v>
      </c>
      <c r="Q70" s="593">
        <f t="shared" si="15"/>
        <v>0.0390248</v>
      </c>
      <c r="R70" s="593">
        <f t="shared" si="15"/>
        <v>0.0304159</v>
      </c>
      <c r="S70" s="593">
        <f t="shared" si="15"/>
        <v>0.0535248</v>
      </c>
      <c r="T70" s="594">
        <f t="shared" si="15"/>
        <v>0.0464354</v>
      </c>
      <c r="U70" s="593">
        <f t="shared" si="15"/>
        <v>0.0270432</v>
      </c>
      <c r="V70" s="593">
        <f t="shared" si="15"/>
        <v>0.0665249</v>
      </c>
      <c r="W70" s="594">
        <f t="shared" si="15"/>
        <v>0.0677902</v>
      </c>
      <c r="X70" s="594">
        <f t="shared" si="15"/>
        <v>0.0561006</v>
      </c>
      <c r="Y70" s="593">
        <f t="shared" si="15"/>
        <v>0.0779018</v>
      </c>
      <c r="Z70" s="593">
        <f t="shared" si="15"/>
        <v>0.0418556</v>
      </c>
      <c r="AA70" s="594">
        <f t="shared" si="15"/>
        <v>0.0414672</v>
      </c>
      <c r="AB70" s="594">
        <f t="shared" si="15"/>
        <v>0.0434159</v>
      </c>
      <c r="AC70" s="594">
        <f t="shared" si="15"/>
        <v>0.0377028</v>
      </c>
      <c r="AD70" s="593">
        <f t="shared" si="15"/>
        <v>0.041389</v>
      </c>
      <c r="AE70" s="593">
        <f t="shared" si="15"/>
        <v>0.0485056</v>
      </c>
      <c r="AF70" s="593">
        <f t="shared" si="15"/>
        <v>0.0514643</v>
      </c>
      <c r="AG70" s="594">
        <f t="shared" si="15"/>
        <v>0.0421615</v>
      </c>
      <c r="AH70" s="593">
        <f t="shared" si="15"/>
        <v>0.0359568</v>
      </c>
      <c r="AI70" s="593">
        <f t="shared" si="15"/>
        <v>0.0530668</v>
      </c>
      <c r="AJ70" s="593">
        <f t="shared" si="15"/>
        <v>0.0298299</v>
      </c>
      <c r="AK70" s="593">
        <f t="shared" si="15"/>
        <v>0.0682564</v>
      </c>
      <c r="AL70" s="593">
        <f t="shared" si="15"/>
        <v>0.0626144</v>
      </c>
    </row>
    <row r="71">
      <c r="A71" s="590" t="s">
        <v>685</v>
      </c>
      <c r="B71" s="595">
        <f t="shared" ref="B71:AL71" si="16">1-B70</f>
        <v>0.978461</v>
      </c>
      <c r="C71" s="595">
        <f t="shared" si="16"/>
        <v>0.9724125</v>
      </c>
      <c r="D71" s="595">
        <f t="shared" si="16"/>
        <v>0.9579529</v>
      </c>
      <c r="E71" s="595">
        <f t="shared" si="16"/>
        <v>0.9701808</v>
      </c>
      <c r="F71" s="595">
        <f t="shared" si="16"/>
        <v>0.950466</v>
      </c>
      <c r="G71" s="117">
        <f t="shared" si="16"/>
        <v>0.9515385</v>
      </c>
      <c r="H71" s="117">
        <f t="shared" si="16"/>
        <v>0.9705779</v>
      </c>
      <c r="I71" s="595">
        <f t="shared" si="16"/>
        <v>0.9371384</v>
      </c>
      <c r="J71" s="595">
        <f t="shared" si="16"/>
        <v>0.9526583</v>
      </c>
      <c r="K71" s="595">
        <f t="shared" si="16"/>
        <v>0.9654391</v>
      </c>
      <c r="L71" s="117">
        <f t="shared" si="16"/>
        <v>0.9661817</v>
      </c>
      <c r="M71" s="595">
        <f t="shared" si="16"/>
        <v>0.9570228</v>
      </c>
      <c r="N71" s="595">
        <f t="shared" si="16"/>
        <v>0.9453034</v>
      </c>
      <c r="O71" s="595">
        <f t="shared" si="16"/>
        <v>0.9575978</v>
      </c>
      <c r="P71" s="595">
        <f t="shared" si="16"/>
        <v>0.9667664</v>
      </c>
      <c r="Q71" s="595">
        <f t="shared" si="16"/>
        <v>0.9609752</v>
      </c>
      <c r="R71" s="595">
        <f t="shared" si="16"/>
        <v>0.9695841</v>
      </c>
      <c r="S71" s="595">
        <f t="shared" si="16"/>
        <v>0.9464752</v>
      </c>
      <c r="T71" s="117">
        <f t="shared" si="16"/>
        <v>0.9535646</v>
      </c>
      <c r="U71" s="595">
        <f t="shared" si="16"/>
        <v>0.9729568</v>
      </c>
      <c r="V71" s="595">
        <f t="shared" si="16"/>
        <v>0.9334751</v>
      </c>
      <c r="W71" s="117">
        <f t="shared" si="16"/>
        <v>0.9322098</v>
      </c>
      <c r="X71" s="117">
        <f t="shared" si="16"/>
        <v>0.9438994</v>
      </c>
      <c r="Y71" s="595">
        <f t="shared" si="16"/>
        <v>0.9220982</v>
      </c>
      <c r="Z71" s="595">
        <f t="shared" si="16"/>
        <v>0.9581444</v>
      </c>
      <c r="AA71" s="117">
        <f t="shared" si="16"/>
        <v>0.9585328</v>
      </c>
      <c r="AB71" s="117">
        <f t="shared" si="16"/>
        <v>0.9565841</v>
      </c>
      <c r="AC71" s="117">
        <f t="shared" si="16"/>
        <v>0.9622972</v>
      </c>
      <c r="AD71" s="595">
        <f t="shared" si="16"/>
        <v>0.958611</v>
      </c>
      <c r="AE71" s="595">
        <f t="shared" si="16"/>
        <v>0.9514944</v>
      </c>
      <c r="AF71" s="595">
        <f t="shared" si="16"/>
        <v>0.9485357</v>
      </c>
      <c r="AG71" s="117">
        <f t="shared" si="16"/>
        <v>0.9578385</v>
      </c>
      <c r="AH71" s="595">
        <f t="shared" si="16"/>
        <v>0.9640432</v>
      </c>
      <c r="AI71" s="595">
        <f t="shared" si="16"/>
        <v>0.9469332</v>
      </c>
      <c r="AJ71" s="595">
        <f t="shared" si="16"/>
        <v>0.9701701</v>
      </c>
      <c r="AK71" s="595">
        <f t="shared" si="16"/>
        <v>0.9317436</v>
      </c>
      <c r="AL71" s="595">
        <f t="shared" si="16"/>
        <v>0.9373856</v>
      </c>
    </row>
    <row r="72">
      <c r="A72" s="590" t="s">
        <v>686</v>
      </c>
      <c r="B72" s="169">
        <v>0.75</v>
      </c>
      <c r="C72" s="169">
        <v>0.75</v>
      </c>
      <c r="D72" s="169">
        <v>0.75</v>
      </c>
      <c r="E72" s="169">
        <v>0.75</v>
      </c>
      <c r="F72" s="169">
        <v>0.75</v>
      </c>
      <c r="G72" s="127">
        <v>0.75</v>
      </c>
      <c r="H72" s="127">
        <v>0.75</v>
      </c>
      <c r="I72" s="169">
        <v>0.75</v>
      </c>
      <c r="J72" s="169">
        <v>0.75</v>
      </c>
      <c r="K72" s="169">
        <v>0.75</v>
      </c>
      <c r="L72" s="127">
        <v>0.75</v>
      </c>
      <c r="M72" s="169">
        <v>0.75</v>
      </c>
      <c r="N72" s="169">
        <v>0.75</v>
      </c>
      <c r="O72" s="169">
        <v>0.75</v>
      </c>
      <c r="P72" s="169">
        <v>0.75</v>
      </c>
      <c r="Q72" s="169">
        <v>0.75</v>
      </c>
      <c r="R72" s="169">
        <v>0.75</v>
      </c>
      <c r="S72" s="169">
        <v>0.75</v>
      </c>
      <c r="T72" s="127">
        <v>0.75</v>
      </c>
      <c r="U72" s="169">
        <v>0.75</v>
      </c>
      <c r="V72" s="169">
        <v>0.75</v>
      </c>
      <c r="W72" s="127">
        <v>0.75</v>
      </c>
      <c r="X72" s="127">
        <v>0.75</v>
      </c>
      <c r="Y72" s="169">
        <v>0.75</v>
      </c>
      <c r="Z72" s="169">
        <v>0.75</v>
      </c>
      <c r="AA72" s="127">
        <v>0.75</v>
      </c>
      <c r="AB72" s="127">
        <v>0.75</v>
      </c>
      <c r="AC72" s="127">
        <v>0.75</v>
      </c>
      <c r="AD72" s="169">
        <v>0.75</v>
      </c>
      <c r="AE72" s="169">
        <v>0.75</v>
      </c>
      <c r="AF72" s="169">
        <v>0.75</v>
      </c>
      <c r="AG72" s="127">
        <v>0.75</v>
      </c>
      <c r="AH72" s="169">
        <v>0.75</v>
      </c>
      <c r="AI72" s="169">
        <v>0.75</v>
      </c>
      <c r="AJ72" s="169">
        <v>0.75</v>
      </c>
      <c r="AK72" s="169">
        <v>0.75</v>
      </c>
      <c r="AL72" s="169">
        <v>0.75</v>
      </c>
    </row>
    <row r="73">
      <c r="A73" s="590" t="s">
        <v>687</v>
      </c>
      <c r="B73" s="596">
        <f t="shared" ref="B73:AL73" si="17">B68</f>
        <v>0.7541764706</v>
      </c>
      <c r="C73" s="596">
        <f t="shared" si="17"/>
        <v>0.7541764706</v>
      </c>
      <c r="D73" s="596">
        <f t="shared" si="17"/>
        <v>0.7541764706</v>
      </c>
      <c r="E73" s="596">
        <f t="shared" si="17"/>
        <v>0.7541764706</v>
      </c>
      <c r="F73" s="596">
        <f t="shared" si="17"/>
        <v>0.7541764706</v>
      </c>
      <c r="G73" s="545">
        <f t="shared" si="17"/>
        <v>0.7541764706</v>
      </c>
      <c r="H73" s="545">
        <f t="shared" si="17"/>
        <v>0.7541764706</v>
      </c>
      <c r="I73" s="596">
        <f t="shared" si="17"/>
        <v>0.7541764706</v>
      </c>
      <c r="J73" s="596">
        <f t="shared" si="17"/>
        <v>0.7541764706</v>
      </c>
      <c r="K73" s="596">
        <f t="shared" si="17"/>
        <v>0.7541764706</v>
      </c>
      <c r="L73" s="545">
        <f t="shared" si="17"/>
        <v>0.7541764706</v>
      </c>
      <c r="M73" s="596">
        <f t="shared" si="17"/>
        <v>0.7541764706</v>
      </c>
      <c r="N73" s="596">
        <f t="shared" si="17"/>
        <v>0.7541764706</v>
      </c>
      <c r="O73" s="596">
        <f t="shared" si="17"/>
        <v>0.7541764706</v>
      </c>
      <c r="P73" s="596">
        <f t="shared" si="17"/>
        <v>0.7541764706</v>
      </c>
      <c r="Q73" s="596">
        <f t="shared" si="17"/>
        <v>0.7541764706</v>
      </c>
      <c r="R73" s="596">
        <f t="shared" si="17"/>
        <v>0.7541764706</v>
      </c>
      <c r="S73" s="596">
        <f t="shared" si="17"/>
        <v>0.7541764706</v>
      </c>
      <c r="T73" s="545">
        <f t="shared" si="17"/>
        <v>0.7541764706</v>
      </c>
      <c r="U73" s="596">
        <f t="shared" si="17"/>
        <v>0.7541764706</v>
      </c>
      <c r="V73" s="596">
        <f t="shared" si="17"/>
        <v>0.7541764706</v>
      </c>
      <c r="W73" s="545">
        <f t="shared" si="17"/>
        <v>0.7541764706</v>
      </c>
      <c r="X73" s="545">
        <f t="shared" si="17"/>
        <v>0.7541764706</v>
      </c>
      <c r="Y73" s="596">
        <f t="shared" si="17"/>
        <v>0.7541764706</v>
      </c>
      <c r="Z73" s="596">
        <f t="shared" si="17"/>
        <v>0.7541764706</v>
      </c>
      <c r="AA73" s="545">
        <f t="shared" si="17"/>
        <v>0.7541764706</v>
      </c>
      <c r="AB73" s="545">
        <f t="shared" si="17"/>
        <v>0.7541764706</v>
      </c>
      <c r="AC73" s="545">
        <f t="shared" si="17"/>
        <v>0.7541764706</v>
      </c>
      <c r="AD73" s="596">
        <f t="shared" si="17"/>
        <v>0.7541764706</v>
      </c>
      <c r="AE73" s="596">
        <f t="shared" si="17"/>
        <v>0.7541764706</v>
      </c>
      <c r="AF73" s="596">
        <f t="shared" si="17"/>
        <v>0.7541764706</v>
      </c>
      <c r="AG73" s="545">
        <f t="shared" si="17"/>
        <v>0.7541764706</v>
      </c>
      <c r="AH73" s="596">
        <f t="shared" si="17"/>
        <v>0.7541764706</v>
      </c>
      <c r="AI73" s="596">
        <f t="shared" si="17"/>
        <v>0.7541764706</v>
      </c>
      <c r="AJ73" s="596">
        <f t="shared" si="17"/>
        <v>0.7541764706</v>
      </c>
      <c r="AK73" s="596">
        <f t="shared" si="17"/>
        <v>0.7541764706</v>
      </c>
      <c r="AL73" s="596">
        <f t="shared" si="17"/>
        <v>0.7541764706</v>
      </c>
    </row>
    <row r="74">
      <c r="A74" s="590" t="s">
        <v>688</v>
      </c>
      <c r="B74" s="597">
        <f t="shared" ref="B74:AL74" si="18">1-((1-B73)*B72)</f>
        <v>0.8156323529</v>
      </c>
      <c r="C74" s="597">
        <f t="shared" si="18"/>
        <v>0.8156323529</v>
      </c>
      <c r="D74" s="597">
        <f t="shared" si="18"/>
        <v>0.8156323529</v>
      </c>
      <c r="E74" s="597">
        <f t="shared" si="18"/>
        <v>0.8156323529</v>
      </c>
      <c r="F74" s="597">
        <f t="shared" si="18"/>
        <v>0.8156323529</v>
      </c>
      <c r="G74" s="53">
        <f t="shared" si="18"/>
        <v>0.8156323529</v>
      </c>
      <c r="H74" s="53">
        <f t="shared" si="18"/>
        <v>0.8156323529</v>
      </c>
      <c r="I74" s="597">
        <f t="shared" si="18"/>
        <v>0.8156323529</v>
      </c>
      <c r="J74" s="597">
        <f t="shared" si="18"/>
        <v>0.8156323529</v>
      </c>
      <c r="K74" s="597">
        <f t="shared" si="18"/>
        <v>0.8156323529</v>
      </c>
      <c r="L74" s="53">
        <f t="shared" si="18"/>
        <v>0.8156323529</v>
      </c>
      <c r="M74" s="597">
        <f t="shared" si="18"/>
        <v>0.8156323529</v>
      </c>
      <c r="N74" s="597">
        <f t="shared" si="18"/>
        <v>0.8156323529</v>
      </c>
      <c r="O74" s="597">
        <f t="shared" si="18"/>
        <v>0.8156323529</v>
      </c>
      <c r="P74" s="597">
        <f t="shared" si="18"/>
        <v>0.8156323529</v>
      </c>
      <c r="Q74" s="597">
        <f t="shared" si="18"/>
        <v>0.8156323529</v>
      </c>
      <c r="R74" s="597">
        <f t="shared" si="18"/>
        <v>0.8156323529</v>
      </c>
      <c r="S74" s="597">
        <f t="shared" si="18"/>
        <v>0.8156323529</v>
      </c>
      <c r="T74" s="53">
        <f t="shared" si="18"/>
        <v>0.8156323529</v>
      </c>
      <c r="U74" s="597">
        <f t="shared" si="18"/>
        <v>0.8156323529</v>
      </c>
      <c r="V74" s="597">
        <f t="shared" si="18"/>
        <v>0.8156323529</v>
      </c>
      <c r="W74" s="53">
        <f t="shared" si="18"/>
        <v>0.8156323529</v>
      </c>
      <c r="X74" s="53">
        <f t="shared" si="18"/>
        <v>0.8156323529</v>
      </c>
      <c r="Y74" s="597">
        <f t="shared" si="18"/>
        <v>0.8156323529</v>
      </c>
      <c r="Z74" s="597">
        <f t="shared" si="18"/>
        <v>0.8156323529</v>
      </c>
      <c r="AA74" s="53">
        <f t="shared" si="18"/>
        <v>0.8156323529</v>
      </c>
      <c r="AB74" s="53">
        <f t="shared" si="18"/>
        <v>0.8156323529</v>
      </c>
      <c r="AC74" s="53">
        <f t="shared" si="18"/>
        <v>0.8156323529</v>
      </c>
      <c r="AD74" s="597">
        <f t="shared" si="18"/>
        <v>0.8156323529</v>
      </c>
      <c r="AE74" s="597">
        <f t="shared" si="18"/>
        <v>0.8156323529</v>
      </c>
      <c r="AF74" s="597">
        <f t="shared" si="18"/>
        <v>0.8156323529</v>
      </c>
      <c r="AG74" s="53">
        <f t="shared" si="18"/>
        <v>0.8156323529</v>
      </c>
      <c r="AH74" s="597">
        <f t="shared" si="18"/>
        <v>0.8156323529</v>
      </c>
      <c r="AI74" s="597">
        <f t="shared" si="18"/>
        <v>0.8156323529</v>
      </c>
      <c r="AJ74" s="597">
        <f t="shared" si="18"/>
        <v>0.8156323529</v>
      </c>
      <c r="AK74" s="597">
        <f t="shared" si="18"/>
        <v>0.8156323529</v>
      </c>
      <c r="AL74" s="597">
        <f t="shared" si="18"/>
        <v>0.8156323529</v>
      </c>
    </row>
    <row r="75">
      <c r="A75" s="91" t="s">
        <v>689</v>
      </c>
      <c r="B75" s="592">
        <f t="shared" ref="B75:AL75" si="19">B70*B73+B71*B74</f>
        <v>0.8143086547</v>
      </c>
      <c r="C75" s="592">
        <f t="shared" si="19"/>
        <v>0.8139369388</v>
      </c>
      <c r="D75" s="592">
        <f t="shared" si="19"/>
        <v>0.8130483113</v>
      </c>
      <c r="E75" s="592">
        <f t="shared" si="19"/>
        <v>0.8137997877</v>
      </c>
      <c r="F75" s="592">
        <f t="shared" si="19"/>
        <v>0.8125881973</v>
      </c>
      <c r="G75" s="200">
        <f t="shared" si="19"/>
        <v>0.8126541087</v>
      </c>
      <c r="H75" s="200">
        <f t="shared" si="19"/>
        <v>0.8138241918</v>
      </c>
      <c r="I75" s="592">
        <f t="shared" si="19"/>
        <v>0.8117691378</v>
      </c>
      <c r="J75" s="592">
        <f t="shared" si="19"/>
        <v>0.812722927</v>
      </c>
      <c r="K75" s="592">
        <f t="shared" si="19"/>
        <v>0.8135083823</v>
      </c>
      <c r="L75" s="200">
        <f t="shared" si="19"/>
        <v>0.8135540195</v>
      </c>
      <c r="M75" s="592">
        <f t="shared" si="19"/>
        <v>0.8129911512</v>
      </c>
      <c r="N75" s="592">
        <f t="shared" si="19"/>
        <v>0.8122709251</v>
      </c>
      <c r="O75" s="592">
        <f t="shared" si="19"/>
        <v>0.8130264883</v>
      </c>
      <c r="P75" s="592">
        <f t="shared" si="19"/>
        <v>0.8135899527</v>
      </c>
      <c r="Q75" s="592">
        <f t="shared" si="19"/>
        <v>0.8132340494</v>
      </c>
      <c r="R75" s="592">
        <f t="shared" si="19"/>
        <v>0.813763117</v>
      </c>
      <c r="S75" s="592">
        <f t="shared" si="19"/>
        <v>0.8123429391</v>
      </c>
      <c r="T75" s="200">
        <f t="shared" si="19"/>
        <v>0.8127786245</v>
      </c>
      <c r="U75" s="592">
        <f t="shared" si="19"/>
        <v>0.8139703892</v>
      </c>
      <c r="V75" s="592">
        <f t="shared" si="19"/>
        <v>0.8115440065</v>
      </c>
      <c r="W75" s="200">
        <f t="shared" si="19"/>
        <v>0.8114662464</v>
      </c>
      <c r="X75" s="200">
        <f t="shared" si="19"/>
        <v>0.8121846411</v>
      </c>
      <c r="Y75" s="592">
        <f t="shared" si="19"/>
        <v>0.8108448291</v>
      </c>
      <c r="Z75" s="592">
        <f t="shared" si="19"/>
        <v>0.8130600801</v>
      </c>
      <c r="AA75" s="200">
        <f t="shared" si="19"/>
        <v>0.8130839496</v>
      </c>
      <c r="AB75" s="200">
        <f t="shared" si="19"/>
        <v>0.8129641905</v>
      </c>
      <c r="AC75" s="200">
        <f t="shared" si="19"/>
        <v>0.8133152941</v>
      </c>
      <c r="AD75" s="592">
        <f t="shared" si="19"/>
        <v>0.8130887554</v>
      </c>
      <c r="AE75" s="592">
        <f t="shared" si="19"/>
        <v>0.8126513985</v>
      </c>
      <c r="AF75" s="592">
        <f t="shared" si="19"/>
        <v>0.812469569</v>
      </c>
      <c r="AG75" s="200">
        <f t="shared" si="19"/>
        <v>0.8130412808</v>
      </c>
      <c r="AH75" s="592">
        <f t="shared" si="19"/>
        <v>0.8134225961</v>
      </c>
      <c r="AI75" s="592">
        <f t="shared" si="19"/>
        <v>0.8123710859</v>
      </c>
      <c r="AJ75" s="592">
        <f t="shared" si="19"/>
        <v>0.8137991301</v>
      </c>
      <c r="AK75" s="592">
        <f t="shared" si="19"/>
        <v>0.8114375957</v>
      </c>
      <c r="AL75" s="592">
        <f t="shared" si="19"/>
        <v>0.8117843297</v>
      </c>
    </row>
    <row r="76">
      <c r="A76" s="91"/>
      <c r="B76" s="586"/>
      <c r="C76" s="586"/>
      <c r="D76" s="586"/>
      <c r="E76" s="586"/>
      <c r="F76" s="586"/>
      <c r="G76" s="142"/>
      <c r="H76" s="142"/>
      <c r="I76" s="142"/>
      <c r="J76" s="142"/>
      <c r="K76" s="142"/>
      <c r="L76" s="142"/>
      <c r="M76" s="142"/>
      <c r="N76" s="142"/>
      <c r="O76" s="142"/>
      <c r="P76" s="142"/>
      <c r="Q76" s="586"/>
      <c r="R76" s="586"/>
      <c r="S76" s="586"/>
      <c r="T76" s="142"/>
      <c r="U76" s="586"/>
      <c r="V76" s="586"/>
      <c r="W76" s="142"/>
      <c r="X76" s="142"/>
      <c r="Y76" s="586"/>
      <c r="Z76" s="586"/>
      <c r="AA76" s="142"/>
      <c r="AB76" s="142"/>
      <c r="AC76" s="142"/>
      <c r="AD76" s="142"/>
      <c r="AE76" s="142"/>
      <c r="AF76" s="142"/>
      <c r="AG76" s="142"/>
      <c r="AH76" s="142"/>
      <c r="AI76" s="586"/>
      <c r="AJ76" s="586"/>
      <c r="AK76" s="586"/>
      <c r="AL76" s="586"/>
    </row>
    <row r="77">
      <c r="A77" s="97" t="s">
        <v>690</v>
      </c>
      <c r="B77" s="586"/>
      <c r="C77" s="586"/>
      <c r="D77" s="586"/>
      <c r="E77" s="586"/>
      <c r="F77" s="586"/>
      <c r="G77" s="142"/>
      <c r="H77" s="142"/>
      <c r="I77" s="142"/>
      <c r="J77" s="142"/>
      <c r="K77" s="142"/>
      <c r="L77" s="142"/>
      <c r="M77" s="142"/>
      <c r="N77" s="142"/>
      <c r="O77" s="142"/>
      <c r="P77" s="142"/>
      <c r="Q77" s="586"/>
      <c r="R77" s="586"/>
      <c r="S77" s="586"/>
      <c r="T77" s="142"/>
      <c r="U77" s="586"/>
      <c r="V77" s="586"/>
      <c r="W77" s="142"/>
      <c r="X77" s="142"/>
      <c r="Y77" s="586"/>
      <c r="Z77" s="586"/>
      <c r="AA77" s="142"/>
      <c r="AB77" s="142"/>
      <c r="AC77" s="142"/>
      <c r="AD77" s="142"/>
      <c r="AE77" s="142"/>
      <c r="AF77" s="142"/>
      <c r="AG77" s="142"/>
      <c r="AH77" s="142"/>
      <c r="AI77" s="586"/>
      <c r="AJ77" s="586"/>
      <c r="AK77" s="586"/>
      <c r="AL77" s="586"/>
    </row>
    <row r="78">
      <c r="A78" s="598" t="s">
        <v>691</v>
      </c>
      <c r="B78" s="187">
        <v>0.0103673</v>
      </c>
      <c r="C78" s="187">
        <v>0.0163623</v>
      </c>
      <c r="D78" s="187">
        <v>0.0052896</v>
      </c>
      <c r="E78" s="187">
        <v>0.0055494</v>
      </c>
      <c r="F78" s="187">
        <v>0.0250191</v>
      </c>
      <c r="G78" s="187">
        <v>0.0093938</v>
      </c>
      <c r="H78" s="187">
        <v>0.0081913</v>
      </c>
      <c r="I78" s="187">
        <v>0.0069297</v>
      </c>
      <c r="J78" s="187">
        <v>0.0052782</v>
      </c>
      <c r="K78" s="187">
        <v>0.0074205</v>
      </c>
      <c r="L78" s="187">
        <v>0.0083836</v>
      </c>
      <c r="M78" s="187">
        <v>0.005981</v>
      </c>
      <c r="N78" s="187">
        <v>0.0057808</v>
      </c>
      <c r="O78" s="187">
        <v>0.0032553</v>
      </c>
      <c r="P78" s="187">
        <v>0.0062762</v>
      </c>
      <c r="Q78" s="187">
        <v>0.0176597</v>
      </c>
      <c r="R78" s="187">
        <v>0.0041916</v>
      </c>
      <c r="S78" s="187">
        <v>0.0292017</v>
      </c>
      <c r="T78" s="187">
        <v>0.0144704</v>
      </c>
      <c r="U78" s="187">
        <v>0.0174186</v>
      </c>
      <c r="V78" s="187">
        <v>0.0205261</v>
      </c>
      <c r="W78" s="187">
        <v>0.0201864</v>
      </c>
      <c r="X78" s="187">
        <v>0.0056457</v>
      </c>
      <c r="Y78" s="187">
        <v>0.0041059</v>
      </c>
      <c r="Z78" s="187">
        <v>0.0031787</v>
      </c>
      <c r="AA78" s="187">
        <v>0.0084852</v>
      </c>
      <c r="AB78" s="187">
        <v>0.0099335</v>
      </c>
      <c r="AC78" s="187">
        <v>0.0045818</v>
      </c>
      <c r="AD78" s="187">
        <v>0.0054592</v>
      </c>
      <c r="AE78" s="187">
        <v>0.0026184</v>
      </c>
      <c r="AF78" s="187">
        <v>0.00337</v>
      </c>
      <c r="AG78" s="187">
        <v>0.0062634</v>
      </c>
      <c r="AH78" s="187">
        <v>0.0071919</v>
      </c>
      <c r="AI78" s="187">
        <v>0.0320616</v>
      </c>
      <c r="AJ78" s="187">
        <v>0.0178239</v>
      </c>
      <c r="AK78" s="187">
        <v>0.0132602</v>
      </c>
      <c r="AL78" s="187">
        <v>0.0322115</v>
      </c>
    </row>
    <row r="79">
      <c r="A79" s="598" t="s">
        <v>692</v>
      </c>
      <c r="B79" s="187">
        <v>0.6202379</v>
      </c>
      <c r="C79" s="187">
        <v>0.5130298</v>
      </c>
      <c r="D79" s="187">
        <v>0.6647263</v>
      </c>
      <c r="E79" s="187">
        <v>0.7146142</v>
      </c>
      <c r="F79" s="187">
        <v>0.2915464</v>
      </c>
      <c r="G79" s="187">
        <v>0.4971421</v>
      </c>
      <c r="H79" s="187">
        <v>0.5255423</v>
      </c>
      <c r="I79" s="187">
        <v>0.4393874</v>
      </c>
      <c r="J79" s="187">
        <v>0.7503224</v>
      </c>
      <c r="K79" s="187">
        <v>0.6087148</v>
      </c>
      <c r="L79" s="187">
        <v>0.7326422</v>
      </c>
      <c r="M79" s="187">
        <v>0.7891902</v>
      </c>
      <c r="N79" s="187">
        <v>0.7549228</v>
      </c>
      <c r="O79" s="187">
        <v>0.7947741</v>
      </c>
      <c r="P79" s="187">
        <v>0.7213145</v>
      </c>
      <c r="Q79" s="187">
        <v>0.3683493</v>
      </c>
      <c r="R79" s="187">
        <v>0.7612844</v>
      </c>
      <c r="S79" s="187">
        <v>0.3078078</v>
      </c>
      <c r="T79" s="187">
        <v>0.4577673</v>
      </c>
      <c r="U79" s="187">
        <v>0.2972819</v>
      </c>
      <c r="V79" s="187">
        <v>0.2861995</v>
      </c>
      <c r="W79" s="187">
        <v>0.3285941</v>
      </c>
      <c r="X79" s="187">
        <v>0.6098934</v>
      </c>
      <c r="Y79" s="187">
        <v>0.5294281</v>
      </c>
      <c r="Z79" s="187">
        <v>0.7257157</v>
      </c>
      <c r="AA79" s="187">
        <v>0.4957728</v>
      </c>
      <c r="AB79" s="187">
        <v>0.3516417</v>
      </c>
      <c r="AC79" s="187">
        <v>0.5170798</v>
      </c>
      <c r="AD79" s="187">
        <v>0.6106083</v>
      </c>
      <c r="AE79" s="187">
        <v>0.685153</v>
      </c>
      <c r="AF79" s="187">
        <v>0.5772629</v>
      </c>
      <c r="AG79" s="187">
        <v>0.5885964</v>
      </c>
      <c r="AH79" s="187">
        <v>0.6755262</v>
      </c>
      <c r="AI79" s="187">
        <v>0.1261563</v>
      </c>
      <c r="AJ79" s="187">
        <v>0.3795642</v>
      </c>
      <c r="AK79" s="187">
        <v>0.3512123</v>
      </c>
      <c r="AL79" s="187">
        <v>0.2314455</v>
      </c>
    </row>
    <row r="80">
      <c r="A80" s="91" t="s">
        <v>693</v>
      </c>
      <c r="B80" s="591">
        <v>0.5</v>
      </c>
      <c r="C80" s="591">
        <v>0.5</v>
      </c>
      <c r="D80" s="591">
        <v>0.5</v>
      </c>
      <c r="E80" s="591">
        <v>0.5</v>
      </c>
      <c r="F80" s="591">
        <v>0.5</v>
      </c>
      <c r="G80" s="114">
        <v>0.5</v>
      </c>
      <c r="H80" s="114">
        <v>0.5</v>
      </c>
      <c r="I80" s="591">
        <v>0.5</v>
      </c>
      <c r="J80" s="591">
        <v>0.5</v>
      </c>
      <c r="K80" s="591">
        <v>0.5</v>
      </c>
      <c r="L80" s="114">
        <v>0.5</v>
      </c>
      <c r="M80" s="591">
        <v>0.5</v>
      </c>
      <c r="N80" s="591">
        <v>0.5</v>
      </c>
      <c r="O80" s="591">
        <v>0.5</v>
      </c>
      <c r="P80" s="591">
        <v>0.5</v>
      </c>
      <c r="Q80" s="591">
        <v>0.5</v>
      </c>
      <c r="R80" s="591">
        <v>0.5</v>
      </c>
      <c r="S80" s="591">
        <v>0.5</v>
      </c>
      <c r="T80" s="114">
        <v>0.5</v>
      </c>
      <c r="U80" s="591">
        <v>0.5</v>
      </c>
      <c r="V80" s="591">
        <v>0.5</v>
      </c>
      <c r="W80" s="114">
        <v>0.5</v>
      </c>
      <c r="X80" s="114">
        <v>0.5</v>
      </c>
      <c r="Y80" s="591">
        <v>0.5</v>
      </c>
      <c r="Z80" s="591">
        <v>0.5</v>
      </c>
      <c r="AA80" s="114">
        <v>0.5</v>
      </c>
      <c r="AB80" s="114">
        <v>0.5</v>
      </c>
      <c r="AC80" s="114">
        <v>0.5</v>
      </c>
      <c r="AD80" s="591">
        <v>0.5</v>
      </c>
      <c r="AE80" s="591">
        <v>0.5</v>
      </c>
      <c r="AF80" s="591">
        <v>0.5</v>
      </c>
      <c r="AG80" s="114">
        <v>0.5</v>
      </c>
      <c r="AH80" s="591">
        <v>0.5</v>
      </c>
      <c r="AI80" s="591">
        <v>0.5</v>
      </c>
      <c r="AJ80" s="591">
        <v>0.5</v>
      </c>
      <c r="AK80" s="591">
        <v>0.5</v>
      </c>
      <c r="AL80" s="591">
        <v>0.5</v>
      </c>
    </row>
    <row r="81">
      <c r="A81" s="91" t="s">
        <v>694</v>
      </c>
      <c r="B81" s="592">
        <f t="shared" ref="B81:AL81" si="20">(1-((1-B47)*B75/B49))</f>
        <v>0.4786871106</v>
      </c>
      <c r="C81" s="592">
        <f t="shared" si="20"/>
        <v>0.4638002396</v>
      </c>
      <c r="D81" s="592">
        <f t="shared" si="20"/>
        <v>0.4539380241</v>
      </c>
      <c r="E81" s="592">
        <f t="shared" si="20"/>
        <v>0.445444193</v>
      </c>
      <c r="F81" s="592">
        <f t="shared" si="20"/>
        <v>0.4501820568</v>
      </c>
      <c r="G81" s="200">
        <f t="shared" si="20"/>
        <v>0.4687234979</v>
      </c>
      <c r="H81" s="200">
        <f t="shared" si="20"/>
        <v>0.4708905595</v>
      </c>
      <c r="I81" s="592">
        <f t="shared" si="20"/>
        <v>0.4532098165</v>
      </c>
      <c r="J81" s="592">
        <f t="shared" si="20"/>
        <v>0.442181243</v>
      </c>
      <c r="K81" s="592">
        <f t="shared" si="20"/>
        <v>0.4610920306</v>
      </c>
      <c r="L81" s="200">
        <f t="shared" si="20"/>
        <v>0.4481382898</v>
      </c>
      <c r="M81" s="592">
        <f t="shared" si="20"/>
        <v>0.439069891</v>
      </c>
      <c r="N81" s="592">
        <f t="shared" si="20"/>
        <v>0.4462343541</v>
      </c>
      <c r="O81" s="592">
        <f t="shared" si="20"/>
        <v>0.4381851738</v>
      </c>
      <c r="P81" s="592">
        <f t="shared" si="20"/>
        <v>0.4506113322</v>
      </c>
      <c r="Q81" s="592">
        <f t="shared" si="20"/>
        <v>0.4555510291</v>
      </c>
      <c r="R81" s="592">
        <f t="shared" si="20"/>
        <v>0.4476057435</v>
      </c>
      <c r="S81" s="592">
        <f t="shared" si="20"/>
        <v>0.4447196858</v>
      </c>
      <c r="T81" s="200">
        <f t="shared" si="20"/>
        <v>0.4550180398</v>
      </c>
      <c r="U81" s="592">
        <f t="shared" si="20"/>
        <v>0.472365932</v>
      </c>
      <c r="V81" s="592">
        <f t="shared" si="20"/>
        <v>0.4487617329</v>
      </c>
      <c r="W81" s="200">
        <f t="shared" si="20"/>
        <v>0.4400947988</v>
      </c>
      <c r="X81" s="200">
        <f t="shared" si="20"/>
        <v>0.4162586278</v>
      </c>
      <c r="Y81" s="592">
        <f t="shared" si="20"/>
        <v>0.4494088333</v>
      </c>
      <c r="Z81" s="592">
        <f t="shared" si="20"/>
        <v>0.4605867917</v>
      </c>
      <c r="AA81" s="200">
        <f t="shared" si="20"/>
        <v>0.4537469219</v>
      </c>
      <c r="AB81" s="200">
        <f t="shared" si="20"/>
        <v>0.4605076689</v>
      </c>
      <c r="AC81" s="200">
        <f t="shared" si="20"/>
        <v>0.4596242274</v>
      </c>
      <c r="AD81" s="592">
        <f t="shared" si="20"/>
        <v>0.4578062236</v>
      </c>
      <c r="AE81" s="592">
        <f t="shared" si="20"/>
        <v>0.4462455323</v>
      </c>
      <c r="AF81" s="592">
        <f t="shared" si="20"/>
        <v>0.4427638523</v>
      </c>
      <c r="AG81" s="200">
        <f t="shared" si="20"/>
        <v>0.452347036</v>
      </c>
      <c r="AH81" s="592">
        <f t="shared" si="20"/>
        <v>0.4612739444</v>
      </c>
      <c r="AI81" s="592">
        <f t="shared" si="20"/>
        <v>0.4527758498</v>
      </c>
      <c r="AJ81" s="592">
        <f t="shared" si="20"/>
        <v>0.4701602192</v>
      </c>
      <c r="AK81" s="592">
        <f t="shared" si="20"/>
        <v>0.4408380676</v>
      </c>
      <c r="AL81" s="592">
        <f t="shared" si="20"/>
        <v>0.439391984</v>
      </c>
    </row>
    <row r="82">
      <c r="A82" s="91" t="s">
        <v>695</v>
      </c>
      <c r="B82" s="599">
        <v>1.291259765625</v>
      </c>
      <c r="C82" s="599">
        <v>1.318582021484375</v>
      </c>
      <c r="D82" s="599">
        <v>1.26959228515625</v>
      </c>
      <c r="E82" s="599">
        <v>1.251953125</v>
      </c>
      <c r="F82" s="599">
        <v>1.38867947265625</v>
      </c>
      <c r="G82" s="600">
        <v>1.32501220703125</v>
      </c>
      <c r="H82" s="600">
        <v>1.316864013671875</v>
      </c>
      <c r="I82" s="600">
        <v>1.339111328125</v>
      </c>
      <c r="J82" s="600">
        <v>1.24041748046875</v>
      </c>
      <c r="K82" s="600">
        <v>1.28863525390625</v>
      </c>
      <c r="L82" s="600">
        <v>1.24774169921875</v>
      </c>
      <c r="M82" s="600">
        <v>1.2281494140625</v>
      </c>
      <c r="N82" s="600">
        <v>1.240692138671875</v>
      </c>
      <c r="O82" s="600">
        <v>1.22625732421875</v>
      </c>
      <c r="P82" s="600">
        <v>1.251953125</v>
      </c>
      <c r="Q82" s="599">
        <v>1.3632907421875</v>
      </c>
      <c r="R82" s="599">
        <v>1.2393798828125</v>
      </c>
      <c r="S82" s="599">
        <v>1.3819658984375</v>
      </c>
      <c r="T82" s="600">
        <v>1.3336181640625</v>
      </c>
      <c r="U82" s="599">
        <v>1.390939296875</v>
      </c>
      <c r="V82" s="599">
        <v>1.3903265625</v>
      </c>
      <c r="W82" s="600">
        <v>1.37359619140625</v>
      </c>
      <c r="X82" s="600">
        <v>1.2733154296875</v>
      </c>
      <c r="Y82" s="599">
        <v>1.30914775390625</v>
      </c>
      <c r="Z82" s="599">
        <v>1.25445556640625</v>
      </c>
      <c r="AA82" s="600">
        <v>1.321136474609375</v>
      </c>
      <c r="AB82" s="600">
        <v>1.3699951171875</v>
      </c>
      <c r="AC82" s="600">
        <v>1.31610107421875</v>
      </c>
      <c r="AD82" s="600">
        <v>1.2869873046875</v>
      </c>
      <c r="AE82" s="600">
        <v>1.26080322265625</v>
      </c>
      <c r="AF82" s="600">
        <v>1.29217529296875</v>
      </c>
      <c r="AG82" s="600">
        <v>1.29180908203125</v>
      </c>
      <c r="AH82" s="600">
        <v>1.26904296875</v>
      </c>
      <c r="AI82" s="599">
        <v>1.450016953125</v>
      </c>
      <c r="AJ82" s="599">
        <v>1.36292087890625</v>
      </c>
      <c r="AK82" s="599">
        <v>1.3658447265625</v>
      </c>
      <c r="AL82" s="599">
        <v>1.408635703125</v>
      </c>
    </row>
    <row r="83">
      <c r="A83" s="91" t="s">
        <v>696</v>
      </c>
      <c r="B83" s="592">
        <f t="shared" ref="B83:AL83" si="21">(1-((1-B81)*B82))</f>
        <v>0.3268496406</v>
      </c>
      <c r="C83" s="592">
        <f t="shared" si="21"/>
        <v>0.2929766361</v>
      </c>
      <c r="D83" s="592">
        <f t="shared" si="21"/>
        <v>0.3067239281</v>
      </c>
      <c r="E83" s="592">
        <f t="shared" si="21"/>
        <v>0.3057221244</v>
      </c>
      <c r="F83" s="592">
        <f t="shared" si="21"/>
        <v>0.2364791086</v>
      </c>
      <c r="G83" s="200">
        <f t="shared" si="21"/>
        <v>0.2960521495</v>
      </c>
      <c r="H83" s="200">
        <f t="shared" si="21"/>
        <v>0.3032348185</v>
      </c>
      <c r="I83" s="592">
        <f t="shared" si="21"/>
        <v>0.2677870711</v>
      </c>
      <c r="J83" s="592">
        <f t="shared" si="21"/>
        <v>0.3080718629</v>
      </c>
      <c r="K83" s="592">
        <f t="shared" si="21"/>
        <v>0.3055441921</v>
      </c>
      <c r="L83" s="200">
        <f t="shared" si="21"/>
        <v>0.311419132</v>
      </c>
      <c r="M83" s="592">
        <f t="shared" si="21"/>
        <v>0.3110940153</v>
      </c>
      <c r="N83" s="592">
        <f t="shared" si="21"/>
        <v>0.3129473164</v>
      </c>
      <c r="O83" s="592">
        <f t="shared" si="21"/>
        <v>0.3110704545</v>
      </c>
      <c r="P83" s="592">
        <f t="shared" si="21"/>
        <v>0.3121911405</v>
      </c>
      <c r="Q83" s="592">
        <f t="shared" si="21"/>
        <v>0.2577577584</v>
      </c>
      <c r="R83" s="592">
        <f t="shared" si="21"/>
        <v>0.3153736711</v>
      </c>
      <c r="S83" s="592">
        <f t="shared" si="21"/>
        <v>0.2326215418</v>
      </c>
      <c r="T83" s="200">
        <f t="shared" si="21"/>
        <v>0.2732021588</v>
      </c>
      <c r="U83" s="592">
        <f t="shared" si="21"/>
        <v>0.2660930404</v>
      </c>
      <c r="V83" s="592">
        <f t="shared" si="21"/>
        <v>0.2335987949</v>
      </c>
      <c r="W83" s="200">
        <f t="shared" si="21"/>
        <v>0.2309163481</v>
      </c>
      <c r="X83" s="200">
        <f t="shared" si="21"/>
        <v>0.2567131039</v>
      </c>
      <c r="Y83" s="592">
        <f t="shared" si="21"/>
        <v>0.2791948108</v>
      </c>
      <c r="Z83" s="592">
        <f t="shared" si="21"/>
        <v>0.3233300982</v>
      </c>
      <c r="AA83" s="200">
        <f t="shared" si="21"/>
        <v>0.2783251342</v>
      </c>
      <c r="AB83" s="200">
        <f t="shared" si="21"/>
        <v>0.2608981406</v>
      </c>
      <c r="AC83" s="200">
        <f t="shared" si="21"/>
        <v>0.2888108653</v>
      </c>
      <c r="AD83" s="592">
        <f t="shared" si="21"/>
        <v>0.3022034931</v>
      </c>
      <c r="AE83" s="592">
        <f t="shared" si="21"/>
        <v>0.3018245825</v>
      </c>
      <c r="AF83" s="592">
        <f t="shared" si="21"/>
        <v>0.2799532175</v>
      </c>
      <c r="AG83" s="200">
        <f t="shared" si="21"/>
        <v>0.2925369273</v>
      </c>
      <c r="AH83" s="592">
        <f t="shared" si="21"/>
        <v>0.316333487</v>
      </c>
      <c r="AI83" s="592">
        <f t="shared" si="21"/>
        <v>0.2065157051</v>
      </c>
      <c r="AJ83" s="592">
        <f t="shared" si="21"/>
        <v>0.2778703003</v>
      </c>
      <c r="AK83" s="592">
        <f t="shared" si="21"/>
        <v>0.2362716233</v>
      </c>
      <c r="AL83" s="592">
        <f t="shared" si="21"/>
        <v>0.2103075333</v>
      </c>
    </row>
    <row r="84">
      <c r="A84" s="91" t="s">
        <v>697</v>
      </c>
      <c r="B84" s="601">
        <f t="shared" ref="B84:AL84" si="22">B78/((B79*B81)+(1-B79))</f>
        <v>0.01532123893</v>
      </c>
      <c r="C84" s="601">
        <f t="shared" si="22"/>
        <v>0.02257138128</v>
      </c>
      <c r="D84" s="601">
        <f t="shared" si="22"/>
        <v>0.008303686836</v>
      </c>
      <c r="E84" s="601">
        <f t="shared" si="22"/>
        <v>0.009192214396</v>
      </c>
      <c r="F84" s="601">
        <f t="shared" si="22"/>
        <v>0.02979519326</v>
      </c>
      <c r="G84" s="385">
        <f t="shared" si="22"/>
        <v>0.01276539507</v>
      </c>
      <c r="H84" s="385">
        <f t="shared" si="22"/>
        <v>0.01134638137</v>
      </c>
      <c r="I84" s="601">
        <f t="shared" si="22"/>
        <v>0.009121059273</v>
      </c>
      <c r="J84" s="601">
        <f t="shared" si="22"/>
        <v>0.009077555601</v>
      </c>
      <c r="K84" s="601">
        <f t="shared" si="22"/>
        <v>0.01104308869</v>
      </c>
      <c r="L84" s="385">
        <f t="shared" si="22"/>
        <v>0.01407393278</v>
      </c>
      <c r="M84" s="601">
        <f t="shared" si="22"/>
        <v>0.01073172656</v>
      </c>
      <c r="N84" s="601">
        <f t="shared" si="22"/>
        <v>0.009933504766</v>
      </c>
      <c r="O84" s="601">
        <f t="shared" si="22"/>
        <v>0.005881469477</v>
      </c>
      <c r="P84" s="601">
        <f t="shared" si="22"/>
        <v>0.01039591353</v>
      </c>
      <c r="Q84" s="601">
        <f t="shared" si="22"/>
        <v>0.02208973983</v>
      </c>
      <c r="R84" s="601">
        <f t="shared" si="22"/>
        <v>0.007233495621</v>
      </c>
      <c r="S84" s="601">
        <f t="shared" si="22"/>
        <v>0.03522179564</v>
      </c>
      <c r="T84" s="385">
        <f t="shared" si="22"/>
        <v>0.01928036836</v>
      </c>
      <c r="U84" s="601">
        <f t="shared" si="22"/>
        <v>0.02065910592</v>
      </c>
      <c r="V84" s="601">
        <f t="shared" si="22"/>
        <v>0.02437096353</v>
      </c>
      <c r="W84" s="385">
        <f t="shared" si="22"/>
        <v>0.02473767584</v>
      </c>
      <c r="X84" s="385">
        <f t="shared" si="22"/>
        <v>0.008766887309</v>
      </c>
      <c r="Y84" s="601">
        <f t="shared" si="22"/>
        <v>0.00579518833</v>
      </c>
      <c r="Z84" s="601">
        <f t="shared" si="22"/>
        <v>0.005223491163</v>
      </c>
      <c r="AA84" s="385">
        <f t="shared" si="22"/>
        <v>0.01163659173</v>
      </c>
      <c r="AB84" s="385">
        <f t="shared" si="22"/>
        <v>0.0122591609</v>
      </c>
      <c r="AC84" s="385">
        <f t="shared" si="22"/>
        <v>0.006358466021</v>
      </c>
      <c r="AD84" s="601">
        <f t="shared" si="22"/>
        <v>0.008161068934</v>
      </c>
      <c r="AE84" s="601">
        <f t="shared" si="22"/>
        <v>0.004219187193</v>
      </c>
      <c r="AF84" s="601">
        <f t="shared" si="22"/>
        <v>0.004968096232</v>
      </c>
      <c r="AG84" s="385">
        <f t="shared" si="22"/>
        <v>0.009242777589</v>
      </c>
      <c r="AH84" s="601">
        <f t="shared" si="22"/>
        <v>0.01130666003</v>
      </c>
      <c r="AI84" s="601">
        <f t="shared" si="22"/>
        <v>0.03443913215</v>
      </c>
      <c r="AJ84" s="601">
        <f t="shared" si="22"/>
        <v>0.02231078136</v>
      </c>
      <c r="AK84" s="601">
        <f t="shared" si="22"/>
        <v>0.01650067824</v>
      </c>
      <c r="AL84" s="601">
        <f t="shared" si="22"/>
        <v>0.03701408503</v>
      </c>
    </row>
    <row r="85">
      <c r="A85" s="91" t="s">
        <v>698</v>
      </c>
      <c r="B85" s="601">
        <f t="shared" ref="B85:AL85" si="23">B78/((B79*B83)+(1-B79))</f>
        <v>0.01779834829</v>
      </c>
      <c r="C85" s="601">
        <f t="shared" si="23"/>
        <v>0.02567537678</v>
      </c>
      <c r="D85" s="601">
        <f t="shared" si="23"/>
        <v>0.009810795684</v>
      </c>
      <c r="E85" s="601">
        <f t="shared" si="23"/>
        <v>0.01101379178</v>
      </c>
      <c r="F85" s="601">
        <f t="shared" si="23"/>
        <v>0.03218311921</v>
      </c>
      <c r="G85" s="385">
        <f t="shared" si="23"/>
        <v>0.01445115767</v>
      </c>
      <c r="H85" s="385">
        <f t="shared" si="23"/>
        <v>0.01292369209</v>
      </c>
      <c r="I85" s="601">
        <f t="shared" si="23"/>
        <v>0.01021665457</v>
      </c>
      <c r="J85" s="601">
        <f t="shared" si="23"/>
        <v>0.01097724976</v>
      </c>
      <c r="K85" s="601">
        <f t="shared" si="23"/>
        <v>0.0128543706</v>
      </c>
      <c r="L85" s="385">
        <f t="shared" si="23"/>
        <v>0.01691890854</v>
      </c>
      <c r="M85" s="601">
        <f t="shared" si="23"/>
        <v>0.01310696845</v>
      </c>
      <c r="N85" s="601">
        <f t="shared" si="23"/>
        <v>0.01201009878</v>
      </c>
      <c r="O85" s="601">
        <f t="shared" si="23"/>
        <v>0.007194722562</v>
      </c>
      <c r="P85" s="601">
        <f t="shared" si="23"/>
        <v>0.0124559042</v>
      </c>
      <c r="Q85" s="601">
        <f t="shared" si="23"/>
        <v>0.02430471674</v>
      </c>
      <c r="R85" s="601">
        <f t="shared" si="23"/>
        <v>0.008754300835</v>
      </c>
      <c r="S85" s="601">
        <f t="shared" si="23"/>
        <v>0.03823238286</v>
      </c>
      <c r="T85" s="385">
        <f t="shared" si="23"/>
        <v>0.02168513851</v>
      </c>
      <c r="U85" s="601">
        <f t="shared" si="23"/>
        <v>0.02227947462</v>
      </c>
      <c r="V85" s="601">
        <f t="shared" si="23"/>
        <v>0.02629338733</v>
      </c>
      <c r="W85" s="385">
        <f t="shared" si="23"/>
        <v>0.02701303583</v>
      </c>
      <c r="X85" s="385">
        <f t="shared" si="23"/>
        <v>0.01032735716</v>
      </c>
      <c r="Y85" s="601">
        <f t="shared" si="23"/>
        <v>0.006639709606</v>
      </c>
      <c r="Z85" s="601">
        <f t="shared" si="23"/>
        <v>0.006245848784</v>
      </c>
      <c r="AA85" s="385">
        <f t="shared" si="23"/>
        <v>0.01321243411</v>
      </c>
      <c r="AB85" s="385">
        <f t="shared" si="23"/>
        <v>0.01342181737</v>
      </c>
      <c r="AC85" s="385">
        <f t="shared" si="23"/>
        <v>0.007246719906</v>
      </c>
      <c r="AD85" s="601">
        <f t="shared" si="23"/>
        <v>0.009512132742</v>
      </c>
      <c r="AE85" s="601">
        <f t="shared" si="23"/>
        <v>0.005019524673</v>
      </c>
      <c r="AF85" s="601">
        <f t="shared" si="23"/>
        <v>0.005767153756</v>
      </c>
      <c r="AG85" s="385">
        <f t="shared" si="23"/>
        <v>0.01073253883</v>
      </c>
      <c r="AH85" s="601">
        <f t="shared" si="23"/>
        <v>0.01336373642</v>
      </c>
      <c r="AI85" s="601">
        <f t="shared" si="23"/>
        <v>0.03562807913</v>
      </c>
      <c r="AJ85" s="601">
        <f t="shared" si="23"/>
        <v>0.02455402529</v>
      </c>
      <c r="AK85" s="601">
        <f t="shared" si="23"/>
        <v>0.0181207408</v>
      </c>
      <c r="AL85" s="601">
        <f t="shared" si="23"/>
        <v>0.03941550147</v>
      </c>
    </row>
    <row r="86">
      <c r="A86" s="91" t="s">
        <v>699</v>
      </c>
      <c r="B86" s="592">
        <f t="shared" ref="B86:AL86" si="24">(1-B81)*B84</f>
        <v>0.007987159338</v>
      </c>
      <c r="C86" s="592">
        <f t="shared" si="24"/>
        <v>0.01210276923</v>
      </c>
      <c r="D86" s="592">
        <f t="shared" si="24"/>
        <v>0.004534327641</v>
      </c>
      <c r="E86" s="592">
        <f t="shared" si="24"/>
        <v>0.005097595873</v>
      </c>
      <c r="F86" s="592">
        <f t="shared" si="24"/>
        <v>0.01638193188</v>
      </c>
      <c r="G86" s="200">
        <f t="shared" si="24"/>
        <v>0.006781954442</v>
      </c>
      <c r="H86" s="200">
        <f t="shared" si="24"/>
        <v>0.006003477501</v>
      </c>
      <c r="I86" s="592">
        <f t="shared" si="24"/>
        <v>0.004987305674</v>
      </c>
      <c r="J86" s="592">
        <f t="shared" si="24"/>
        <v>0.005063630781</v>
      </c>
      <c r="K86" s="592">
        <f t="shared" si="24"/>
        <v>0.005951208504</v>
      </c>
      <c r="L86" s="200">
        <f t="shared" si="24"/>
        <v>0.007766864611</v>
      </c>
      <c r="M86" s="592">
        <f t="shared" si="24"/>
        <v>0.00601974855</v>
      </c>
      <c r="N86" s="592">
        <f t="shared" si="24"/>
        <v>0.005500833683</v>
      </c>
      <c r="O86" s="592">
        <f t="shared" si="24"/>
        <v>0.003304296752</v>
      </c>
      <c r="P86" s="592">
        <f t="shared" si="24"/>
        <v>0.005711397088</v>
      </c>
      <c r="Q86" s="592">
        <f t="shared" si="24"/>
        <v>0.01202673612</v>
      </c>
      <c r="R86" s="592">
        <f t="shared" si="24"/>
        <v>0.003995741435</v>
      </c>
      <c r="S86" s="592">
        <f t="shared" si="24"/>
        <v>0.01955796975</v>
      </c>
      <c r="T86" s="200">
        <f t="shared" si="24"/>
        <v>0.01050745295</v>
      </c>
      <c r="U86" s="592">
        <f t="shared" si="24"/>
        <v>0.0109004481</v>
      </c>
      <c r="V86" s="592">
        <f t="shared" si="24"/>
        <v>0.0134342077</v>
      </c>
      <c r="W86" s="200">
        <f t="shared" si="24"/>
        <v>0.01385075337</v>
      </c>
      <c r="X86" s="200">
        <f t="shared" si="24"/>
        <v>0.005117594828</v>
      </c>
      <c r="Y86" s="592">
        <f t="shared" si="24"/>
        <v>0.003190779504</v>
      </c>
      <c r="Z86" s="592">
        <f t="shared" si="24"/>
        <v>0.002817620127</v>
      </c>
      <c r="AA86" s="200">
        <f t="shared" si="24"/>
        <v>0.006356524048</v>
      </c>
      <c r="AB86" s="200">
        <f t="shared" si="24"/>
        <v>0.006613723293</v>
      </c>
      <c r="AC86" s="200">
        <f t="shared" si="24"/>
        <v>0.003435960988</v>
      </c>
      <c r="AD86" s="592">
        <f t="shared" si="24"/>
        <v>0.004424880785</v>
      </c>
      <c r="AE86" s="592">
        <f t="shared" si="24"/>
        <v>0.002336393758</v>
      </c>
      <c r="AF86" s="592">
        <f t="shared" si="24"/>
        <v>0.002768402806</v>
      </c>
      <c r="AG86" s="200">
        <f t="shared" si="24"/>
        <v>0.005061834542</v>
      </c>
      <c r="AH86" s="592">
        <f t="shared" si="24"/>
        <v>0.006091192359</v>
      </c>
      <c r="AI86" s="592">
        <f t="shared" si="24"/>
        <v>0.01884592482</v>
      </c>
      <c r="AJ86" s="592">
        <f t="shared" si="24"/>
        <v>0.0118211395</v>
      </c>
      <c r="AK86" s="592">
        <f t="shared" si="24"/>
        <v>0.009226551134</v>
      </c>
      <c r="AL86" s="592">
        <f t="shared" si="24"/>
        <v>0.02075039277</v>
      </c>
    </row>
    <row r="87">
      <c r="A87" s="225" t="s">
        <v>700</v>
      </c>
      <c r="B87" s="602">
        <f t="shared" ref="B87:AL87" si="25">(1-B83)*B85</f>
        <v>0.01198096455</v>
      </c>
      <c r="C87" s="602">
        <f t="shared" si="25"/>
        <v>0.01815309126</v>
      </c>
      <c r="D87" s="602">
        <f t="shared" si="25"/>
        <v>0.006801589894</v>
      </c>
      <c r="E87" s="602">
        <f t="shared" si="25"/>
        <v>0.007646631959</v>
      </c>
      <c r="F87" s="602">
        <f t="shared" si="25"/>
        <v>0.02457248387</v>
      </c>
      <c r="G87" s="198">
        <f t="shared" si="25"/>
        <v>0.01017286138</v>
      </c>
      <c r="H87" s="198">
        <f t="shared" si="25"/>
        <v>0.009004778666</v>
      </c>
      <c r="I87" s="602">
        <f t="shared" si="25"/>
        <v>0.007480766568</v>
      </c>
      <c r="J87" s="602">
        <f t="shared" si="25"/>
        <v>0.007595467979</v>
      </c>
      <c r="K87" s="602">
        <f t="shared" si="25"/>
        <v>0.008926792323</v>
      </c>
      <c r="L87" s="198">
        <f t="shared" si="25"/>
        <v>0.01165003673</v>
      </c>
      <c r="M87" s="602">
        <f t="shared" si="25"/>
        <v>0.009029469007</v>
      </c>
      <c r="N87" s="602">
        <f t="shared" si="25"/>
        <v>0.008251570595</v>
      </c>
      <c r="O87" s="602">
        <f t="shared" si="25"/>
        <v>0.004956656945</v>
      </c>
      <c r="P87" s="602">
        <f t="shared" si="25"/>
        <v>0.008567281263</v>
      </c>
      <c r="Q87" s="602">
        <f t="shared" si="25"/>
        <v>0.01803998744</v>
      </c>
      <c r="R87" s="602">
        <f t="shared" si="25"/>
        <v>0.005993424842</v>
      </c>
      <c r="S87" s="602">
        <f t="shared" si="25"/>
        <v>0.02933870701</v>
      </c>
      <c r="T87" s="198">
        <f t="shared" si="25"/>
        <v>0.01576071186</v>
      </c>
      <c r="U87" s="602">
        <f t="shared" si="25"/>
        <v>0.01635106148</v>
      </c>
      <c r="V87" s="602">
        <f t="shared" si="25"/>
        <v>0.02015128373</v>
      </c>
      <c r="W87" s="198">
        <f t="shared" si="25"/>
        <v>0.02077528424</v>
      </c>
      <c r="X87" s="198">
        <f t="shared" si="25"/>
        <v>0.007676189249</v>
      </c>
      <c r="Y87" s="602">
        <f t="shared" si="25"/>
        <v>0.004785937139</v>
      </c>
      <c r="Z87" s="602">
        <f t="shared" si="25"/>
        <v>0.004226377883</v>
      </c>
      <c r="AA87" s="198">
        <f t="shared" si="25"/>
        <v>0.009535081613</v>
      </c>
      <c r="AB87" s="198">
        <f t="shared" si="25"/>
        <v>0.009920090178</v>
      </c>
      <c r="AC87" s="198">
        <f t="shared" si="25"/>
        <v>0.00515378846</v>
      </c>
      <c r="AD87" s="602">
        <f t="shared" si="25"/>
        <v>0.006637533001</v>
      </c>
      <c r="AE87" s="602">
        <f t="shared" si="25"/>
        <v>0.003504508734</v>
      </c>
      <c r="AF87" s="602">
        <f t="shared" si="25"/>
        <v>0.004152620506</v>
      </c>
      <c r="AG87" s="198">
        <f t="shared" si="25"/>
        <v>0.007592874899</v>
      </c>
      <c r="AH87" s="602">
        <f t="shared" si="25"/>
        <v>0.009136339078</v>
      </c>
      <c r="AI87" s="602">
        <f t="shared" si="25"/>
        <v>0.02827032125</v>
      </c>
      <c r="AJ87" s="602">
        <f t="shared" si="25"/>
        <v>0.01773119091</v>
      </c>
      <c r="AK87" s="602">
        <f t="shared" si="25"/>
        <v>0.01383932395</v>
      </c>
      <c r="AL87" s="602">
        <f t="shared" si="25"/>
        <v>0.03112612458</v>
      </c>
    </row>
    <row r="88">
      <c r="A88" s="91" t="s">
        <v>701</v>
      </c>
      <c r="B88" s="592">
        <f t="shared" ref="B88:AL88" si="26">B87-B86</f>
        <v>0.00399380521</v>
      </c>
      <c r="C88" s="592">
        <f t="shared" si="26"/>
        <v>0.006050322028</v>
      </c>
      <c r="D88" s="592">
        <f t="shared" si="26"/>
        <v>0.002267262253</v>
      </c>
      <c r="E88" s="592">
        <f t="shared" si="26"/>
        <v>0.002549036086</v>
      </c>
      <c r="F88" s="592">
        <f t="shared" si="26"/>
        <v>0.00819055199</v>
      </c>
      <c r="G88" s="200">
        <f t="shared" si="26"/>
        <v>0.003390906937</v>
      </c>
      <c r="H88" s="200">
        <f t="shared" si="26"/>
        <v>0.003001301165</v>
      </c>
      <c r="I88" s="592">
        <f t="shared" si="26"/>
        <v>0.002493460894</v>
      </c>
      <c r="J88" s="592">
        <f t="shared" si="26"/>
        <v>0.002531837197</v>
      </c>
      <c r="K88" s="592">
        <f t="shared" si="26"/>
        <v>0.002975583819</v>
      </c>
      <c r="L88" s="200">
        <f t="shared" si="26"/>
        <v>0.003883172116</v>
      </c>
      <c r="M88" s="592">
        <f t="shared" si="26"/>
        <v>0.003009720457</v>
      </c>
      <c r="N88" s="592">
        <f t="shared" si="26"/>
        <v>0.002750736912</v>
      </c>
      <c r="O88" s="592">
        <f t="shared" si="26"/>
        <v>0.001652360192</v>
      </c>
      <c r="P88" s="592">
        <f t="shared" si="26"/>
        <v>0.002855884175</v>
      </c>
      <c r="Q88" s="592">
        <f t="shared" si="26"/>
        <v>0.006013251321</v>
      </c>
      <c r="R88" s="592">
        <f t="shared" si="26"/>
        <v>0.001997683407</v>
      </c>
      <c r="S88" s="592">
        <f t="shared" si="26"/>
        <v>0.009780737266</v>
      </c>
      <c r="T88" s="200">
        <f t="shared" si="26"/>
        <v>0.005253258914</v>
      </c>
      <c r="U88" s="592">
        <f t="shared" si="26"/>
        <v>0.005450613383</v>
      </c>
      <c r="V88" s="592">
        <f t="shared" si="26"/>
        <v>0.006717076031</v>
      </c>
      <c r="W88" s="200">
        <f t="shared" si="26"/>
        <v>0.006924530878</v>
      </c>
      <c r="X88" s="200">
        <f t="shared" si="26"/>
        <v>0.002558594421</v>
      </c>
      <c r="Y88" s="592">
        <f t="shared" si="26"/>
        <v>0.001595157635</v>
      </c>
      <c r="Z88" s="592">
        <f t="shared" si="26"/>
        <v>0.001408757757</v>
      </c>
      <c r="AA88" s="200">
        <f t="shared" si="26"/>
        <v>0.003178557564</v>
      </c>
      <c r="AB88" s="200">
        <f t="shared" si="26"/>
        <v>0.003306366885</v>
      </c>
      <c r="AC88" s="200">
        <f t="shared" si="26"/>
        <v>0.001717827471</v>
      </c>
      <c r="AD88" s="592">
        <f t="shared" si="26"/>
        <v>0.002212652216</v>
      </c>
      <c r="AE88" s="592">
        <f t="shared" si="26"/>
        <v>0.001168114976</v>
      </c>
      <c r="AF88" s="592">
        <f t="shared" si="26"/>
        <v>0.0013842177</v>
      </c>
      <c r="AG88" s="200">
        <f t="shared" si="26"/>
        <v>0.002531040357</v>
      </c>
      <c r="AH88" s="592">
        <f t="shared" si="26"/>
        <v>0.003045146719</v>
      </c>
      <c r="AI88" s="592">
        <f t="shared" si="26"/>
        <v>0.009424396425</v>
      </c>
      <c r="AJ88" s="592">
        <f t="shared" si="26"/>
        <v>0.005910051407</v>
      </c>
      <c r="AK88" s="592">
        <f t="shared" si="26"/>
        <v>0.004612772819</v>
      </c>
      <c r="AL88" s="592">
        <f t="shared" si="26"/>
        <v>0.01037573181</v>
      </c>
    </row>
    <row r="89">
      <c r="A89" s="91" t="s">
        <v>702</v>
      </c>
      <c r="B89" s="603">
        <f t="shared" ref="B89:AL89" si="27">B88/B86</f>
        <v>0.500028238</v>
      </c>
      <c r="C89" s="603">
        <f t="shared" si="27"/>
        <v>0.4999122028</v>
      </c>
      <c r="D89" s="603">
        <f t="shared" si="27"/>
        <v>0.5000217082</v>
      </c>
      <c r="E89" s="603">
        <f t="shared" si="27"/>
        <v>0.500046718</v>
      </c>
      <c r="F89" s="603">
        <f t="shared" si="27"/>
        <v>0.4999747314</v>
      </c>
      <c r="G89" s="143">
        <f t="shared" si="27"/>
        <v>0.4999896366</v>
      </c>
      <c r="H89" s="143">
        <f t="shared" si="27"/>
        <v>0.4999271114</v>
      </c>
      <c r="I89" s="603">
        <f t="shared" si="27"/>
        <v>0.4999615136</v>
      </c>
      <c r="J89" s="603">
        <f t="shared" si="27"/>
        <v>0.5000043065</v>
      </c>
      <c r="K89" s="603">
        <f t="shared" si="27"/>
        <v>0.4999965667</v>
      </c>
      <c r="L89" s="143">
        <f t="shared" si="27"/>
        <v>0.4999665001</v>
      </c>
      <c r="M89" s="603">
        <f t="shared" si="27"/>
        <v>0.4999744478</v>
      </c>
      <c r="N89" s="603">
        <f t="shared" si="27"/>
        <v>0.5000581858</v>
      </c>
      <c r="O89" s="603">
        <f t="shared" si="27"/>
        <v>0.5000641033</v>
      </c>
      <c r="P89" s="603">
        <f t="shared" si="27"/>
        <v>0.5000325018</v>
      </c>
      <c r="Q89" s="603">
        <f t="shared" si="27"/>
        <v>0.4999902934</v>
      </c>
      <c r="R89" s="603">
        <f t="shared" si="27"/>
        <v>0.4999531224</v>
      </c>
      <c r="S89" s="603">
        <f t="shared" si="27"/>
        <v>0.5000895999</v>
      </c>
      <c r="T89" s="143">
        <f t="shared" si="27"/>
        <v>0.4999555022</v>
      </c>
      <c r="U89" s="603">
        <f t="shared" si="27"/>
        <v>0.5000357172</v>
      </c>
      <c r="V89" s="603">
        <f t="shared" si="27"/>
        <v>0.4999979291</v>
      </c>
      <c r="W89" s="143">
        <f t="shared" si="27"/>
        <v>0.4999389343</v>
      </c>
      <c r="X89" s="143">
        <f t="shared" si="27"/>
        <v>0.4999603344</v>
      </c>
      <c r="Y89" s="603">
        <f t="shared" si="27"/>
        <v>0.4999272538</v>
      </c>
      <c r="Z89" s="603">
        <f t="shared" si="27"/>
        <v>0.4999814358</v>
      </c>
      <c r="AA89" s="143">
        <f t="shared" si="27"/>
        <v>0.500046494</v>
      </c>
      <c r="AB89" s="143">
        <f t="shared" si="27"/>
        <v>0.4999251918</v>
      </c>
      <c r="AC89" s="143">
        <f t="shared" si="27"/>
        <v>0.4999554644</v>
      </c>
      <c r="AD89" s="603">
        <f t="shared" si="27"/>
        <v>0.500047871</v>
      </c>
      <c r="AE89" s="603">
        <f t="shared" si="27"/>
        <v>0.4999649445</v>
      </c>
      <c r="AF89" s="603">
        <f t="shared" si="27"/>
        <v>0.5000058867</v>
      </c>
      <c r="AG89" s="143">
        <f t="shared" si="27"/>
        <v>0.5000243165</v>
      </c>
      <c r="AH89" s="603">
        <f t="shared" si="27"/>
        <v>0.4999262114</v>
      </c>
      <c r="AI89" s="603">
        <f t="shared" si="27"/>
        <v>0.5000760915</v>
      </c>
      <c r="AJ89" s="603">
        <f t="shared" si="27"/>
        <v>0.499956151</v>
      </c>
      <c r="AK89" s="603">
        <f t="shared" si="27"/>
        <v>0.4999455108</v>
      </c>
      <c r="AL89" s="603">
        <f t="shared" si="27"/>
        <v>0.5000258031</v>
      </c>
    </row>
    <row r="90">
      <c r="A90" s="91" t="s">
        <v>703</v>
      </c>
      <c r="B90" s="603" t="str">
        <f t="shared" ref="B90:AL90" si="28">if(round(B89,3)=B80,"TRUE","FALSE")</f>
        <v>TRUE</v>
      </c>
      <c r="C90" s="603" t="str">
        <f t="shared" si="28"/>
        <v>TRUE</v>
      </c>
      <c r="D90" s="603" t="str">
        <f t="shared" si="28"/>
        <v>TRUE</v>
      </c>
      <c r="E90" s="603" t="str">
        <f t="shared" si="28"/>
        <v>TRUE</v>
      </c>
      <c r="F90" s="603" t="str">
        <f t="shared" si="28"/>
        <v>TRUE</v>
      </c>
      <c r="G90" s="143" t="str">
        <f t="shared" si="28"/>
        <v>TRUE</v>
      </c>
      <c r="H90" s="143" t="str">
        <f t="shared" si="28"/>
        <v>TRUE</v>
      </c>
      <c r="I90" s="143" t="str">
        <f t="shared" si="28"/>
        <v>TRUE</v>
      </c>
      <c r="J90" s="143" t="str">
        <f t="shared" si="28"/>
        <v>TRUE</v>
      </c>
      <c r="K90" s="143" t="str">
        <f t="shared" si="28"/>
        <v>TRUE</v>
      </c>
      <c r="L90" s="143" t="str">
        <f t="shared" si="28"/>
        <v>TRUE</v>
      </c>
      <c r="M90" s="143" t="str">
        <f t="shared" si="28"/>
        <v>TRUE</v>
      </c>
      <c r="N90" s="143" t="str">
        <f t="shared" si="28"/>
        <v>TRUE</v>
      </c>
      <c r="O90" s="143" t="str">
        <f t="shared" si="28"/>
        <v>TRUE</v>
      </c>
      <c r="P90" s="143" t="str">
        <f t="shared" si="28"/>
        <v>TRUE</v>
      </c>
      <c r="Q90" s="603" t="str">
        <f t="shared" si="28"/>
        <v>TRUE</v>
      </c>
      <c r="R90" s="603" t="str">
        <f t="shared" si="28"/>
        <v>TRUE</v>
      </c>
      <c r="S90" s="603" t="str">
        <f t="shared" si="28"/>
        <v>TRUE</v>
      </c>
      <c r="T90" s="143" t="str">
        <f t="shared" si="28"/>
        <v>TRUE</v>
      </c>
      <c r="U90" s="603" t="str">
        <f t="shared" si="28"/>
        <v>TRUE</v>
      </c>
      <c r="V90" s="603" t="str">
        <f t="shared" si="28"/>
        <v>TRUE</v>
      </c>
      <c r="W90" s="143" t="str">
        <f t="shared" si="28"/>
        <v>TRUE</v>
      </c>
      <c r="X90" s="143" t="str">
        <f t="shared" si="28"/>
        <v>TRUE</v>
      </c>
      <c r="Y90" s="603" t="str">
        <f t="shared" si="28"/>
        <v>TRUE</v>
      </c>
      <c r="Z90" s="603" t="str">
        <f t="shared" si="28"/>
        <v>TRUE</v>
      </c>
      <c r="AA90" s="143" t="str">
        <f t="shared" si="28"/>
        <v>TRUE</v>
      </c>
      <c r="AB90" s="143" t="str">
        <f t="shared" si="28"/>
        <v>TRUE</v>
      </c>
      <c r="AC90" s="143" t="str">
        <f t="shared" si="28"/>
        <v>TRUE</v>
      </c>
      <c r="AD90" s="143" t="str">
        <f t="shared" si="28"/>
        <v>TRUE</v>
      </c>
      <c r="AE90" s="143" t="str">
        <f t="shared" si="28"/>
        <v>TRUE</v>
      </c>
      <c r="AF90" s="143" t="str">
        <f t="shared" si="28"/>
        <v>TRUE</v>
      </c>
      <c r="AG90" s="143" t="str">
        <f t="shared" si="28"/>
        <v>TRUE</v>
      </c>
      <c r="AH90" s="143" t="str">
        <f t="shared" si="28"/>
        <v>TRUE</v>
      </c>
      <c r="AI90" s="603" t="str">
        <f t="shared" si="28"/>
        <v>TRUE</v>
      </c>
      <c r="AJ90" s="603" t="str">
        <f t="shared" si="28"/>
        <v>TRUE</v>
      </c>
      <c r="AK90" s="603" t="str">
        <f t="shared" si="28"/>
        <v>TRUE</v>
      </c>
      <c r="AL90" s="603" t="str">
        <f t="shared" si="28"/>
        <v>TRUE</v>
      </c>
    </row>
    <row r="91">
      <c r="A91" s="91" t="s">
        <v>704</v>
      </c>
      <c r="B91" s="604">
        <f t="shared" ref="B91:AL91" si="29">B82</f>
        <v>1.291259766</v>
      </c>
      <c r="C91" s="604">
        <f t="shared" si="29"/>
        <v>1.318582021</v>
      </c>
      <c r="D91" s="604">
        <f t="shared" si="29"/>
        <v>1.269592285</v>
      </c>
      <c r="E91" s="604">
        <f t="shared" si="29"/>
        <v>1.251953125</v>
      </c>
      <c r="F91" s="604">
        <f t="shared" si="29"/>
        <v>1.388679473</v>
      </c>
      <c r="G91" s="604">
        <f t="shared" si="29"/>
        <v>1.325012207</v>
      </c>
      <c r="H91" s="604">
        <f t="shared" si="29"/>
        <v>1.316864014</v>
      </c>
      <c r="I91" s="604">
        <f t="shared" si="29"/>
        <v>1.339111328</v>
      </c>
      <c r="J91" s="604">
        <f t="shared" si="29"/>
        <v>1.24041748</v>
      </c>
      <c r="K91" s="604">
        <f t="shared" si="29"/>
        <v>1.288635254</v>
      </c>
      <c r="L91" s="604">
        <f t="shared" si="29"/>
        <v>1.247741699</v>
      </c>
      <c r="M91" s="604">
        <f t="shared" si="29"/>
        <v>1.228149414</v>
      </c>
      <c r="N91" s="604">
        <f t="shared" si="29"/>
        <v>1.240692139</v>
      </c>
      <c r="O91" s="604">
        <f t="shared" si="29"/>
        <v>1.226257324</v>
      </c>
      <c r="P91" s="604">
        <f t="shared" si="29"/>
        <v>1.251953125</v>
      </c>
      <c r="Q91" s="604">
        <f t="shared" si="29"/>
        <v>1.363290742</v>
      </c>
      <c r="R91" s="604">
        <f t="shared" si="29"/>
        <v>1.239379883</v>
      </c>
      <c r="S91" s="604">
        <f t="shared" si="29"/>
        <v>1.381965898</v>
      </c>
      <c r="T91" s="604">
        <f t="shared" si="29"/>
        <v>1.333618164</v>
      </c>
      <c r="U91" s="604">
        <f t="shared" si="29"/>
        <v>1.390939297</v>
      </c>
      <c r="V91" s="604">
        <f t="shared" si="29"/>
        <v>1.390326563</v>
      </c>
      <c r="W91" s="604">
        <f t="shared" si="29"/>
        <v>1.373596191</v>
      </c>
      <c r="X91" s="604">
        <f t="shared" si="29"/>
        <v>1.27331543</v>
      </c>
      <c r="Y91" s="604">
        <f t="shared" si="29"/>
        <v>1.309147754</v>
      </c>
      <c r="Z91" s="604">
        <f t="shared" si="29"/>
        <v>1.254455566</v>
      </c>
      <c r="AA91" s="604">
        <f t="shared" si="29"/>
        <v>1.321136475</v>
      </c>
      <c r="AB91" s="604">
        <f t="shared" si="29"/>
        <v>1.369995117</v>
      </c>
      <c r="AC91" s="604">
        <f t="shared" si="29"/>
        <v>1.316101074</v>
      </c>
      <c r="AD91" s="604">
        <f t="shared" si="29"/>
        <v>1.286987305</v>
      </c>
      <c r="AE91" s="604">
        <f t="shared" si="29"/>
        <v>1.260803223</v>
      </c>
      <c r="AF91" s="604">
        <f t="shared" si="29"/>
        <v>1.292175293</v>
      </c>
      <c r="AG91" s="604">
        <f t="shared" si="29"/>
        <v>1.291809082</v>
      </c>
      <c r="AH91" s="604">
        <f t="shared" si="29"/>
        <v>1.269042969</v>
      </c>
      <c r="AI91" s="604">
        <f t="shared" si="29"/>
        <v>1.450016953</v>
      </c>
      <c r="AJ91" s="604">
        <f t="shared" si="29"/>
        <v>1.362920879</v>
      </c>
      <c r="AK91" s="604">
        <f t="shared" si="29"/>
        <v>1.365844727</v>
      </c>
      <c r="AL91" s="604">
        <f t="shared" si="29"/>
        <v>1.408635703</v>
      </c>
    </row>
    <row r="92">
      <c r="A92" s="91" t="s">
        <v>705</v>
      </c>
      <c r="B92" s="128">
        <f t="shared" ref="B92:AL92" si="30">B46*B75*B91/B49</f>
        <v>0.6731503594</v>
      </c>
      <c r="C92" s="128">
        <f t="shared" si="30"/>
        <v>0.7070233639</v>
      </c>
      <c r="D92" s="128">
        <f t="shared" si="30"/>
        <v>0.6932760719</v>
      </c>
      <c r="E92" s="128">
        <f t="shared" si="30"/>
        <v>0.6942778756</v>
      </c>
      <c r="F92" s="128">
        <f t="shared" si="30"/>
        <v>0.7635208914</v>
      </c>
      <c r="G92" s="128">
        <f t="shared" si="30"/>
        <v>0.7039478505</v>
      </c>
      <c r="H92" s="128">
        <f t="shared" si="30"/>
        <v>0.6967651815</v>
      </c>
      <c r="I92" s="128">
        <f t="shared" si="30"/>
        <v>0.7322129289</v>
      </c>
      <c r="J92" s="128">
        <f t="shared" si="30"/>
        <v>0.6919281371</v>
      </c>
      <c r="K92" s="128">
        <f t="shared" si="30"/>
        <v>0.6944558079</v>
      </c>
      <c r="L92" s="128">
        <f t="shared" si="30"/>
        <v>0.688580868</v>
      </c>
      <c r="M92" s="128">
        <f t="shared" si="30"/>
        <v>0.6889059847</v>
      </c>
      <c r="N92" s="128">
        <f t="shared" si="30"/>
        <v>0.6870526836</v>
      </c>
      <c r="O92" s="128">
        <f t="shared" si="30"/>
        <v>0.6889295455</v>
      </c>
      <c r="P92" s="128">
        <f t="shared" si="30"/>
        <v>0.6878088595</v>
      </c>
      <c r="Q92" s="128">
        <f t="shared" si="30"/>
        <v>0.7422422416</v>
      </c>
      <c r="R92" s="128">
        <f t="shared" si="30"/>
        <v>0.6846263289</v>
      </c>
      <c r="S92" s="128">
        <f t="shared" si="30"/>
        <v>0.7673784582</v>
      </c>
      <c r="T92" s="128">
        <f t="shared" si="30"/>
        <v>0.7267978412</v>
      </c>
      <c r="U92" s="128">
        <f t="shared" si="30"/>
        <v>0.7339069596</v>
      </c>
      <c r="V92" s="128">
        <f t="shared" si="30"/>
        <v>0.7664012051</v>
      </c>
      <c r="W92" s="128">
        <f t="shared" si="30"/>
        <v>0.7690836519</v>
      </c>
      <c r="X92" s="128">
        <f t="shared" si="30"/>
        <v>0.7432868961</v>
      </c>
      <c r="Y92" s="128">
        <f t="shared" si="30"/>
        <v>0.7208051892</v>
      </c>
      <c r="Z92" s="128">
        <f t="shared" si="30"/>
        <v>0.6766699018</v>
      </c>
      <c r="AA92" s="128">
        <f t="shared" si="30"/>
        <v>0.7216748658</v>
      </c>
      <c r="AB92" s="128">
        <f t="shared" si="30"/>
        <v>0.7391018594</v>
      </c>
      <c r="AC92" s="128">
        <f t="shared" si="30"/>
        <v>0.7111891347</v>
      </c>
      <c r="AD92" s="128">
        <f t="shared" si="30"/>
        <v>0.6977965069</v>
      </c>
      <c r="AE92" s="128">
        <f t="shared" si="30"/>
        <v>0.6981754175</v>
      </c>
      <c r="AF92" s="128">
        <f t="shared" si="30"/>
        <v>0.7200467825</v>
      </c>
      <c r="AG92" s="128">
        <f t="shared" si="30"/>
        <v>0.7074630727</v>
      </c>
      <c r="AH92" s="128">
        <f t="shared" si="30"/>
        <v>0.683666513</v>
      </c>
      <c r="AI92" s="128">
        <f t="shared" si="30"/>
        <v>0.7934842949</v>
      </c>
      <c r="AJ92" s="128">
        <f t="shared" si="30"/>
        <v>0.7221296997</v>
      </c>
      <c r="AK92" s="128">
        <f t="shared" si="30"/>
        <v>0.7637283767</v>
      </c>
      <c r="AL92" s="128">
        <f t="shared" si="30"/>
        <v>0.7896924667</v>
      </c>
    </row>
    <row r="93">
      <c r="A93" s="91" t="s">
        <v>706</v>
      </c>
      <c r="B93" s="128">
        <f t="shared" ref="B93:AL93" si="31">1-B92</f>
        <v>0.3268496406</v>
      </c>
      <c r="C93" s="128">
        <f t="shared" si="31"/>
        <v>0.2929766361</v>
      </c>
      <c r="D93" s="128">
        <f t="shared" si="31"/>
        <v>0.3067239281</v>
      </c>
      <c r="E93" s="128">
        <f t="shared" si="31"/>
        <v>0.3057221244</v>
      </c>
      <c r="F93" s="128">
        <f t="shared" si="31"/>
        <v>0.2364791086</v>
      </c>
      <c r="G93" s="128">
        <f t="shared" si="31"/>
        <v>0.2960521495</v>
      </c>
      <c r="H93" s="128">
        <f t="shared" si="31"/>
        <v>0.3032348185</v>
      </c>
      <c r="I93" s="128">
        <f t="shared" si="31"/>
        <v>0.2677870711</v>
      </c>
      <c r="J93" s="128">
        <f t="shared" si="31"/>
        <v>0.3080718629</v>
      </c>
      <c r="K93" s="128">
        <f t="shared" si="31"/>
        <v>0.3055441921</v>
      </c>
      <c r="L93" s="128">
        <f t="shared" si="31"/>
        <v>0.311419132</v>
      </c>
      <c r="M93" s="128">
        <f t="shared" si="31"/>
        <v>0.3110940153</v>
      </c>
      <c r="N93" s="128">
        <f t="shared" si="31"/>
        <v>0.3129473164</v>
      </c>
      <c r="O93" s="128">
        <f t="shared" si="31"/>
        <v>0.3110704545</v>
      </c>
      <c r="P93" s="128">
        <f t="shared" si="31"/>
        <v>0.3121911405</v>
      </c>
      <c r="Q93" s="128">
        <f t="shared" si="31"/>
        <v>0.2577577584</v>
      </c>
      <c r="R93" s="128">
        <f t="shared" si="31"/>
        <v>0.3153736711</v>
      </c>
      <c r="S93" s="128">
        <f t="shared" si="31"/>
        <v>0.2326215418</v>
      </c>
      <c r="T93" s="128">
        <f t="shared" si="31"/>
        <v>0.2732021588</v>
      </c>
      <c r="U93" s="128">
        <f t="shared" si="31"/>
        <v>0.2660930404</v>
      </c>
      <c r="V93" s="128">
        <f t="shared" si="31"/>
        <v>0.2335987949</v>
      </c>
      <c r="W93" s="128">
        <f t="shared" si="31"/>
        <v>0.2309163481</v>
      </c>
      <c r="X93" s="128">
        <f t="shared" si="31"/>
        <v>0.2567131039</v>
      </c>
      <c r="Y93" s="128">
        <f t="shared" si="31"/>
        <v>0.2791948108</v>
      </c>
      <c r="Z93" s="128">
        <f t="shared" si="31"/>
        <v>0.3233300982</v>
      </c>
      <c r="AA93" s="128">
        <f t="shared" si="31"/>
        <v>0.2783251342</v>
      </c>
      <c r="AB93" s="128">
        <f t="shared" si="31"/>
        <v>0.2608981406</v>
      </c>
      <c r="AC93" s="128">
        <f t="shared" si="31"/>
        <v>0.2888108653</v>
      </c>
      <c r="AD93" s="128">
        <f t="shared" si="31"/>
        <v>0.3022034931</v>
      </c>
      <c r="AE93" s="128">
        <f t="shared" si="31"/>
        <v>0.3018245825</v>
      </c>
      <c r="AF93" s="128">
        <f t="shared" si="31"/>
        <v>0.2799532175</v>
      </c>
      <c r="AG93" s="128">
        <f t="shared" si="31"/>
        <v>0.2925369273</v>
      </c>
      <c r="AH93" s="128">
        <f t="shared" si="31"/>
        <v>0.316333487</v>
      </c>
      <c r="AI93" s="128">
        <f t="shared" si="31"/>
        <v>0.2065157051</v>
      </c>
      <c r="AJ93" s="128">
        <f t="shared" si="31"/>
        <v>0.2778703003</v>
      </c>
      <c r="AK93" s="128">
        <f t="shared" si="31"/>
        <v>0.2362716233</v>
      </c>
      <c r="AL93" s="128">
        <f t="shared" si="31"/>
        <v>0.2103075333</v>
      </c>
    </row>
    <row r="94">
      <c r="A94" s="291"/>
      <c r="B94" s="568"/>
      <c r="C94" s="568"/>
      <c r="D94" s="568"/>
      <c r="E94" s="568"/>
      <c r="F94" s="568"/>
      <c r="G94" s="151"/>
      <c r="H94" s="151"/>
      <c r="I94" s="151"/>
      <c r="J94" s="151"/>
      <c r="K94" s="151"/>
      <c r="L94" s="151"/>
      <c r="M94" s="151"/>
      <c r="N94" s="151"/>
      <c r="O94" s="151"/>
      <c r="P94" s="151"/>
      <c r="Q94" s="568"/>
      <c r="R94" s="568"/>
      <c r="S94" s="568"/>
      <c r="T94" s="151"/>
      <c r="U94" s="568"/>
      <c r="V94" s="568"/>
      <c r="W94" s="151"/>
      <c r="X94" s="151"/>
      <c r="Y94" s="568"/>
      <c r="Z94" s="568"/>
      <c r="AA94" s="151"/>
      <c r="AB94" s="151"/>
      <c r="AC94" s="151"/>
      <c r="AD94" s="151"/>
      <c r="AE94" s="151"/>
      <c r="AF94" s="151"/>
      <c r="AG94" s="151"/>
      <c r="AH94" s="151"/>
      <c r="AI94" s="568"/>
      <c r="AJ94" s="568"/>
      <c r="AK94" s="568"/>
      <c r="AL94" s="568"/>
    </row>
    <row r="95">
      <c r="A95" s="396" t="s">
        <v>707</v>
      </c>
      <c r="B95" s="472"/>
      <c r="C95" s="472"/>
      <c r="D95" s="472"/>
      <c r="E95" s="472"/>
      <c r="F95" s="472"/>
      <c r="G95" s="161"/>
      <c r="H95" s="161"/>
      <c r="I95" s="161"/>
      <c r="J95" s="161"/>
      <c r="K95" s="161"/>
      <c r="L95" s="161"/>
      <c r="M95" s="161"/>
      <c r="N95" s="161"/>
      <c r="O95" s="161"/>
      <c r="P95" s="161"/>
      <c r="Q95" s="472"/>
      <c r="R95" s="472"/>
      <c r="S95" s="472"/>
      <c r="T95" s="161"/>
      <c r="U95" s="472"/>
      <c r="V95" s="472"/>
      <c r="W95" s="161"/>
      <c r="X95" s="161"/>
      <c r="Y95" s="472"/>
      <c r="Z95" s="472"/>
      <c r="AA95" s="161"/>
      <c r="AB95" s="161"/>
      <c r="AC95" s="161"/>
      <c r="AD95" s="161"/>
      <c r="AE95" s="161"/>
      <c r="AF95" s="161"/>
      <c r="AG95" s="161"/>
      <c r="AH95" s="161"/>
      <c r="AI95" s="472"/>
      <c r="AJ95" s="472"/>
      <c r="AK95" s="472"/>
      <c r="AL95" s="472"/>
    </row>
    <row r="96">
      <c r="A96" s="398"/>
      <c r="B96" s="568"/>
      <c r="C96" s="568"/>
      <c r="D96" s="568"/>
      <c r="E96" s="568"/>
      <c r="F96" s="568"/>
      <c r="G96" s="151"/>
      <c r="H96" s="151"/>
      <c r="I96" s="151"/>
      <c r="J96" s="151"/>
      <c r="K96" s="151"/>
      <c r="L96" s="151"/>
      <c r="M96" s="151"/>
      <c r="N96" s="151"/>
      <c r="O96" s="151"/>
      <c r="P96" s="151"/>
      <c r="Q96" s="568"/>
      <c r="R96" s="568"/>
      <c r="S96" s="568"/>
      <c r="T96" s="151"/>
      <c r="U96" s="568"/>
      <c r="V96" s="568"/>
      <c r="W96" s="151"/>
      <c r="X96" s="151"/>
      <c r="Y96" s="568"/>
      <c r="Z96" s="568"/>
      <c r="AA96" s="151"/>
      <c r="AB96" s="151"/>
      <c r="AC96" s="151"/>
      <c r="AD96" s="151"/>
      <c r="AE96" s="151"/>
      <c r="AF96" s="151"/>
      <c r="AG96" s="151"/>
      <c r="AH96" s="151"/>
      <c r="AI96" s="568"/>
      <c r="AJ96" s="568"/>
      <c r="AK96" s="568"/>
      <c r="AL96" s="568"/>
    </row>
    <row r="97">
      <c r="A97" s="129" t="s">
        <v>708</v>
      </c>
      <c r="B97" s="605">
        <f t="shared" ref="B97:AL97" si="32">B85</f>
        <v>0.01779834829</v>
      </c>
      <c r="C97" s="605">
        <f t="shared" si="32"/>
        <v>0.02567537678</v>
      </c>
      <c r="D97" s="605">
        <f t="shared" si="32"/>
        <v>0.009810795684</v>
      </c>
      <c r="E97" s="605">
        <f t="shared" si="32"/>
        <v>0.01101379178</v>
      </c>
      <c r="F97" s="605">
        <f t="shared" si="32"/>
        <v>0.03218311921</v>
      </c>
      <c r="G97" s="605">
        <f t="shared" si="32"/>
        <v>0.01445115767</v>
      </c>
      <c r="H97" s="605">
        <f t="shared" si="32"/>
        <v>0.01292369209</v>
      </c>
      <c r="I97" s="605">
        <f t="shared" si="32"/>
        <v>0.01021665457</v>
      </c>
      <c r="J97" s="605">
        <f t="shared" si="32"/>
        <v>0.01097724976</v>
      </c>
      <c r="K97" s="605">
        <f t="shared" si="32"/>
        <v>0.0128543706</v>
      </c>
      <c r="L97" s="605">
        <f t="shared" si="32"/>
        <v>0.01691890854</v>
      </c>
      <c r="M97" s="605">
        <f t="shared" si="32"/>
        <v>0.01310696845</v>
      </c>
      <c r="N97" s="605">
        <f t="shared" si="32"/>
        <v>0.01201009878</v>
      </c>
      <c r="O97" s="605">
        <f t="shared" si="32"/>
        <v>0.007194722562</v>
      </c>
      <c r="P97" s="605">
        <f t="shared" si="32"/>
        <v>0.0124559042</v>
      </c>
      <c r="Q97" s="605">
        <f t="shared" si="32"/>
        <v>0.02430471674</v>
      </c>
      <c r="R97" s="605">
        <f t="shared" si="32"/>
        <v>0.008754300835</v>
      </c>
      <c r="S97" s="605">
        <f t="shared" si="32"/>
        <v>0.03823238286</v>
      </c>
      <c r="T97" s="605">
        <f t="shared" si="32"/>
        <v>0.02168513851</v>
      </c>
      <c r="U97" s="605">
        <f t="shared" si="32"/>
        <v>0.02227947462</v>
      </c>
      <c r="V97" s="605">
        <f t="shared" si="32"/>
        <v>0.02629338733</v>
      </c>
      <c r="W97" s="605">
        <f t="shared" si="32"/>
        <v>0.02701303583</v>
      </c>
      <c r="X97" s="605">
        <f t="shared" si="32"/>
        <v>0.01032735716</v>
      </c>
      <c r="Y97" s="605">
        <f t="shared" si="32"/>
        <v>0.006639709606</v>
      </c>
      <c r="Z97" s="605">
        <f t="shared" si="32"/>
        <v>0.006245848784</v>
      </c>
      <c r="AA97" s="605">
        <f t="shared" si="32"/>
        <v>0.01321243411</v>
      </c>
      <c r="AB97" s="605">
        <f t="shared" si="32"/>
        <v>0.01342181737</v>
      </c>
      <c r="AC97" s="605">
        <f t="shared" si="32"/>
        <v>0.007246719906</v>
      </c>
      <c r="AD97" s="605">
        <f t="shared" si="32"/>
        <v>0.009512132742</v>
      </c>
      <c r="AE97" s="605">
        <f t="shared" si="32"/>
        <v>0.005019524673</v>
      </c>
      <c r="AF97" s="605">
        <f t="shared" si="32"/>
        <v>0.005767153756</v>
      </c>
      <c r="AG97" s="605">
        <f t="shared" si="32"/>
        <v>0.01073253883</v>
      </c>
      <c r="AH97" s="605">
        <f t="shared" si="32"/>
        <v>0.01336373642</v>
      </c>
      <c r="AI97" s="605">
        <f t="shared" si="32"/>
        <v>0.03562807913</v>
      </c>
      <c r="AJ97" s="605">
        <f t="shared" si="32"/>
        <v>0.02455402529</v>
      </c>
      <c r="AK97" s="605">
        <f t="shared" si="32"/>
        <v>0.0181207408</v>
      </c>
      <c r="AL97" s="605">
        <f t="shared" si="32"/>
        <v>0.03941550147</v>
      </c>
    </row>
    <row r="98">
      <c r="A98" s="494" t="s">
        <v>665</v>
      </c>
      <c r="B98" s="606">
        <f t="shared" ref="B98:AL98" si="33">B45</f>
        <v>1</v>
      </c>
      <c r="C98" s="606">
        <f t="shared" si="33"/>
        <v>1</v>
      </c>
      <c r="D98" s="606">
        <f t="shared" si="33"/>
        <v>1</v>
      </c>
      <c r="E98" s="606">
        <f t="shared" si="33"/>
        <v>1</v>
      </c>
      <c r="F98" s="606">
        <f t="shared" si="33"/>
        <v>1</v>
      </c>
      <c r="G98" s="606">
        <f t="shared" si="33"/>
        <v>1</v>
      </c>
      <c r="H98" s="606">
        <f t="shared" si="33"/>
        <v>1</v>
      </c>
      <c r="I98" s="606">
        <f t="shared" si="33"/>
        <v>1</v>
      </c>
      <c r="J98" s="606">
        <f t="shared" si="33"/>
        <v>1</v>
      </c>
      <c r="K98" s="606">
        <f t="shared" si="33"/>
        <v>1</v>
      </c>
      <c r="L98" s="606">
        <f t="shared" si="33"/>
        <v>1</v>
      </c>
      <c r="M98" s="606">
        <f t="shared" si="33"/>
        <v>1</v>
      </c>
      <c r="N98" s="606">
        <f t="shared" si="33"/>
        <v>1</v>
      </c>
      <c r="O98" s="606">
        <f t="shared" si="33"/>
        <v>1</v>
      </c>
      <c r="P98" s="606">
        <f t="shared" si="33"/>
        <v>1</v>
      </c>
      <c r="Q98" s="606">
        <f t="shared" si="33"/>
        <v>1</v>
      </c>
      <c r="R98" s="606">
        <f t="shared" si="33"/>
        <v>1</v>
      </c>
      <c r="S98" s="606">
        <f t="shared" si="33"/>
        <v>1</v>
      </c>
      <c r="T98" s="606">
        <f t="shared" si="33"/>
        <v>1</v>
      </c>
      <c r="U98" s="606">
        <f t="shared" si="33"/>
        <v>1</v>
      </c>
      <c r="V98" s="606">
        <f t="shared" si="33"/>
        <v>1</v>
      </c>
      <c r="W98" s="606">
        <f t="shared" si="33"/>
        <v>1</v>
      </c>
      <c r="X98" s="606">
        <f t="shared" si="33"/>
        <v>1</v>
      </c>
      <c r="Y98" s="606">
        <f t="shared" si="33"/>
        <v>1</v>
      </c>
      <c r="Z98" s="606">
        <f t="shared" si="33"/>
        <v>1</v>
      </c>
      <c r="AA98" s="606">
        <f t="shared" si="33"/>
        <v>1</v>
      </c>
      <c r="AB98" s="606">
        <f t="shared" si="33"/>
        <v>1</v>
      </c>
      <c r="AC98" s="606">
        <f t="shared" si="33"/>
        <v>1</v>
      </c>
      <c r="AD98" s="606">
        <f t="shared" si="33"/>
        <v>1</v>
      </c>
      <c r="AE98" s="606">
        <f t="shared" si="33"/>
        <v>1</v>
      </c>
      <c r="AF98" s="606">
        <f t="shared" si="33"/>
        <v>1</v>
      </c>
      <c r="AG98" s="606">
        <f t="shared" si="33"/>
        <v>1</v>
      </c>
      <c r="AH98" s="606">
        <f t="shared" si="33"/>
        <v>1</v>
      </c>
      <c r="AI98" s="606">
        <f t="shared" si="33"/>
        <v>1</v>
      </c>
      <c r="AJ98" s="606">
        <f t="shared" si="33"/>
        <v>1</v>
      </c>
      <c r="AK98" s="606">
        <f t="shared" si="33"/>
        <v>1</v>
      </c>
      <c r="AL98" s="606">
        <f t="shared" si="33"/>
        <v>1</v>
      </c>
    </row>
    <row r="99">
      <c r="A99" s="400" t="s">
        <v>709</v>
      </c>
      <c r="B99" s="607">
        <f t="shared" ref="B99:AL99" si="34">B20*(1-B93)*B9*B97</f>
        <v>3.151986821</v>
      </c>
      <c r="C99" s="607">
        <f t="shared" si="34"/>
        <v>10.95948726</v>
      </c>
      <c r="D99" s="607">
        <f t="shared" si="34"/>
        <v>2.357008394</v>
      </c>
      <c r="E99" s="607">
        <f t="shared" si="34"/>
        <v>3.236809223</v>
      </c>
      <c r="F99" s="607">
        <f t="shared" si="34"/>
        <v>34.54363541</v>
      </c>
      <c r="G99" s="607">
        <f t="shared" si="34"/>
        <v>5.039835221</v>
      </c>
      <c r="H99" s="607">
        <f t="shared" si="34"/>
        <v>4.481318281</v>
      </c>
      <c r="I99" s="607">
        <f t="shared" si="34"/>
        <v>9.517532649</v>
      </c>
      <c r="J99" s="607">
        <f t="shared" si="34"/>
        <v>1.357642154</v>
      </c>
      <c r="K99" s="607">
        <f t="shared" si="34"/>
        <v>4.075371643</v>
      </c>
      <c r="L99" s="607">
        <f t="shared" si="34"/>
        <v>0.3726276056</v>
      </c>
      <c r="M99" s="607">
        <f t="shared" si="34"/>
        <v>2.040841845</v>
      </c>
      <c r="N99" s="607">
        <f t="shared" si="34"/>
        <v>0.988256374</v>
      </c>
      <c r="O99" s="607">
        <f t="shared" si="34"/>
        <v>0.3778421759</v>
      </c>
      <c r="P99" s="607">
        <f t="shared" si="34"/>
        <v>1.435679488</v>
      </c>
      <c r="Q99" s="607">
        <f t="shared" si="34"/>
        <v>17.26704899</v>
      </c>
      <c r="R99" s="607">
        <f t="shared" si="34"/>
        <v>0.9144215472</v>
      </c>
      <c r="S99" s="607">
        <f t="shared" si="34"/>
        <v>33.13741169</v>
      </c>
      <c r="T99" s="607">
        <f t="shared" si="34"/>
        <v>13.89947416</v>
      </c>
      <c r="U99" s="607">
        <f t="shared" si="34"/>
        <v>20.28115878</v>
      </c>
      <c r="V99" s="607">
        <f t="shared" si="34"/>
        <v>29.18597691</v>
      </c>
      <c r="W99" s="607">
        <f t="shared" si="34"/>
        <v>31.83027329</v>
      </c>
      <c r="X99" s="607">
        <f t="shared" si="34"/>
        <v>3.233919897</v>
      </c>
      <c r="Y99" s="607">
        <f t="shared" si="34"/>
        <v>3.828378339</v>
      </c>
      <c r="Z99" s="607">
        <f t="shared" si="34"/>
        <v>0.760602827</v>
      </c>
      <c r="AA99" s="607">
        <f t="shared" si="34"/>
        <v>6.56590631</v>
      </c>
      <c r="AB99" s="607">
        <f t="shared" si="34"/>
        <v>10.564429</v>
      </c>
      <c r="AC99" s="607">
        <f t="shared" si="34"/>
        <v>4.533464291</v>
      </c>
      <c r="AD99" s="607">
        <f t="shared" si="34"/>
        <v>4.287922357</v>
      </c>
      <c r="AE99" s="607">
        <f t="shared" si="34"/>
        <v>0.8538323229</v>
      </c>
      <c r="AF99" s="607">
        <f t="shared" si="34"/>
        <v>2.720144955</v>
      </c>
      <c r="AG99" s="607">
        <f t="shared" si="34"/>
        <v>3.576219579</v>
      </c>
      <c r="AH99" s="607">
        <f t="shared" si="34"/>
        <v>2.195314306</v>
      </c>
      <c r="AI99" s="607">
        <f t="shared" si="34"/>
        <v>74.24597539</v>
      </c>
      <c r="AJ99" s="607">
        <f t="shared" si="34"/>
        <v>12.79695438</v>
      </c>
      <c r="AK99" s="607">
        <f t="shared" si="34"/>
        <v>8.218620029</v>
      </c>
      <c r="AL99" s="607">
        <f t="shared" si="34"/>
        <v>47.07940505</v>
      </c>
    </row>
    <row r="100">
      <c r="A100" s="400" t="s">
        <v>57</v>
      </c>
      <c r="B100" s="608">
        <f t="array" ref="B100">index('Moral weights and discount rate'!$A$1:$V$39, match($A100, 'Moral weights and discount rate'!$A$1:$A$39,0), match('Moral weights and discount rate'!$A$17, 'Moral weights and discount rate'!$A$1:$X$1,0))</f>
        <v>116.2526158</v>
      </c>
      <c r="C100" s="608">
        <f t="array" ref="C100">index('Moral weights and discount rate'!$A$1:$V$39, match($A100, 'Moral weights and discount rate'!$A$1:$A$39,0), match('Moral weights and discount rate'!$A$17, 'Moral weights and discount rate'!$A$1:$X$1,0))</f>
        <v>116.2526158</v>
      </c>
      <c r="D100" s="608">
        <f t="array" ref="D100">index('Moral weights and discount rate'!$A$1:$V$39, match($A100, 'Moral weights and discount rate'!$A$1:$A$39,0), match('Moral weights and discount rate'!$A$17, 'Moral weights and discount rate'!$A$1:$X$1,0))</f>
        <v>116.2526158</v>
      </c>
      <c r="E100" s="608">
        <f t="array" ref="E100">index('Moral weights and discount rate'!$A$1:$V$39, match($A100, 'Moral weights and discount rate'!$A$1:$A$39,0), match('Moral weights and discount rate'!$A$17, 'Moral weights and discount rate'!$A$1:$X$1,0))</f>
        <v>116.2526158</v>
      </c>
      <c r="F100" s="608">
        <f t="array" ref="F100">index('Moral weights and discount rate'!$A$1:$V$39, match($A100, 'Moral weights and discount rate'!$A$1:$A$39,0), match('Moral weights and discount rate'!$A$17, 'Moral weights and discount rate'!$A$1:$X$1,0))</f>
        <v>116.2526158</v>
      </c>
      <c r="G100" s="608">
        <f t="array" ref="G100">index('Moral weights and discount rate'!$A$1:$V$39, match($A100, 'Moral weights and discount rate'!$A$1:$A$39,0), match('Moral weights and discount rate'!$A$17, 'Moral weights and discount rate'!$A$1:$X$1,0))</f>
        <v>116.2526158</v>
      </c>
      <c r="H100" s="608">
        <f t="array" ref="H100">index('Moral weights and discount rate'!$A$1:$V$39, match($A100, 'Moral weights and discount rate'!$A$1:$A$39,0), match('Moral weights and discount rate'!$A$17, 'Moral weights and discount rate'!$A$1:$X$1,0))</f>
        <v>116.2526158</v>
      </c>
      <c r="I100" s="608">
        <f t="array" ref="I100">index('Moral weights and discount rate'!$A$1:$V$39, match($A100, 'Moral weights and discount rate'!$A$1:$A$39,0), match('Moral weights and discount rate'!$A$17, 'Moral weights and discount rate'!$A$1:$X$1,0))</f>
        <v>116.2526158</v>
      </c>
      <c r="J100" s="608">
        <f t="array" ref="J100">index('Moral weights and discount rate'!$A$1:$V$39, match($A100, 'Moral weights and discount rate'!$A$1:$A$39,0), match('Moral weights and discount rate'!$A$17, 'Moral weights and discount rate'!$A$1:$X$1,0))</f>
        <v>116.2526158</v>
      </c>
      <c r="K100" s="608">
        <f t="array" ref="K100">index('Moral weights and discount rate'!$A$1:$V$39, match($A100, 'Moral weights and discount rate'!$A$1:$A$39,0), match('Moral weights and discount rate'!$A$17, 'Moral weights and discount rate'!$A$1:$X$1,0))</f>
        <v>116.2526158</v>
      </c>
      <c r="L100" s="608">
        <f t="array" ref="L100">index('Moral weights and discount rate'!$A$1:$V$39, match($A100, 'Moral weights and discount rate'!$A$1:$A$39,0), match('Moral weights and discount rate'!$A$17, 'Moral weights and discount rate'!$A$1:$X$1,0))</f>
        <v>116.2526158</v>
      </c>
      <c r="M100" s="608">
        <f t="array" ref="M100">index('Moral weights and discount rate'!$A$1:$V$39, match($A100, 'Moral weights and discount rate'!$A$1:$A$39,0), match('Moral weights and discount rate'!$A$17, 'Moral weights and discount rate'!$A$1:$X$1,0))</f>
        <v>116.2526158</v>
      </c>
      <c r="N100" s="608">
        <f t="array" ref="N100">index('Moral weights and discount rate'!$A$1:$V$39, match($A100, 'Moral weights and discount rate'!$A$1:$A$39,0), match('Moral weights and discount rate'!$A$17, 'Moral weights and discount rate'!$A$1:$X$1,0))</f>
        <v>116.2526158</v>
      </c>
      <c r="O100" s="608">
        <f t="array" ref="O100">index('Moral weights and discount rate'!$A$1:$V$39, match($A100, 'Moral weights and discount rate'!$A$1:$A$39,0), match('Moral weights and discount rate'!$A$17, 'Moral weights and discount rate'!$A$1:$X$1,0))</f>
        <v>116.2526158</v>
      </c>
      <c r="P100" s="608">
        <f t="array" ref="P100">index('Moral weights and discount rate'!$A$1:$V$39, match($A100, 'Moral weights and discount rate'!$A$1:$A$39,0), match('Moral weights and discount rate'!$A$17, 'Moral weights and discount rate'!$A$1:$X$1,0))</f>
        <v>116.2526158</v>
      </c>
      <c r="Q100" s="608">
        <f t="array" ref="Q100">index('Moral weights and discount rate'!$A$1:$V$39, match($A100, 'Moral weights and discount rate'!$A$1:$A$39,0), match('Moral weights and discount rate'!$A$17, 'Moral weights and discount rate'!$A$1:$X$1,0))</f>
        <v>116.2526158</v>
      </c>
      <c r="R100" s="608">
        <f t="array" ref="R100">index('Moral weights and discount rate'!$A$1:$V$39, match($A100, 'Moral weights and discount rate'!$A$1:$A$39,0), match('Moral weights and discount rate'!$A$17, 'Moral weights and discount rate'!$A$1:$X$1,0))</f>
        <v>116.2526158</v>
      </c>
      <c r="S100" s="608">
        <f t="array" ref="S100">index('Moral weights and discount rate'!$A$1:$V$39, match($A100, 'Moral weights and discount rate'!$A$1:$A$39,0), match('Moral weights and discount rate'!$A$17, 'Moral weights and discount rate'!$A$1:$X$1,0))</f>
        <v>116.2526158</v>
      </c>
      <c r="T100" s="608">
        <f t="array" ref="T100">index('Moral weights and discount rate'!$A$1:$V$39, match($A100, 'Moral weights and discount rate'!$A$1:$A$39,0), match('Moral weights and discount rate'!$A$17, 'Moral weights and discount rate'!$A$1:$X$1,0))</f>
        <v>116.2526158</v>
      </c>
      <c r="U100" s="608">
        <f t="array" ref="U100">index('Moral weights and discount rate'!$A$1:$V$39, match($A100, 'Moral weights and discount rate'!$A$1:$A$39,0), match('Moral weights and discount rate'!$A$17, 'Moral weights and discount rate'!$A$1:$X$1,0))</f>
        <v>116.2526158</v>
      </c>
      <c r="V100" s="608">
        <f t="array" ref="V100">index('Moral weights and discount rate'!$A$1:$V$39, match($A100, 'Moral weights and discount rate'!$A$1:$A$39,0), match('Moral weights and discount rate'!$A$17, 'Moral weights and discount rate'!$A$1:$X$1,0))</f>
        <v>116.2526158</v>
      </c>
      <c r="W100" s="608">
        <f t="array" ref="W100">index('Moral weights and discount rate'!$A$1:$V$39, match($A100, 'Moral weights and discount rate'!$A$1:$A$39,0), match('Moral weights and discount rate'!$A$17, 'Moral weights and discount rate'!$A$1:$X$1,0))</f>
        <v>116.2526158</v>
      </c>
      <c r="X100" s="608">
        <f t="array" ref="X100">index('Moral weights and discount rate'!$A$1:$V$39, match($A100, 'Moral weights and discount rate'!$A$1:$A$39,0), match('Moral weights and discount rate'!$A$17, 'Moral weights and discount rate'!$A$1:$X$1,0))</f>
        <v>116.2526158</v>
      </c>
      <c r="Y100" s="608">
        <f t="array" ref="Y100">index('Moral weights and discount rate'!$A$1:$V$39, match($A100, 'Moral weights and discount rate'!$A$1:$A$39,0), match('Moral weights and discount rate'!$A$17, 'Moral weights and discount rate'!$A$1:$X$1,0))</f>
        <v>116.2526158</v>
      </c>
      <c r="Z100" s="608">
        <f t="array" ref="Z100">index('Moral weights and discount rate'!$A$1:$V$39, match($A100, 'Moral weights and discount rate'!$A$1:$A$39,0), match('Moral weights and discount rate'!$A$17, 'Moral weights and discount rate'!$A$1:$X$1,0))</f>
        <v>116.2526158</v>
      </c>
      <c r="AA100" s="608">
        <f t="array" ref="AA100">index('Moral weights and discount rate'!$A$1:$V$39, match($A100, 'Moral weights and discount rate'!$A$1:$A$39,0), match('Moral weights and discount rate'!$A$17, 'Moral weights and discount rate'!$A$1:$X$1,0))</f>
        <v>116.2526158</v>
      </c>
      <c r="AB100" s="608">
        <f t="array" ref="AB100">index('Moral weights and discount rate'!$A$1:$V$39, match($A100, 'Moral weights and discount rate'!$A$1:$A$39,0), match('Moral weights and discount rate'!$A$17, 'Moral weights and discount rate'!$A$1:$X$1,0))</f>
        <v>116.2526158</v>
      </c>
      <c r="AC100" s="608">
        <f t="array" ref="AC100">index('Moral weights and discount rate'!$A$1:$V$39, match($A100, 'Moral weights and discount rate'!$A$1:$A$39,0), match('Moral weights and discount rate'!$A$17, 'Moral weights and discount rate'!$A$1:$X$1,0))</f>
        <v>116.2526158</v>
      </c>
      <c r="AD100" s="608">
        <f t="array" ref="AD100">index('Moral weights and discount rate'!$A$1:$V$39, match($A100, 'Moral weights and discount rate'!$A$1:$A$39,0), match('Moral weights and discount rate'!$A$17, 'Moral weights and discount rate'!$A$1:$X$1,0))</f>
        <v>116.2526158</v>
      </c>
      <c r="AE100" s="608">
        <f t="array" ref="AE100">index('Moral weights and discount rate'!$A$1:$V$39, match($A100, 'Moral weights and discount rate'!$A$1:$A$39,0), match('Moral weights and discount rate'!$A$17, 'Moral weights and discount rate'!$A$1:$X$1,0))</f>
        <v>116.2526158</v>
      </c>
      <c r="AF100" s="608">
        <f t="array" ref="AF100">index('Moral weights and discount rate'!$A$1:$V$39, match($A100, 'Moral weights and discount rate'!$A$1:$A$39,0), match('Moral weights and discount rate'!$A$17, 'Moral weights and discount rate'!$A$1:$X$1,0))</f>
        <v>116.2526158</v>
      </c>
      <c r="AG100" s="608">
        <f t="array" ref="AG100">index('Moral weights and discount rate'!$A$1:$V$39, match($A100, 'Moral weights and discount rate'!$A$1:$A$39,0), match('Moral weights and discount rate'!$A$17, 'Moral weights and discount rate'!$A$1:$X$1,0))</f>
        <v>116.2526158</v>
      </c>
      <c r="AH100" s="608">
        <f t="array" ref="AH100">index('Moral weights and discount rate'!$A$1:$V$39, match($A100, 'Moral weights and discount rate'!$A$1:$A$39,0), match('Moral weights and discount rate'!$A$17, 'Moral weights and discount rate'!$A$1:$X$1,0))</f>
        <v>116.2526158</v>
      </c>
      <c r="AI100" s="608">
        <f t="array" ref="AI100">index('Moral weights and discount rate'!$A$1:$V$39, match($A100, 'Moral weights and discount rate'!$A$1:$A$39,0), match('Moral weights and discount rate'!$A$17, 'Moral weights and discount rate'!$A$1:$X$1,0))</f>
        <v>116.2526158</v>
      </c>
      <c r="AJ100" s="608">
        <f t="array" ref="AJ100">index('Moral weights and discount rate'!$A$1:$V$39, match($A100, 'Moral weights and discount rate'!$A$1:$A$39,0), match('Moral weights and discount rate'!$A$17, 'Moral weights and discount rate'!$A$1:$X$1,0))</f>
        <v>116.2526158</v>
      </c>
      <c r="AK100" s="608">
        <f t="array" ref="AK100">index('Moral weights and discount rate'!$A$1:$V$39, match($A100, 'Moral weights and discount rate'!$A$1:$A$39,0), match('Moral weights and discount rate'!$A$17, 'Moral weights and discount rate'!$A$1:$X$1,0))</f>
        <v>116.2526158</v>
      </c>
      <c r="AL100" s="608">
        <f t="array" ref="AL100">index('Moral weights and discount rate'!$A$1:$V$39, match($A100, 'Moral weights and discount rate'!$A$1:$A$39,0), match('Moral weights and discount rate'!$A$17, 'Moral weights and discount rate'!$A$1:$X$1,0))</f>
        <v>116.2526158</v>
      </c>
    </row>
    <row r="101">
      <c r="A101" s="400" t="s">
        <v>710</v>
      </c>
      <c r="B101" s="576">
        <f t="shared" ref="B101:AL101" si="35">B99*B100</f>
        <v>366.4267128</v>
      </c>
      <c r="C101" s="576">
        <f t="shared" si="35"/>
        <v>1274.069061</v>
      </c>
      <c r="D101" s="576">
        <f t="shared" si="35"/>
        <v>274.0083912</v>
      </c>
      <c r="E101" s="576">
        <f t="shared" si="35"/>
        <v>376.287539</v>
      </c>
      <c r="F101" s="576">
        <f t="shared" si="35"/>
        <v>4015.787976</v>
      </c>
      <c r="G101" s="576">
        <f t="shared" si="35"/>
        <v>585.8940275</v>
      </c>
      <c r="H101" s="576">
        <f t="shared" si="35"/>
        <v>520.9649723</v>
      </c>
      <c r="I101" s="576">
        <f t="shared" si="35"/>
        <v>1106.438066</v>
      </c>
      <c r="J101" s="576">
        <f t="shared" si="35"/>
        <v>157.8294517</v>
      </c>
      <c r="K101" s="576">
        <f t="shared" si="35"/>
        <v>473.7726138</v>
      </c>
      <c r="L101" s="576">
        <f t="shared" si="35"/>
        <v>43.31893387</v>
      </c>
      <c r="M101" s="576">
        <f t="shared" si="35"/>
        <v>237.2532029</v>
      </c>
      <c r="N101" s="576">
        <f t="shared" si="35"/>
        <v>114.8873885</v>
      </c>
      <c r="O101" s="576">
        <f t="shared" si="35"/>
        <v>43.92514131</v>
      </c>
      <c r="P101" s="576">
        <f t="shared" si="35"/>
        <v>166.9014959</v>
      </c>
      <c r="Q101" s="576">
        <f t="shared" si="35"/>
        <v>2007.339612</v>
      </c>
      <c r="R101" s="576">
        <f t="shared" si="35"/>
        <v>106.3038968</v>
      </c>
      <c r="S101" s="576">
        <f t="shared" si="35"/>
        <v>3852.31079</v>
      </c>
      <c r="T101" s="576">
        <f t="shared" si="35"/>
        <v>1615.850229</v>
      </c>
      <c r="U101" s="576">
        <f t="shared" si="35"/>
        <v>2357.737759</v>
      </c>
      <c r="V101" s="576">
        <f t="shared" si="35"/>
        <v>3392.94616</v>
      </c>
      <c r="W101" s="576">
        <f t="shared" si="35"/>
        <v>3700.352532</v>
      </c>
      <c r="X101" s="576">
        <f t="shared" si="35"/>
        <v>375.9516472</v>
      </c>
      <c r="Y101" s="576">
        <f t="shared" si="35"/>
        <v>445.0589961</v>
      </c>
      <c r="Z101" s="576">
        <f t="shared" si="35"/>
        <v>88.42206822</v>
      </c>
      <c r="AA101" s="576">
        <f t="shared" si="35"/>
        <v>763.3037836</v>
      </c>
      <c r="AB101" s="576">
        <f t="shared" si="35"/>
        <v>1228.142505</v>
      </c>
      <c r="AC101" s="576">
        <f t="shared" si="35"/>
        <v>527.0270824</v>
      </c>
      <c r="AD101" s="576">
        <f t="shared" si="35"/>
        <v>498.4821903</v>
      </c>
      <c r="AE101" s="576">
        <f t="shared" si="35"/>
        <v>99.26024098</v>
      </c>
      <c r="AF101" s="576">
        <f t="shared" si="35"/>
        <v>316.2239663</v>
      </c>
      <c r="AG101" s="576">
        <f t="shared" si="35"/>
        <v>415.7448807</v>
      </c>
      <c r="AH101" s="576">
        <f t="shared" si="35"/>
        <v>255.2110306</v>
      </c>
      <c r="AI101" s="576">
        <f t="shared" si="35"/>
        <v>8631.288851</v>
      </c>
      <c r="AJ101" s="576">
        <f t="shared" si="35"/>
        <v>1487.679421</v>
      </c>
      <c r="AK101" s="576">
        <f t="shared" si="35"/>
        <v>955.4360765</v>
      </c>
      <c r="AL101" s="576">
        <f t="shared" si="35"/>
        <v>5473.103987</v>
      </c>
    </row>
    <row r="102">
      <c r="A102" s="398"/>
      <c r="B102" s="568"/>
      <c r="C102" s="568"/>
      <c r="D102" s="568"/>
      <c r="E102" s="568"/>
      <c r="F102" s="568"/>
      <c r="G102" s="151"/>
      <c r="H102" s="151"/>
      <c r="I102" s="151"/>
      <c r="J102" s="151"/>
      <c r="K102" s="151"/>
      <c r="L102" s="151"/>
      <c r="M102" s="151"/>
      <c r="N102" s="151"/>
      <c r="O102" s="151"/>
      <c r="P102" s="151"/>
      <c r="Q102" s="568"/>
      <c r="R102" s="568"/>
      <c r="S102" s="568"/>
      <c r="T102" s="151"/>
      <c r="U102" s="568"/>
      <c r="V102" s="568"/>
      <c r="W102" s="151"/>
      <c r="X102" s="151"/>
      <c r="Y102" s="568"/>
      <c r="Z102" s="568"/>
      <c r="AA102" s="151"/>
      <c r="AB102" s="151"/>
      <c r="AC102" s="151"/>
      <c r="AD102" s="151"/>
      <c r="AE102" s="151"/>
      <c r="AF102" s="151"/>
      <c r="AG102" s="151"/>
      <c r="AH102" s="151"/>
      <c r="AI102" s="568"/>
      <c r="AJ102" s="568"/>
      <c r="AK102" s="568"/>
      <c r="AL102" s="568"/>
    </row>
    <row r="103">
      <c r="A103" s="396" t="s">
        <v>711</v>
      </c>
      <c r="B103" s="472"/>
      <c r="C103" s="472"/>
      <c r="D103" s="472"/>
      <c r="E103" s="472"/>
      <c r="F103" s="472"/>
      <c r="G103" s="161"/>
      <c r="H103" s="161"/>
      <c r="I103" s="161"/>
      <c r="J103" s="161"/>
      <c r="K103" s="161"/>
      <c r="L103" s="161"/>
      <c r="M103" s="161"/>
      <c r="N103" s="161"/>
      <c r="O103" s="161"/>
      <c r="P103" s="161"/>
      <c r="Q103" s="472"/>
      <c r="R103" s="472"/>
      <c r="S103" s="472"/>
      <c r="T103" s="161"/>
      <c r="U103" s="472"/>
      <c r="V103" s="472"/>
      <c r="W103" s="161"/>
      <c r="X103" s="161"/>
      <c r="Y103" s="472"/>
      <c r="Z103" s="472"/>
      <c r="AA103" s="161"/>
      <c r="AB103" s="161"/>
      <c r="AC103" s="161"/>
      <c r="AD103" s="161"/>
      <c r="AE103" s="161"/>
      <c r="AF103" s="161"/>
      <c r="AG103" s="161"/>
      <c r="AH103" s="161"/>
      <c r="AI103" s="472"/>
      <c r="AJ103" s="472"/>
      <c r="AK103" s="472"/>
      <c r="AL103" s="472"/>
    </row>
    <row r="104">
      <c r="A104" s="291"/>
      <c r="B104" s="568"/>
      <c r="C104" s="568"/>
      <c r="D104" s="568"/>
      <c r="E104" s="568"/>
      <c r="F104" s="568"/>
      <c r="G104" s="151"/>
      <c r="H104" s="151"/>
      <c r="I104" s="151"/>
      <c r="J104" s="151"/>
      <c r="K104" s="151"/>
      <c r="L104" s="151"/>
      <c r="M104" s="151"/>
      <c r="N104" s="151"/>
      <c r="O104" s="151"/>
      <c r="P104" s="151"/>
      <c r="Q104" s="568"/>
      <c r="R104" s="568"/>
      <c r="S104" s="568"/>
      <c r="T104" s="151"/>
      <c r="U104" s="568"/>
      <c r="V104" s="568"/>
      <c r="W104" s="151"/>
      <c r="X104" s="151"/>
      <c r="Y104" s="568"/>
      <c r="Z104" s="568"/>
      <c r="AA104" s="151"/>
      <c r="AB104" s="151"/>
      <c r="AC104" s="151"/>
      <c r="AD104" s="151"/>
      <c r="AE104" s="151"/>
      <c r="AF104" s="151"/>
      <c r="AG104" s="151"/>
      <c r="AH104" s="151"/>
      <c r="AI104" s="568"/>
      <c r="AJ104" s="568"/>
      <c r="AK104" s="568"/>
      <c r="AL104" s="568"/>
    </row>
    <row r="105">
      <c r="A105" s="400" t="s">
        <v>712</v>
      </c>
      <c r="B105" s="609">
        <v>0.005</v>
      </c>
      <c r="C105" s="609">
        <v>0.005</v>
      </c>
      <c r="D105" s="609">
        <v>0.005</v>
      </c>
      <c r="E105" s="609">
        <v>0.005</v>
      </c>
      <c r="F105" s="609">
        <v>0.005</v>
      </c>
      <c r="G105" s="609">
        <v>0.005</v>
      </c>
      <c r="H105" s="609">
        <v>0.005</v>
      </c>
      <c r="I105" s="609">
        <v>0.005</v>
      </c>
      <c r="J105" s="609">
        <v>0.005</v>
      </c>
      <c r="K105" s="609">
        <v>0.005</v>
      </c>
      <c r="L105" s="609">
        <v>0.005</v>
      </c>
      <c r="M105" s="609">
        <v>0.005</v>
      </c>
      <c r="N105" s="609">
        <v>0.005</v>
      </c>
      <c r="O105" s="609">
        <v>0.005</v>
      </c>
      <c r="P105" s="609">
        <v>0.005</v>
      </c>
      <c r="Q105" s="609">
        <v>0.005</v>
      </c>
      <c r="R105" s="609">
        <v>0.005</v>
      </c>
      <c r="S105" s="609">
        <v>0.005</v>
      </c>
      <c r="T105" s="609">
        <v>0.005</v>
      </c>
      <c r="U105" s="609">
        <v>0.005</v>
      </c>
      <c r="V105" s="609">
        <v>0.005</v>
      </c>
      <c r="W105" s="609">
        <v>0.005</v>
      </c>
      <c r="X105" s="609">
        <v>0.005</v>
      </c>
      <c r="Y105" s="609">
        <v>0.005</v>
      </c>
      <c r="Z105" s="609">
        <v>0.005</v>
      </c>
      <c r="AA105" s="609">
        <v>0.005</v>
      </c>
      <c r="AB105" s="609">
        <v>0.005</v>
      </c>
      <c r="AC105" s="609">
        <v>0.005</v>
      </c>
      <c r="AD105" s="609">
        <v>0.005</v>
      </c>
      <c r="AE105" s="609">
        <v>0.005</v>
      </c>
      <c r="AF105" s="609">
        <v>0.005</v>
      </c>
      <c r="AG105" s="609">
        <v>0.005</v>
      </c>
      <c r="AH105" s="609">
        <v>0.005</v>
      </c>
      <c r="AI105" s="609">
        <v>0.005</v>
      </c>
      <c r="AJ105" s="609">
        <v>0.005</v>
      </c>
      <c r="AK105" s="609">
        <v>0.005</v>
      </c>
      <c r="AL105" s="609">
        <v>0.005</v>
      </c>
    </row>
    <row r="106">
      <c r="A106" s="291"/>
      <c r="B106" s="568"/>
      <c r="C106" s="568"/>
      <c r="D106" s="568"/>
      <c r="E106" s="568"/>
      <c r="F106" s="568"/>
      <c r="G106" s="151"/>
      <c r="H106" s="151"/>
      <c r="I106" s="151"/>
      <c r="J106" s="151"/>
      <c r="K106" s="151"/>
      <c r="L106" s="151"/>
      <c r="M106" s="151"/>
      <c r="N106" s="151"/>
      <c r="O106" s="151"/>
      <c r="P106" s="151"/>
      <c r="Q106" s="568"/>
      <c r="R106" s="568"/>
      <c r="S106" s="568"/>
      <c r="T106" s="151"/>
      <c r="U106" s="568"/>
      <c r="V106" s="568"/>
      <c r="W106" s="151"/>
      <c r="X106" s="151"/>
      <c r="Y106" s="568"/>
      <c r="Z106" s="568"/>
      <c r="AA106" s="151"/>
      <c r="AB106" s="151"/>
      <c r="AC106" s="151"/>
      <c r="AD106" s="151"/>
      <c r="AE106" s="151"/>
      <c r="AF106" s="151"/>
      <c r="AG106" s="151"/>
      <c r="AH106" s="151"/>
      <c r="AI106" s="568"/>
      <c r="AJ106" s="568"/>
      <c r="AK106" s="568"/>
      <c r="AL106" s="568"/>
    </row>
    <row r="107">
      <c r="A107" s="446" t="s">
        <v>713</v>
      </c>
      <c r="B107" s="568"/>
      <c r="C107" s="568"/>
      <c r="D107" s="568"/>
      <c r="E107" s="568"/>
      <c r="F107" s="568"/>
      <c r="G107" s="151"/>
      <c r="H107" s="151"/>
      <c r="I107" s="151"/>
      <c r="J107" s="151"/>
      <c r="K107" s="151"/>
      <c r="L107" s="151"/>
      <c r="M107" s="151"/>
      <c r="N107" s="151"/>
      <c r="O107" s="151"/>
      <c r="P107" s="151"/>
      <c r="Q107" s="568"/>
      <c r="R107" s="568"/>
      <c r="S107" s="568"/>
      <c r="T107" s="151"/>
      <c r="U107" s="568"/>
      <c r="V107" s="568"/>
      <c r="W107" s="151"/>
      <c r="X107" s="151"/>
      <c r="Y107" s="568"/>
      <c r="Z107" s="568"/>
      <c r="AA107" s="151"/>
      <c r="AB107" s="151"/>
      <c r="AC107" s="151"/>
      <c r="AD107" s="151"/>
      <c r="AE107" s="151"/>
      <c r="AF107" s="151"/>
      <c r="AG107" s="151"/>
      <c r="AH107" s="151"/>
      <c r="AI107" s="568"/>
      <c r="AJ107" s="568"/>
      <c r="AK107" s="568"/>
      <c r="AL107" s="568"/>
    </row>
    <row r="108">
      <c r="A108" s="610" t="s">
        <v>714</v>
      </c>
      <c r="B108" s="611">
        <v>7.263E-4</v>
      </c>
      <c r="C108" s="611">
        <v>0.0016676</v>
      </c>
      <c r="D108" s="611">
        <v>5.57E-4</v>
      </c>
      <c r="E108" s="611">
        <v>6.196E-4</v>
      </c>
      <c r="F108" s="611">
        <v>0.0027509</v>
      </c>
      <c r="G108" s="611">
        <v>8.192E-4</v>
      </c>
      <c r="H108" s="611">
        <v>0.0012275</v>
      </c>
      <c r="I108" s="611">
        <v>0.0011952</v>
      </c>
      <c r="J108" s="611">
        <v>7.676E-4</v>
      </c>
      <c r="K108" s="611">
        <v>7.304E-4</v>
      </c>
      <c r="L108" s="611">
        <v>0.0010009</v>
      </c>
      <c r="M108" s="611">
        <v>5.351E-4</v>
      </c>
      <c r="N108" s="611">
        <v>5.106E-4</v>
      </c>
      <c r="O108" s="611">
        <v>5.142E-4</v>
      </c>
      <c r="P108" s="611">
        <v>6.98E-4</v>
      </c>
      <c r="Q108" s="611">
        <v>0.0019703</v>
      </c>
      <c r="R108" s="611">
        <v>5.072E-4</v>
      </c>
      <c r="S108" s="611">
        <v>0.0028656</v>
      </c>
      <c r="T108" s="611">
        <v>0.0012973</v>
      </c>
      <c r="U108" s="611">
        <v>0.0019842</v>
      </c>
      <c r="V108" s="611">
        <v>0.0022671</v>
      </c>
      <c r="W108" s="611">
        <v>0.0024233</v>
      </c>
      <c r="X108" s="611">
        <v>7.085E-4</v>
      </c>
      <c r="Y108" s="611">
        <v>5.443E-4</v>
      </c>
      <c r="Z108" s="611">
        <v>4.379E-4</v>
      </c>
      <c r="AA108" s="611">
        <v>0.0010372</v>
      </c>
      <c r="AB108" s="611">
        <v>0.0014043</v>
      </c>
      <c r="AC108" s="611">
        <v>6.806E-4</v>
      </c>
      <c r="AD108" s="611">
        <v>6.68E-4</v>
      </c>
      <c r="AE108" s="611">
        <v>3.567E-4</v>
      </c>
      <c r="AF108" s="611">
        <v>4.104E-4</v>
      </c>
      <c r="AG108" s="611">
        <v>9.334E-4</v>
      </c>
      <c r="AH108" s="611">
        <v>6.243E-4</v>
      </c>
      <c r="AI108" s="611">
        <v>0.0033631</v>
      </c>
      <c r="AJ108" s="611">
        <v>0.001822</v>
      </c>
      <c r="AK108" s="611">
        <v>0.0020367</v>
      </c>
      <c r="AL108" s="611">
        <v>0.0035624</v>
      </c>
    </row>
    <row r="109">
      <c r="A109" s="610" t="s">
        <v>715</v>
      </c>
      <c r="B109" s="611">
        <v>0.62634</v>
      </c>
      <c r="C109" s="611">
        <v>0.6611</v>
      </c>
      <c r="D109" s="611">
        <v>0.65994</v>
      </c>
      <c r="E109" s="611">
        <v>0.66744</v>
      </c>
      <c r="F109" s="611">
        <v>0.7003</v>
      </c>
      <c r="G109" s="611">
        <v>0.64732</v>
      </c>
      <c r="H109" s="611">
        <v>0.64574</v>
      </c>
      <c r="I109" s="611">
        <v>0.67435</v>
      </c>
      <c r="J109" s="611">
        <v>0.64174</v>
      </c>
      <c r="K109" s="611">
        <v>0.66144</v>
      </c>
      <c r="L109" s="611">
        <v>0.65421</v>
      </c>
      <c r="M109" s="611">
        <v>0.6565</v>
      </c>
      <c r="N109" s="611">
        <v>0.65044</v>
      </c>
      <c r="O109" s="611">
        <v>0.64869</v>
      </c>
      <c r="P109" s="611">
        <v>0.65373</v>
      </c>
      <c r="Q109" s="611">
        <v>0.69052</v>
      </c>
      <c r="R109" s="611">
        <v>0.64881</v>
      </c>
      <c r="S109" s="611">
        <v>0.71353</v>
      </c>
      <c r="T109" s="611">
        <v>0.69418</v>
      </c>
      <c r="U109" s="611">
        <v>0.68045</v>
      </c>
      <c r="V109" s="611">
        <v>0.70818</v>
      </c>
      <c r="W109" s="611">
        <v>0.7153</v>
      </c>
      <c r="X109" s="611">
        <v>0.70222</v>
      </c>
      <c r="Y109" s="611">
        <v>0.66762</v>
      </c>
      <c r="Z109" s="611">
        <v>0.64544</v>
      </c>
      <c r="AA109" s="611">
        <v>0.66812</v>
      </c>
      <c r="AB109" s="611">
        <v>0.68492</v>
      </c>
      <c r="AC109" s="611">
        <v>0.66549</v>
      </c>
      <c r="AD109" s="611">
        <v>0.65043</v>
      </c>
      <c r="AE109" s="611">
        <v>0.65271</v>
      </c>
      <c r="AF109" s="611">
        <v>0.66574</v>
      </c>
      <c r="AG109" s="611">
        <v>0.65298</v>
      </c>
      <c r="AH109" s="611">
        <v>0.65216</v>
      </c>
      <c r="AI109" s="611">
        <v>0.7164</v>
      </c>
      <c r="AJ109" s="611">
        <v>0.66904</v>
      </c>
      <c r="AK109" s="611">
        <v>0.70159</v>
      </c>
      <c r="AL109" s="611">
        <v>0.72156</v>
      </c>
    </row>
    <row r="110">
      <c r="A110" s="225" t="s">
        <v>706</v>
      </c>
      <c r="B110" s="612">
        <f t="shared" ref="B110:AL110" si="36">1-(B109*(B75*B91/B49))</f>
        <v>0.306751063</v>
      </c>
      <c r="C110" s="612">
        <f t="shared" si="36"/>
        <v>0.2531361135</v>
      </c>
      <c r="D110" s="612">
        <f t="shared" si="36"/>
        <v>0.282930131</v>
      </c>
      <c r="E110" s="612">
        <f t="shared" si="36"/>
        <v>0.2841957609</v>
      </c>
      <c r="F110" s="612">
        <f t="shared" si="36"/>
        <v>0.1681729349</v>
      </c>
      <c r="G110" s="612">
        <f t="shared" si="36"/>
        <v>0.2662957496</v>
      </c>
      <c r="H110" s="612">
        <f t="shared" si="36"/>
        <v>0.2715401679</v>
      </c>
      <c r="I110" s="612">
        <f t="shared" si="36"/>
        <v>0.2283666731</v>
      </c>
      <c r="J110" s="612">
        <f t="shared" si="36"/>
        <v>0.3190019099</v>
      </c>
      <c r="K110" s="612">
        <f t="shared" si="36"/>
        <v>0.2701075181</v>
      </c>
      <c r="L110" s="612">
        <f t="shared" si="36"/>
        <v>0.3009557666</v>
      </c>
      <c r="M110" s="612">
        <f t="shared" si="36"/>
        <v>0.310001496</v>
      </c>
      <c r="N110" s="612">
        <f t="shared" si="36"/>
        <v>0.3100008203</v>
      </c>
      <c r="O110" s="612">
        <f t="shared" si="36"/>
        <v>0.3192307868</v>
      </c>
      <c r="P110" s="612">
        <f t="shared" si="36"/>
        <v>0.299079995</v>
      </c>
      <c r="Q110" s="612">
        <f t="shared" si="36"/>
        <v>0.1941453876</v>
      </c>
      <c r="R110" s="612">
        <f t="shared" si="36"/>
        <v>0.311194868</v>
      </c>
      <c r="S110" s="612">
        <f t="shared" si="36"/>
        <v>0.1568101527</v>
      </c>
      <c r="T110" s="612">
        <f t="shared" si="36"/>
        <v>0.2079506038</v>
      </c>
      <c r="U110" s="612">
        <f t="shared" si="36"/>
        <v>0.189058742</v>
      </c>
      <c r="V110" s="612">
        <f t="shared" si="36"/>
        <v>0.158897455</v>
      </c>
      <c r="W110" s="612">
        <f t="shared" si="36"/>
        <v>0.1607445746</v>
      </c>
      <c r="X110" s="612">
        <f t="shared" si="36"/>
        <v>0.2355653517</v>
      </c>
      <c r="Y110" s="612">
        <f t="shared" si="36"/>
        <v>0.2540114707</v>
      </c>
      <c r="Z110" s="612">
        <f t="shared" si="36"/>
        <v>0.3070367669</v>
      </c>
      <c r="AA110" s="612">
        <f t="shared" si="36"/>
        <v>0.244535714</v>
      </c>
      <c r="AB110" s="612">
        <f t="shared" si="36"/>
        <v>0.1970163949</v>
      </c>
      <c r="AC110" s="612">
        <f t="shared" si="36"/>
        <v>0.2501643037</v>
      </c>
      <c r="AD110" s="612">
        <f t="shared" si="36"/>
        <v>0.2835445729</v>
      </c>
      <c r="AE110" s="612">
        <f t="shared" si="36"/>
        <v>0.2960395529</v>
      </c>
      <c r="AF110" s="612">
        <f t="shared" si="36"/>
        <v>0.2642850474</v>
      </c>
      <c r="AG110" s="612">
        <f t="shared" si="36"/>
        <v>0.278083107</v>
      </c>
      <c r="AH110" s="612">
        <f t="shared" si="36"/>
        <v>0.2913641617</v>
      </c>
      <c r="AI110" s="612">
        <f t="shared" si="36"/>
        <v>0.1117003126</v>
      </c>
      <c r="AJ110" s="612">
        <f t="shared" si="36"/>
        <v>0.218882542</v>
      </c>
      <c r="AK110" s="612">
        <f t="shared" si="36"/>
        <v>0.1815046041</v>
      </c>
      <c r="AL110" s="612">
        <f t="shared" si="36"/>
        <v>0.1314632485</v>
      </c>
    </row>
    <row r="111">
      <c r="A111" s="129" t="s">
        <v>692</v>
      </c>
      <c r="B111" s="613">
        <f t="shared" ref="B111:AL111" si="37">B79*0.5</f>
        <v>0.31011895</v>
      </c>
      <c r="C111" s="613">
        <f t="shared" si="37"/>
        <v>0.2565149</v>
      </c>
      <c r="D111" s="613">
        <f t="shared" si="37"/>
        <v>0.33236315</v>
      </c>
      <c r="E111" s="613">
        <f t="shared" si="37"/>
        <v>0.3573071</v>
      </c>
      <c r="F111" s="613">
        <f t="shared" si="37"/>
        <v>0.1457732</v>
      </c>
      <c r="G111" s="613">
        <f t="shared" si="37"/>
        <v>0.24857105</v>
      </c>
      <c r="H111" s="613">
        <f t="shared" si="37"/>
        <v>0.26277115</v>
      </c>
      <c r="I111" s="613">
        <f t="shared" si="37"/>
        <v>0.2196937</v>
      </c>
      <c r="J111" s="613">
        <f t="shared" si="37"/>
        <v>0.3751612</v>
      </c>
      <c r="K111" s="613">
        <f t="shared" si="37"/>
        <v>0.3043574</v>
      </c>
      <c r="L111" s="613">
        <f t="shared" si="37"/>
        <v>0.3663211</v>
      </c>
      <c r="M111" s="613">
        <f t="shared" si="37"/>
        <v>0.3945951</v>
      </c>
      <c r="N111" s="613">
        <f t="shared" si="37"/>
        <v>0.3774614</v>
      </c>
      <c r="O111" s="613">
        <f t="shared" si="37"/>
        <v>0.39738705</v>
      </c>
      <c r="P111" s="613">
        <f t="shared" si="37"/>
        <v>0.36065725</v>
      </c>
      <c r="Q111" s="613">
        <f t="shared" si="37"/>
        <v>0.18417465</v>
      </c>
      <c r="R111" s="613">
        <f t="shared" si="37"/>
        <v>0.3806422</v>
      </c>
      <c r="S111" s="613">
        <f t="shared" si="37"/>
        <v>0.1539039</v>
      </c>
      <c r="T111" s="613">
        <f t="shared" si="37"/>
        <v>0.22888365</v>
      </c>
      <c r="U111" s="613">
        <f t="shared" si="37"/>
        <v>0.14864095</v>
      </c>
      <c r="V111" s="613">
        <f t="shared" si="37"/>
        <v>0.14309975</v>
      </c>
      <c r="W111" s="613">
        <f t="shared" si="37"/>
        <v>0.16429705</v>
      </c>
      <c r="X111" s="613">
        <f t="shared" si="37"/>
        <v>0.3049467</v>
      </c>
      <c r="Y111" s="613">
        <f t="shared" si="37"/>
        <v>0.26471405</v>
      </c>
      <c r="Z111" s="613">
        <f t="shared" si="37"/>
        <v>0.36285785</v>
      </c>
      <c r="AA111" s="613">
        <f t="shared" si="37"/>
        <v>0.2478864</v>
      </c>
      <c r="AB111" s="613">
        <f t="shared" si="37"/>
        <v>0.17582085</v>
      </c>
      <c r="AC111" s="613">
        <f t="shared" si="37"/>
        <v>0.2585399</v>
      </c>
      <c r="AD111" s="613">
        <f t="shared" si="37"/>
        <v>0.30530415</v>
      </c>
      <c r="AE111" s="613">
        <f t="shared" si="37"/>
        <v>0.3425765</v>
      </c>
      <c r="AF111" s="613">
        <f t="shared" si="37"/>
        <v>0.28863145</v>
      </c>
      <c r="AG111" s="613">
        <f t="shared" si="37"/>
        <v>0.2942982</v>
      </c>
      <c r="AH111" s="613">
        <f t="shared" si="37"/>
        <v>0.3377631</v>
      </c>
      <c r="AI111" s="613">
        <f t="shared" si="37"/>
        <v>0.06307815</v>
      </c>
      <c r="AJ111" s="613">
        <f t="shared" si="37"/>
        <v>0.1897821</v>
      </c>
      <c r="AK111" s="613">
        <f t="shared" si="37"/>
        <v>0.17560615</v>
      </c>
      <c r="AL111" s="613">
        <f t="shared" si="37"/>
        <v>0.11572275</v>
      </c>
    </row>
    <row r="112">
      <c r="A112" s="129" t="s">
        <v>716</v>
      </c>
      <c r="B112" s="614">
        <f t="shared" ref="B112:AL112" si="38">B108/((B111*B110)+(1-B111))</f>
        <v>0.0009252107106</v>
      </c>
      <c r="C112" s="614">
        <f t="shared" si="38"/>
        <v>0.002062793521</v>
      </c>
      <c r="D112" s="614">
        <f t="shared" si="38"/>
        <v>0.0007312855242</v>
      </c>
      <c r="E112" s="614">
        <f t="shared" si="38"/>
        <v>0.0008325293084</v>
      </c>
      <c r="F112" s="614">
        <f t="shared" si="38"/>
        <v>0.003130498248</v>
      </c>
      <c r="G112" s="614">
        <f t="shared" si="38"/>
        <v>0.001001929541</v>
      </c>
      <c r="H112" s="614">
        <f t="shared" si="38"/>
        <v>0.001518090121</v>
      </c>
      <c r="I112" s="614">
        <f t="shared" si="38"/>
        <v>0.001439172876</v>
      </c>
      <c r="J112" s="614">
        <f t="shared" si="38"/>
        <v>0.001031005462</v>
      </c>
      <c r="K112" s="614">
        <f t="shared" si="38"/>
        <v>0.0009389963222</v>
      </c>
      <c r="L112" s="614">
        <f t="shared" si="38"/>
        <v>0.001345430699</v>
      </c>
      <c r="M112" s="614">
        <f t="shared" si="38"/>
        <v>0.000735300209</v>
      </c>
      <c r="N112" s="614">
        <f t="shared" si="38"/>
        <v>0.0006904180354</v>
      </c>
      <c r="O112" s="614">
        <f t="shared" si="38"/>
        <v>0.0007048942424</v>
      </c>
      <c r="P112" s="614">
        <f t="shared" si="38"/>
        <v>0.0009341440259</v>
      </c>
      <c r="Q112" s="614">
        <f t="shared" si="38"/>
        <v>0.002313693784</v>
      </c>
      <c r="R112" s="614">
        <f t="shared" si="38"/>
        <v>0.0006874382726</v>
      </c>
      <c r="S112" s="614">
        <f t="shared" si="38"/>
        <v>0.00329292334</v>
      </c>
      <c r="T112" s="614">
        <f t="shared" si="38"/>
        <v>0.001584560461</v>
      </c>
      <c r="U112" s="614">
        <f t="shared" si="38"/>
        <v>0.002256154825</v>
      </c>
      <c r="V112" s="614">
        <f t="shared" si="38"/>
        <v>0.002577308934</v>
      </c>
      <c r="W112" s="614">
        <f t="shared" si="38"/>
        <v>0.002810885041</v>
      </c>
      <c r="X112" s="614">
        <f t="shared" si="38"/>
        <v>0.0009238635066</v>
      </c>
      <c r="Y112" s="614">
        <f t="shared" si="38"/>
        <v>0.0006782331776</v>
      </c>
      <c r="Z112" s="614">
        <f t="shared" si="38"/>
        <v>0.000584995434</v>
      </c>
      <c r="AA112" s="614">
        <f t="shared" si="38"/>
        <v>0.001276191521</v>
      </c>
      <c r="AB112" s="614">
        <f t="shared" si="38"/>
        <v>0.001635152954</v>
      </c>
      <c r="AC112" s="614">
        <f t="shared" si="38"/>
        <v>0.0008442727876</v>
      </c>
      <c r="AD112" s="614">
        <f t="shared" si="38"/>
        <v>0.0008550255701</v>
      </c>
      <c r="AE112" s="614">
        <f t="shared" si="38"/>
        <v>0.0004700597542</v>
      </c>
      <c r="AF112" s="614">
        <f t="shared" si="38"/>
        <v>0.000521043924</v>
      </c>
      <c r="AG112" s="614">
        <f t="shared" si="38"/>
        <v>0.001185207898</v>
      </c>
      <c r="AH112" s="614">
        <f t="shared" si="38"/>
        <v>0.0008207465346</v>
      </c>
      <c r="AI112" s="614">
        <f t="shared" si="38"/>
        <v>0.003562727838</v>
      </c>
      <c r="AJ112" s="614">
        <f t="shared" si="38"/>
        <v>0.002139105519</v>
      </c>
      <c r="AK112" s="614">
        <f t="shared" si="38"/>
        <v>0.002378580027</v>
      </c>
      <c r="AL112" s="614">
        <f t="shared" si="38"/>
        <v>0.003960464115</v>
      </c>
    </row>
    <row r="113">
      <c r="A113" s="400" t="s">
        <v>717</v>
      </c>
      <c r="B113" s="536">
        <v>0.9</v>
      </c>
      <c r="C113" s="536">
        <v>0.9</v>
      </c>
      <c r="D113" s="536">
        <v>0.9</v>
      </c>
      <c r="E113" s="536">
        <v>0.9</v>
      </c>
      <c r="F113" s="536">
        <v>0.9</v>
      </c>
      <c r="G113" s="536">
        <v>0.9</v>
      </c>
      <c r="H113" s="536">
        <v>0.9</v>
      </c>
      <c r="I113" s="536">
        <v>0.9</v>
      </c>
      <c r="J113" s="536">
        <v>0.9</v>
      </c>
      <c r="K113" s="536">
        <v>0.9</v>
      </c>
      <c r="L113" s="536">
        <v>0.9</v>
      </c>
      <c r="M113" s="536">
        <v>0.9</v>
      </c>
      <c r="N113" s="536">
        <v>0.9</v>
      </c>
      <c r="O113" s="536">
        <v>0.899999999999999</v>
      </c>
      <c r="P113" s="536">
        <v>0.899999999999999</v>
      </c>
      <c r="Q113" s="536">
        <v>0.899999999999999</v>
      </c>
      <c r="R113" s="536">
        <v>0.899999999999999</v>
      </c>
      <c r="S113" s="536">
        <v>0.899999999999999</v>
      </c>
      <c r="T113" s="536">
        <v>0.899999999999999</v>
      </c>
      <c r="U113" s="536">
        <v>0.899999999999998</v>
      </c>
      <c r="V113" s="536">
        <v>0.899999999999998</v>
      </c>
      <c r="W113" s="536">
        <v>0.899999999999998</v>
      </c>
      <c r="X113" s="536">
        <v>0.899999999999998</v>
      </c>
      <c r="Y113" s="536">
        <v>0.899999999999998</v>
      </c>
      <c r="Z113" s="536">
        <v>0.899999999999998</v>
      </c>
      <c r="AA113" s="536">
        <v>0.899999999999998</v>
      </c>
      <c r="AB113" s="536">
        <v>0.899999999999997</v>
      </c>
      <c r="AC113" s="536">
        <v>0.899999999999997</v>
      </c>
      <c r="AD113" s="536">
        <v>0.899999999999997</v>
      </c>
      <c r="AE113" s="536">
        <v>0.899999999999997</v>
      </c>
      <c r="AF113" s="536">
        <v>0.899999999999997</v>
      </c>
      <c r="AG113" s="536">
        <v>0.899999999999997</v>
      </c>
      <c r="AH113" s="536">
        <v>0.899999999999997</v>
      </c>
      <c r="AI113" s="536">
        <v>0.899999999999996</v>
      </c>
      <c r="AJ113" s="536">
        <v>0.899999999999996</v>
      </c>
      <c r="AK113" s="536">
        <v>0.899999999999996</v>
      </c>
      <c r="AL113" s="536">
        <v>0.899999999999996</v>
      </c>
    </row>
    <row r="114">
      <c r="A114" s="400" t="s">
        <v>718</v>
      </c>
      <c r="B114" s="536">
        <v>0.9</v>
      </c>
      <c r="C114" s="536">
        <v>0.9</v>
      </c>
      <c r="D114" s="536">
        <v>0.9</v>
      </c>
      <c r="E114" s="536">
        <v>0.9</v>
      </c>
      <c r="F114" s="536">
        <v>0.9</v>
      </c>
      <c r="G114" s="536">
        <v>0.9</v>
      </c>
      <c r="H114" s="536">
        <v>0.9</v>
      </c>
      <c r="I114" s="536">
        <v>0.9</v>
      </c>
      <c r="J114" s="536">
        <v>0.9</v>
      </c>
      <c r="K114" s="536">
        <v>0.9</v>
      </c>
      <c r="L114" s="536">
        <v>0.9</v>
      </c>
      <c r="M114" s="536">
        <v>0.9</v>
      </c>
      <c r="N114" s="536">
        <v>0.9</v>
      </c>
      <c r="O114" s="536">
        <v>0.899999999999999</v>
      </c>
      <c r="P114" s="536">
        <v>0.899999999999999</v>
      </c>
      <c r="Q114" s="536">
        <v>0.899999999999999</v>
      </c>
      <c r="R114" s="536">
        <v>0.899999999999999</v>
      </c>
      <c r="S114" s="536">
        <v>0.899999999999999</v>
      </c>
      <c r="T114" s="536">
        <v>0.899999999999999</v>
      </c>
      <c r="U114" s="536">
        <v>0.899999999999998</v>
      </c>
      <c r="V114" s="536">
        <v>0.899999999999998</v>
      </c>
      <c r="W114" s="536">
        <v>0.899999999999998</v>
      </c>
      <c r="X114" s="536">
        <v>0.899999999999998</v>
      </c>
      <c r="Y114" s="536">
        <v>0.899999999999998</v>
      </c>
      <c r="Z114" s="536">
        <v>0.899999999999998</v>
      </c>
      <c r="AA114" s="536">
        <v>0.899999999999998</v>
      </c>
      <c r="AB114" s="536">
        <v>0.899999999999997</v>
      </c>
      <c r="AC114" s="536">
        <v>0.899999999999997</v>
      </c>
      <c r="AD114" s="536">
        <v>0.899999999999997</v>
      </c>
      <c r="AE114" s="536">
        <v>0.899999999999997</v>
      </c>
      <c r="AF114" s="536">
        <v>0.899999999999997</v>
      </c>
      <c r="AG114" s="536">
        <v>0.899999999999997</v>
      </c>
      <c r="AH114" s="536">
        <v>0.899999999999997</v>
      </c>
      <c r="AI114" s="536">
        <v>0.899999999999996</v>
      </c>
      <c r="AJ114" s="536">
        <v>0.899999999999996</v>
      </c>
      <c r="AK114" s="536">
        <v>0.899999999999996</v>
      </c>
      <c r="AL114" s="536">
        <v>0.899999999999996</v>
      </c>
    </row>
    <row r="115">
      <c r="A115" s="400" t="s">
        <v>719</v>
      </c>
      <c r="B115" s="615">
        <f t="shared" ref="B115:AL115" si="39">B112*B113</f>
        <v>0.0008326896395</v>
      </c>
      <c r="C115" s="615">
        <f t="shared" si="39"/>
        <v>0.001856514169</v>
      </c>
      <c r="D115" s="615">
        <f t="shared" si="39"/>
        <v>0.0006581569718</v>
      </c>
      <c r="E115" s="615">
        <f t="shared" si="39"/>
        <v>0.0007492763776</v>
      </c>
      <c r="F115" s="615">
        <f t="shared" si="39"/>
        <v>0.002817448423</v>
      </c>
      <c r="G115" s="615">
        <f t="shared" si="39"/>
        <v>0.0009017365869</v>
      </c>
      <c r="H115" s="615">
        <f t="shared" si="39"/>
        <v>0.001366281108</v>
      </c>
      <c r="I115" s="615">
        <f t="shared" si="39"/>
        <v>0.001295255588</v>
      </c>
      <c r="J115" s="615">
        <f t="shared" si="39"/>
        <v>0.0009279049158</v>
      </c>
      <c r="K115" s="615">
        <f t="shared" si="39"/>
        <v>0.00084509669</v>
      </c>
      <c r="L115" s="615">
        <f t="shared" si="39"/>
        <v>0.001210887629</v>
      </c>
      <c r="M115" s="615">
        <f t="shared" si="39"/>
        <v>0.0006617701881</v>
      </c>
      <c r="N115" s="615">
        <f t="shared" si="39"/>
        <v>0.0006213762319</v>
      </c>
      <c r="O115" s="615">
        <f t="shared" si="39"/>
        <v>0.0006344048182</v>
      </c>
      <c r="P115" s="615">
        <f t="shared" si="39"/>
        <v>0.0008407296233</v>
      </c>
      <c r="Q115" s="615">
        <f t="shared" si="39"/>
        <v>0.002082324405</v>
      </c>
      <c r="R115" s="615">
        <f t="shared" si="39"/>
        <v>0.0006186944454</v>
      </c>
      <c r="S115" s="615">
        <f t="shared" si="39"/>
        <v>0.002963631006</v>
      </c>
      <c r="T115" s="615">
        <f t="shared" si="39"/>
        <v>0.001426104415</v>
      </c>
      <c r="U115" s="615">
        <f t="shared" si="39"/>
        <v>0.002030539342</v>
      </c>
      <c r="V115" s="615">
        <f t="shared" si="39"/>
        <v>0.002319578041</v>
      </c>
      <c r="W115" s="615">
        <f t="shared" si="39"/>
        <v>0.002529796537</v>
      </c>
      <c r="X115" s="615">
        <f t="shared" si="39"/>
        <v>0.0008314771559</v>
      </c>
      <c r="Y115" s="615">
        <f t="shared" si="39"/>
        <v>0.0006104098599</v>
      </c>
      <c r="Z115" s="615">
        <f t="shared" si="39"/>
        <v>0.0005264958906</v>
      </c>
      <c r="AA115" s="615">
        <f t="shared" si="39"/>
        <v>0.001148572369</v>
      </c>
      <c r="AB115" s="615">
        <f t="shared" si="39"/>
        <v>0.001471637659</v>
      </c>
      <c r="AC115" s="615">
        <f t="shared" si="39"/>
        <v>0.0007598455089</v>
      </c>
      <c r="AD115" s="615">
        <f t="shared" si="39"/>
        <v>0.0007695230131</v>
      </c>
      <c r="AE115" s="615">
        <f t="shared" si="39"/>
        <v>0.0004230537788</v>
      </c>
      <c r="AF115" s="615">
        <f t="shared" si="39"/>
        <v>0.0004689395316</v>
      </c>
      <c r="AG115" s="615">
        <f t="shared" si="39"/>
        <v>0.001066687108</v>
      </c>
      <c r="AH115" s="615">
        <f t="shared" si="39"/>
        <v>0.0007386718811</v>
      </c>
      <c r="AI115" s="615">
        <f t="shared" si="39"/>
        <v>0.003206455055</v>
      </c>
      <c r="AJ115" s="615">
        <f t="shared" si="39"/>
        <v>0.001925194967</v>
      </c>
      <c r="AK115" s="615">
        <f t="shared" si="39"/>
        <v>0.002140722025</v>
      </c>
      <c r="AL115" s="615">
        <f t="shared" si="39"/>
        <v>0.003564417703</v>
      </c>
    </row>
    <row r="116">
      <c r="A116" s="400" t="s">
        <v>720</v>
      </c>
      <c r="B116" s="616">
        <f t="shared" ref="B116:AL116" si="40">B109*(B$75*B$91/B$49)*B114</f>
        <v>0.6239240433</v>
      </c>
      <c r="C116" s="616">
        <f t="shared" si="40"/>
        <v>0.6721774979</v>
      </c>
      <c r="D116" s="616">
        <f t="shared" si="40"/>
        <v>0.6453628821</v>
      </c>
      <c r="E116" s="616">
        <f t="shared" si="40"/>
        <v>0.6442238152</v>
      </c>
      <c r="F116" s="616">
        <f t="shared" si="40"/>
        <v>0.7486443586</v>
      </c>
      <c r="G116" s="616">
        <f t="shared" si="40"/>
        <v>0.6603338253</v>
      </c>
      <c r="H116" s="616">
        <f t="shared" si="40"/>
        <v>0.6556138489</v>
      </c>
      <c r="I116" s="616">
        <f t="shared" si="40"/>
        <v>0.6944699943</v>
      </c>
      <c r="J116" s="616">
        <f t="shared" si="40"/>
        <v>0.6128982811</v>
      </c>
      <c r="K116" s="616">
        <f t="shared" si="40"/>
        <v>0.6569032337</v>
      </c>
      <c r="L116" s="616">
        <f t="shared" si="40"/>
        <v>0.6291398101</v>
      </c>
      <c r="M116" s="616">
        <f t="shared" si="40"/>
        <v>0.6209986536</v>
      </c>
      <c r="N116" s="616">
        <f t="shared" si="40"/>
        <v>0.6209992617</v>
      </c>
      <c r="O116" s="616">
        <f t="shared" si="40"/>
        <v>0.6126922919</v>
      </c>
      <c r="P116" s="616">
        <f t="shared" si="40"/>
        <v>0.6308280045</v>
      </c>
      <c r="Q116" s="616">
        <f t="shared" si="40"/>
        <v>0.7252691512</v>
      </c>
      <c r="R116" s="616">
        <f t="shared" si="40"/>
        <v>0.6199246188</v>
      </c>
      <c r="S116" s="616">
        <f t="shared" si="40"/>
        <v>0.7588708626</v>
      </c>
      <c r="T116" s="616">
        <f t="shared" si="40"/>
        <v>0.7128444566</v>
      </c>
      <c r="U116" s="616">
        <f t="shared" si="40"/>
        <v>0.7298471322</v>
      </c>
      <c r="V116" s="616">
        <f t="shared" si="40"/>
        <v>0.7569922905</v>
      </c>
      <c r="W116" s="616">
        <f t="shared" si="40"/>
        <v>0.7553298828</v>
      </c>
      <c r="X116" s="616">
        <f t="shared" si="40"/>
        <v>0.6879911835</v>
      </c>
      <c r="Y116" s="616">
        <f t="shared" si="40"/>
        <v>0.6713896763</v>
      </c>
      <c r="Z116" s="616">
        <f t="shared" si="40"/>
        <v>0.6236669098</v>
      </c>
      <c r="AA116" s="616">
        <f t="shared" si="40"/>
        <v>0.6799178574</v>
      </c>
      <c r="AB116" s="616">
        <f t="shared" si="40"/>
        <v>0.7226852446</v>
      </c>
      <c r="AC116" s="616">
        <f t="shared" si="40"/>
        <v>0.6748521266</v>
      </c>
      <c r="AD116" s="616">
        <f t="shared" si="40"/>
        <v>0.6448098844</v>
      </c>
      <c r="AE116" s="616">
        <f t="shared" si="40"/>
        <v>0.6335644024</v>
      </c>
      <c r="AF116" s="616">
        <f t="shared" si="40"/>
        <v>0.6621434574</v>
      </c>
      <c r="AG116" s="616">
        <f t="shared" si="40"/>
        <v>0.6497252037</v>
      </c>
      <c r="AH116" s="616">
        <f t="shared" si="40"/>
        <v>0.6377722545</v>
      </c>
      <c r="AI116" s="616">
        <f t="shared" si="40"/>
        <v>0.7994697187</v>
      </c>
      <c r="AJ116" s="616">
        <f t="shared" si="40"/>
        <v>0.7030057122</v>
      </c>
      <c r="AK116" s="616">
        <f t="shared" si="40"/>
        <v>0.7366458563</v>
      </c>
      <c r="AL116" s="616">
        <f t="shared" si="40"/>
        <v>0.7816830764</v>
      </c>
    </row>
    <row r="117">
      <c r="A117" s="400" t="s">
        <v>721</v>
      </c>
      <c r="B117" s="616">
        <f t="shared" ref="B117:AL117" si="41">1-B116</f>
        <v>0.3760759567</v>
      </c>
      <c r="C117" s="616">
        <f t="shared" si="41"/>
        <v>0.3278225021</v>
      </c>
      <c r="D117" s="616">
        <f t="shared" si="41"/>
        <v>0.3546371179</v>
      </c>
      <c r="E117" s="616">
        <f t="shared" si="41"/>
        <v>0.3557761848</v>
      </c>
      <c r="F117" s="616">
        <f t="shared" si="41"/>
        <v>0.2513556414</v>
      </c>
      <c r="G117" s="616">
        <f t="shared" si="41"/>
        <v>0.3396661747</v>
      </c>
      <c r="H117" s="616">
        <f t="shared" si="41"/>
        <v>0.3443861511</v>
      </c>
      <c r="I117" s="616">
        <f t="shared" si="41"/>
        <v>0.3055300057</v>
      </c>
      <c r="J117" s="616">
        <f t="shared" si="41"/>
        <v>0.3871017189</v>
      </c>
      <c r="K117" s="616">
        <f t="shared" si="41"/>
        <v>0.3430967663</v>
      </c>
      <c r="L117" s="616">
        <f t="shared" si="41"/>
        <v>0.3708601899</v>
      </c>
      <c r="M117" s="616">
        <f t="shared" si="41"/>
        <v>0.3790013464</v>
      </c>
      <c r="N117" s="616">
        <f t="shared" si="41"/>
        <v>0.3790007383</v>
      </c>
      <c r="O117" s="616">
        <f t="shared" si="41"/>
        <v>0.3873077081</v>
      </c>
      <c r="P117" s="616">
        <f t="shared" si="41"/>
        <v>0.3691719955</v>
      </c>
      <c r="Q117" s="616">
        <f t="shared" si="41"/>
        <v>0.2747308488</v>
      </c>
      <c r="R117" s="616">
        <f t="shared" si="41"/>
        <v>0.3800753812</v>
      </c>
      <c r="S117" s="616">
        <f t="shared" si="41"/>
        <v>0.2411291374</v>
      </c>
      <c r="T117" s="616">
        <f t="shared" si="41"/>
        <v>0.2871555434</v>
      </c>
      <c r="U117" s="616">
        <f t="shared" si="41"/>
        <v>0.2701528678</v>
      </c>
      <c r="V117" s="616">
        <f t="shared" si="41"/>
        <v>0.2430077095</v>
      </c>
      <c r="W117" s="616">
        <f t="shared" si="41"/>
        <v>0.2446701172</v>
      </c>
      <c r="X117" s="616">
        <f t="shared" si="41"/>
        <v>0.3120088165</v>
      </c>
      <c r="Y117" s="616">
        <f t="shared" si="41"/>
        <v>0.3286103237</v>
      </c>
      <c r="Z117" s="616">
        <f t="shared" si="41"/>
        <v>0.3763330902</v>
      </c>
      <c r="AA117" s="616">
        <f t="shared" si="41"/>
        <v>0.3200821426</v>
      </c>
      <c r="AB117" s="616">
        <f t="shared" si="41"/>
        <v>0.2773147554</v>
      </c>
      <c r="AC117" s="616">
        <f t="shared" si="41"/>
        <v>0.3251478734</v>
      </c>
      <c r="AD117" s="616">
        <f t="shared" si="41"/>
        <v>0.3551901156</v>
      </c>
      <c r="AE117" s="616">
        <f t="shared" si="41"/>
        <v>0.3664355976</v>
      </c>
      <c r="AF117" s="616">
        <f t="shared" si="41"/>
        <v>0.3378565426</v>
      </c>
      <c r="AG117" s="616">
        <f t="shared" si="41"/>
        <v>0.3502747963</v>
      </c>
      <c r="AH117" s="616">
        <f t="shared" si="41"/>
        <v>0.3622277455</v>
      </c>
      <c r="AI117" s="616">
        <f t="shared" si="41"/>
        <v>0.2005302813</v>
      </c>
      <c r="AJ117" s="616">
        <f t="shared" si="41"/>
        <v>0.2969942878</v>
      </c>
      <c r="AK117" s="616">
        <f t="shared" si="41"/>
        <v>0.2633541437</v>
      </c>
      <c r="AL117" s="616">
        <f t="shared" si="41"/>
        <v>0.2183169236</v>
      </c>
    </row>
    <row r="118">
      <c r="A118" s="400" t="s">
        <v>722</v>
      </c>
      <c r="B118" s="616">
        <f t="shared" ref="B118:AL118" si="42">B$20*B115*(1-B117)*B$9</f>
        <v>0.1366807939</v>
      </c>
      <c r="C118" s="616">
        <f t="shared" si="42"/>
        <v>0.753393524</v>
      </c>
      <c r="D118" s="616">
        <f t="shared" si="42"/>
        <v>0.147191983</v>
      </c>
      <c r="E118" s="616">
        <f t="shared" si="42"/>
        <v>0.2043269873</v>
      </c>
      <c r="F118" s="616">
        <f t="shared" si="42"/>
        <v>2.965176254</v>
      </c>
      <c r="G118" s="616">
        <f t="shared" si="42"/>
        <v>0.2949962166</v>
      </c>
      <c r="H118" s="616">
        <f t="shared" si="42"/>
        <v>0.4457803595</v>
      </c>
      <c r="I118" s="616">
        <f t="shared" si="42"/>
        <v>1.144424727</v>
      </c>
      <c r="J118" s="616">
        <f t="shared" si="42"/>
        <v>0.1016535748</v>
      </c>
      <c r="K118" s="616">
        <f t="shared" si="42"/>
        <v>0.2534425843</v>
      </c>
      <c r="L118" s="616">
        <f t="shared" si="42"/>
        <v>0.02436681357</v>
      </c>
      <c r="M118" s="616">
        <f t="shared" si="42"/>
        <v>0.09288487397</v>
      </c>
      <c r="N118" s="616">
        <f t="shared" si="42"/>
        <v>0.04621454968</v>
      </c>
      <c r="O118" s="616">
        <f t="shared" si="42"/>
        <v>0.02962991878</v>
      </c>
      <c r="P118" s="616">
        <f t="shared" si="42"/>
        <v>0.08887544441</v>
      </c>
      <c r="Q118" s="616">
        <f t="shared" si="42"/>
        <v>1.445537908</v>
      </c>
      <c r="R118" s="616">
        <f t="shared" si="42"/>
        <v>0.05851759758</v>
      </c>
      <c r="S118" s="616">
        <f t="shared" si="42"/>
        <v>2.540209998</v>
      </c>
      <c r="T118" s="616">
        <f t="shared" si="42"/>
        <v>0.8965378764</v>
      </c>
      <c r="U118" s="616">
        <f t="shared" si="42"/>
        <v>1.838188852</v>
      </c>
      <c r="V118" s="616">
        <f t="shared" si="42"/>
        <v>2.543149913</v>
      </c>
      <c r="W118" s="616">
        <f t="shared" si="42"/>
        <v>2.927626393</v>
      </c>
      <c r="X118" s="616">
        <f t="shared" si="42"/>
        <v>0.2409998542</v>
      </c>
      <c r="Y118" s="616">
        <f t="shared" si="42"/>
        <v>0.3278265017</v>
      </c>
      <c r="Z118" s="616">
        <f t="shared" si="42"/>
        <v>0.05909317138</v>
      </c>
      <c r="AA118" s="616">
        <f t="shared" si="42"/>
        <v>0.5377557698</v>
      </c>
      <c r="AB118" s="616">
        <f t="shared" si="42"/>
        <v>1.132610253</v>
      </c>
      <c r="AC118" s="616">
        <f t="shared" si="42"/>
        <v>0.4510633408</v>
      </c>
      <c r="AD118" s="616">
        <f t="shared" si="42"/>
        <v>0.3205483295</v>
      </c>
      <c r="AE118" s="616">
        <f t="shared" si="42"/>
        <v>0.06530279825</v>
      </c>
      <c r="AF118" s="616">
        <f t="shared" si="42"/>
        <v>0.2033942828</v>
      </c>
      <c r="AG118" s="616">
        <f t="shared" si="42"/>
        <v>0.3264259616</v>
      </c>
      <c r="AH118" s="616">
        <f t="shared" si="42"/>
        <v>0.1131987646</v>
      </c>
      <c r="AI118" s="616">
        <f t="shared" si="42"/>
        <v>6.732391282</v>
      </c>
      <c r="AJ118" s="616">
        <f t="shared" si="42"/>
        <v>0.9767924347</v>
      </c>
      <c r="AK118" s="616">
        <f t="shared" si="42"/>
        <v>0.9364898059</v>
      </c>
      <c r="AL118" s="616">
        <f t="shared" si="42"/>
        <v>4.214297749</v>
      </c>
    </row>
    <row r="119">
      <c r="A119" s="400" t="s">
        <v>723</v>
      </c>
      <c r="B119" s="616">
        <f t="shared" ref="B119:AL119" si="43">B118*(1/(1+B105))^average(5,14)</f>
        <v>0.130355664</v>
      </c>
      <c r="C119" s="616">
        <f t="shared" si="43"/>
        <v>0.7185289918</v>
      </c>
      <c r="D119" s="616">
        <f t="shared" si="43"/>
        <v>0.1403804304</v>
      </c>
      <c r="E119" s="616">
        <f t="shared" si="43"/>
        <v>0.1948714178</v>
      </c>
      <c r="F119" s="616">
        <f t="shared" si="43"/>
        <v>2.827957816</v>
      </c>
      <c r="G119" s="616">
        <f t="shared" si="43"/>
        <v>0.2813447785</v>
      </c>
      <c r="H119" s="616">
        <f t="shared" si="43"/>
        <v>0.4251511356</v>
      </c>
      <c r="I119" s="616">
        <f t="shared" si="43"/>
        <v>1.091464579</v>
      </c>
      <c r="J119" s="616">
        <f t="shared" si="43"/>
        <v>0.09694938737</v>
      </c>
      <c r="K119" s="616">
        <f t="shared" si="43"/>
        <v>0.2417141093</v>
      </c>
      <c r="L119" s="616">
        <f t="shared" si="43"/>
        <v>0.02323919894</v>
      </c>
      <c r="M119" s="616">
        <f t="shared" si="43"/>
        <v>0.0885864727</v>
      </c>
      <c r="N119" s="616">
        <f t="shared" si="43"/>
        <v>0.0440758949</v>
      </c>
      <c r="O119" s="616">
        <f t="shared" si="43"/>
        <v>0.02825874525</v>
      </c>
      <c r="P119" s="616">
        <f t="shared" si="43"/>
        <v>0.08476258613</v>
      </c>
      <c r="Q119" s="616">
        <f t="shared" si="43"/>
        <v>1.378643249</v>
      </c>
      <c r="R119" s="616">
        <f t="shared" si="43"/>
        <v>0.05580959891</v>
      </c>
      <c r="S119" s="616">
        <f t="shared" si="43"/>
        <v>2.422657577</v>
      </c>
      <c r="T119" s="616">
        <f t="shared" si="43"/>
        <v>0.8550491024</v>
      </c>
      <c r="U119" s="616">
        <f t="shared" si="43"/>
        <v>1.75312362</v>
      </c>
      <c r="V119" s="616">
        <f t="shared" si="43"/>
        <v>2.425461442</v>
      </c>
      <c r="W119" s="616">
        <f t="shared" si="43"/>
        <v>2.792145636</v>
      </c>
      <c r="X119" s="616">
        <f t="shared" si="43"/>
        <v>0.2298471871</v>
      </c>
      <c r="Y119" s="616">
        <f t="shared" si="43"/>
        <v>0.3126557878</v>
      </c>
      <c r="Z119" s="616">
        <f t="shared" si="43"/>
        <v>0.05635853708</v>
      </c>
      <c r="AA119" s="616">
        <f t="shared" si="43"/>
        <v>0.5128702315</v>
      </c>
      <c r="AB119" s="616">
        <f t="shared" si="43"/>
        <v>1.080196839</v>
      </c>
      <c r="AC119" s="616">
        <f t="shared" si="43"/>
        <v>0.4301896382</v>
      </c>
      <c r="AD119" s="616">
        <f t="shared" si="43"/>
        <v>0.3057144251</v>
      </c>
      <c r="AE119" s="616">
        <f t="shared" si="43"/>
        <v>0.06228080319</v>
      </c>
      <c r="AF119" s="616">
        <f t="shared" si="43"/>
        <v>0.1939818758</v>
      </c>
      <c r="AG119" s="616">
        <f t="shared" si="43"/>
        <v>0.31132006</v>
      </c>
      <c r="AH119" s="616">
        <f t="shared" si="43"/>
        <v>0.1079603045</v>
      </c>
      <c r="AI119" s="616">
        <f t="shared" si="43"/>
        <v>6.420838733</v>
      </c>
      <c r="AJ119" s="616">
        <f t="shared" si="43"/>
        <v>0.9315897482</v>
      </c>
      <c r="AK119" s="616">
        <f t="shared" si="43"/>
        <v>0.8931521903</v>
      </c>
      <c r="AL119" s="616">
        <f t="shared" si="43"/>
        <v>4.019274146</v>
      </c>
    </row>
    <row r="120">
      <c r="A120" s="400" t="s">
        <v>58</v>
      </c>
      <c r="B120" s="608">
        <f t="array" ref="B120">index('Moral weights and discount rate'!$A$1:$V$39, match($A120, 'Moral weights and discount rate'!$A$1:$A$39,0), match('Moral weights and discount rate'!$A$17, 'Moral weights and discount rate'!$A$1:$X$1,0))</f>
        <v>133.7</v>
      </c>
      <c r="C120" s="608">
        <f t="array" ref="C120">index('Moral weights and discount rate'!$A$1:$V$39, match($A120, 'Moral weights and discount rate'!$A$1:$A$39,0), match('Moral weights and discount rate'!$A$17, 'Moral weights and discount rate'!$A$1:$X$1,0))</f>
        <v>133.7</v>
      </c>
      <c r="D120" s="608">
        <f t="array" ref="D120">index('Moral weights and discount rate'!$A$1:$V$39, match($A120, 'Moral weights and discount rate'!$A$1:$A$39,0), match('Moral weights and discount rate'!$A$17, 'Moral weights and discount rate'!$A$1:$X$1,0))</f>
        <v>133.7</v>
      </c>
      <c r="E120" s="608">
        <f t="array" ref="E120">index('Moral weights and discount rate'!$A$1:$V$39, match($A120, 'Moral weights and discount rate'!$A$1:$A$39,0), match('Moral weights and discount rate'!$A$17, 'Moral weights and discount rate'!$A$1:$X$1,0))</f>
        <v>133.7</v>
      </c>
      <c r="F120" s="608">
        <f t="array" ref="F120">index('Moral weights and discount rate'!$A$1:$V$39, match($A120, 'Moral weights and discount rate'!$A$1:$A$39,0), match('Moral weights and discount rate'!$A$17, 'Moral weights and discount rate'!$A$1:$X$1,0))</f>
        <v>133.7</v>
      </c>
      <c r="G120" s="608">
        <f t="array" ref="G120">index('Moral weights and discount rate'!$A$1:$V$39, match($A120, 'Moral weights and discount rate'!$A$1:$A$39,0), match('Moral weights and discount rate'!$A$17, 'Moral weights and discount rate'!$A$1:$X$1,0))</f>
        <v>133.7</v>
      </c>
      <c r="H120" s="608">
        <f t="array" ref="H120">index('Moral weights and discount rate'!$A$1:$V$39, match($A120, 'Moral weights and discount rate'!$A$1:$A$39,0), match('Moral weights and discount rate'!$A$17, 'Moral weights and discount rate'!$A$1:$X$1,0))</f>
        <v>133.7</v>
      </c>
      <c r="I120" s="608">
        <f t="array" ref="I120">index('Moral weights and discount rate'!$A$1:$V$39, match($A120, 'Moral weights and discount rate'!$A$1:$A$39,0), match('Moral weights and discount rate'!$A$17, 'Moral weights and discount rate'!$A$1:$X$1,0))</f>
        <v>133.7</v>
      </c>
      <c r="J120" s="608">
        <f t="array" ref="J120">index('Moral weights and discount rate'!$A$1:$V$39, match($A120, 'Moral weights and discount rate'!$A$1:$A$39,0), match('Moral weights and discount rate'!$A$17, 'Moral weights and discount rate'!$A$1:$X$1,0))</f>
        <v>133.7</v>
      </c>
      <c r="K120" s="608">
        <f t="array" ref="K120">index('Moral weights and discount rate'!$A$1:$V$39, match($A120, 'Moral weights and discount rate'!$A$1:$A$39,0), match('Moral weights and discount rate'!$A$17, 'Moral weights and discount rate'!$A$1:$X$1,0))</f>
        <v>133.7</v>
      </c>
      <c r="L120" s="608">
        <f t="array" ref="L120">index('Moral weights and discount rate'!$A$1:$V$39, match($A120, 'Moral weights and discount rate'!$A$1:$A$39,0), match('Moral weights and discount rate'!$A$17, 'Moral weights and discount rate'!$A$1:$X$1,0))</f>
        <v>133.7</v>
      </c>
      <c r="M120" s="608">
        <f t="array" ref="M120">index('Moral weights and discount rate'!$A$1:$V$39, match($A120, 'Moral weights and discount rate'!$A$1:$A$39,0), match('Moral weights and discount rate'!$A$17, 'Moral weights and discount rate'!$A$1:$X$1,0))</f>
        <v>133.7</v>
      </c>
      <c r="N120" s="608">
        <f t="array" ref="N120">index('Moral weights and discount rate'!$A$1:$V$39, match($A120, 'Moral weights and discount rate'!$A$1:$A$39,0), match('Moral weights and discount rate'!$A$17, 'Moral weights and discount rate'!$A$1:$X$1,0))</f>
        <v>133.7</v>
      </c>
      <c r="O120" s="608">
        <f t="array" ref="O120">index('Moral weights and discount rate'!$A$1:$V$39, match($A120, 'Moral weights and discount rate'!$A$1:$A$39,0), match('Moral weights and discount rate'!$A$17, 'Moral weights and discount rate'!$A$1:$X$1,0))</f>
        <v>133.7</v>
      </c>
      <c r="P120" s="608">
        <f t="array" ref="P120">index('Moral weights and discount rate'!$A$1:$V$39, match($A120, 'Moral weights and discount rate'!$A$1:$A$39,0), match('Moral weights and discount rate'!$A$17, 'Moral weights and discount rate'!$A$1:$X$1,0))</f>
        <v>133.7</v>
      </c>
      <c r="Q120" s="608">
        <f t="array" ref="Q120">index('Moral weights and discount rate'!$A$1:$V$39, match($A120, 'Moral weights and discount rate'!$A$1:$A$39,0), match('Moral weights and discount rate'!$A$17, 'Moral weights and discount rate'!$A$1:$X$1,0))</f>
        <v>133.7</v>
      </c>
      <c r="R120" s="608">
        <f t="array" ref="R120">index('Moral weights and discount rate'!$A$1:$V$39, match($A120, 'Moral weights and discount rate'!$A$1:$A$39,0), match('Moral weights and discount rate'!$A$17, 'Moral weights and discount rate'!$A$1:$X$1,0))</f>
        <v>133.7</v>
      </c>
      <c r="S120" s="608">
        <f t="array" ref="S120">index('Moral weights and discount rate'!$A$1:$V$39, match($A120, 'Moral weights and discount rate'!$A$1:$A$39,0), match('Moral weights and discount rate'!$A$17, 'Moral weights and discount rate'!$A$1:$X$1,0))</f>
        <v>133.7</v>
      </c>
      <c r="T120" s="608">
        <f t="array" ref="T120">index('Moral weights and discount rate'!$A$1:$V$39, match($A120, 'Moral weights and discount rate'!$A$1:$A$39,0), match('Moral weights and discount rate'!$A$17, 'Moral weights and discount rate'!$A$1:$X$1,0))</f>
        <v>133.7</v>
      </c>
      <c r="U120" s="608">
        <f t="array" ref="U120">index('Moral weights and discount rate'!$A$1:$V$39, match($A120, 'Moral weights and discount rate'!$A$1:$A$39,0), match('Moral weights and discount rate'!$A$17, 'Moral weights and discount rate'!$A$1:$X$1,0))</f>
        <v>133.7</v>
      </c>
      <c r="V120" s="608">
        <f t="array" ref="V120">index('Moral weights and discount rate'!$A$1:$V$39, match($A120, 'Moral weights and discount rate'!$A$1:$A$39,0), match('Moral weights and discount rate'!$A$17, 'Moral weights and discount rate'!$A$1:$X$1,0))</f>
        <v>133.7</v>
      </c>
      <c r="W120" s="608">
        <f t="array" ref="W120">index('Moral weights and discount rate'!$A$1:$V$39, match($A120, 'Moral weights and discount rate'!$A$1:$A$39,0), match('Moral weights and discount rate'!$A$17, 'Moral weights and discount rate'!$A$1:$X$1,0))</f>
        <v>133.7</v>
      </c>
      <c r="X120" s="608">
        <f t="array" ref="X120">index('Moral weights and discount rate'!$A$1:$V$39, match($A120, 'Moral weights and discount rate'!$A$1:$A$39,0), match('Moral weights and discount rate'!$A$17, 'Moral weights and discount rate'!$A$1:$X$1,0))</f>
        <v>133.7</v>
      </c>
      <c r="Y120" s="608">
        <f t="array" ref="Y120">index('Moral weights and discount rate'!$A$1:$V$39, match($A120, 'Moral weights and discount rate'!$A$1:$A$39,0), match('Moral weights and discount rate'!$A$17, 'Moral weights and discount rate'!$A$1:$X$1,0))</f>
        <v>133.7</v>
      </c>
      <c r="Z120" s="608">
        <f t="array" ref="Z120">index('Moral weights and discount rate'!$A$1:$V$39, match($A120, 'Moral weights and discount rate'!$A$1:$A$39,0), match('Moral weights and discount rate'!$A$17, 'Moral weights and discount rate'!$A$1:$X$1,0))</f>
        <v>133.7</v>
      </c>
      <c r="AA120" s="608">
        <f t="array" ref="AA120">index('Moral weights and discount rate'!$A$1:$V$39, match($A120, 'Moral weights and discount rate'!$A$1:$A$39,0), match('Moral weights and discount rate'!$A$17, 'Moral weights and discount rate'!$A$1:$X$1,0))</f>
        <v>133.7</v>
      </c>
      <c r="AB120" s="608">
        <f t="array" ref="AB120">index('Moral weights and discount rate'!$A$1:$V$39, match($A120, 'Moral weights and discount rate'!$A$1:$A$39,0), match('Moral weights and discount rate'!$A$17, 'Moral weights and discount rate'!$A$1:$X$1,0))</f>
        <v>133.7</v>
      </c>
      <c r="AC120" s="608">
        <f t="array" ref="AC120">index('Moral weights and discount rate'!$A$1:$V$39, match($A120, 'Moral weights and discount rate'!$A$1:$A$39,0), match('Moral weights and discount rate'!$A$17, 'Moral weights and discount rate'!$A$1:$X$1,0))</f>
        <v>133.7</v>
      </c>
      <c r="AD120" s="608">
        <f t="array" ref="AD120">index('Moral weights and discount rate'!$A$1:$V$39, match($A120, 'Moral weights and discount rate'!$A$1:$A$39,0), match('Moral weights and discount rate'!$A$17, 'Moral weights and discount rate'!$A$1:$X$1,0))</f>
        <v>133.7</v>
      </c>
      <c r="AE120" s="608">
        <f t="array" ref="AE120">index('Moral weights and discount rate'!$A$1:$V$39, match($A120, 'Moral weights and discount rate'!$A$1:$A$39,0), match('Moral weights and discount rate'!$A$17, 'Moral weights and discount rate'!$A$1:$X$1,0))</f>
        <v>133.7</v>
      </c>
      <c r="AF120" s="608">
        <f t="array" ref="AF120">index('Moral weights and discount rate'!$A$1:$V$39, match($A120, 'Moral weights and discount rate'!$A$1:$A$39,0), match('Moral weights and discount rate'!$A$17, 'Moral weights and discount rate'!$A$1:$X$1,0))</f>
        <v>133.7</v>
      </c>
      <c r="AG120" s="608">
        <f t="array" ref="AG120">index('Moral weights and discount rate'!$A$1:$V$39, match($A120, 'Moral weights and discount rate'!$A$1:$A$39,0), match('Moral weights and discount rate'!$A$17, 'Moral weights and discount rate'!$A$1:$X$1,0))</f>
        <v>133.7</v>
      </c>
      <c r="AH120" s="608">
        <f t="array" ref="AH120">index('Moral weights and discount rate'!$A$1:$V$39, match($A120, 'Moral weights and discount rate'!$A$1:$A$39,0), match('Moral weights and discount rate'!$A$17, 'Moral weights and discount rate'!$A$1:$X$1,0))</f>
        <v>133.7</v>
      </c>
      <c r="AI120" s="608">
        <f t="array" ref="AI120">index('Moral weights and discount rate'!$A$1:$V$39, match($A120, 'Moral weights and discount rate'!$A$1:$A$39,0), match('Moral weights and discount rate'!$A$17, 'Moral weights and discount rate'!$A$1:$X$1,0))</f>
        <v>133.7</v>
      </c>
      <c r="AJ120" s="608">
        <f t="array" ref="AJ120">index('Moral weights and discount rate'!$A$1:$V$39, match($A120, 'Moral weights and discount rate'!$A$1:$A$39,0), match('Moral weights and discount rate'!$A$17, 'Moral weights and discount rate'!$A$1:$X$1,0))</f>
        <v>133.7</v>
      </c>
      <c r="AK120" s="608">
        <f t="array" ref="AK120">index('Moral weights and discount rate'!$A$1:$V$39, match($A120, 'Moral weights and discount rate'!$A$1:$A$39,0), match('Moral weights and discount rate'!$A$17, 'Moral weights and discount rate'!$A$1:$X$1,0))</f>
        <v>133.7</v>
      </c>
      <c r="AL120" s="608">
        <f t="array" ref="AL120">index('Moral weights and discount rate'!$A$1:$V$39, match($A120, 'Moral weights and discount rate'!$A$1:$A$39,0), match('Moral weights and discount rate'!$A$17, 'Moral weights and discount rate'!$A$1:$X$1,0))</f>
        <v>133.7</v>
      </c>
    </row>
    <row r="121">
      <c r="A121" s="400" t="s">
        <v>724</v>
      </c>
      <c r="B121" s="607">
        <f t="shared" ref="B121:AL121" si="44">B119*B120</f>
        <v>17.42855227</v>
      </c>
      <c r="C121" s="607">
        <f t="shared" si="44"/>
        <v>96.0673262</v>
      </c>
      <c r="D121" s="607">
        <f t="shared" si="44"/>
        <v>18.76886354</v>
      </c>
      <c r="E121" s="607">
        <f t="shared" si="44"/>
        <v>26.05430856</v>
      </c>
      <c r="F121" s="607">
        <f t="shared" si="44"/>
        <v>378.09796</v>
      </c>
      <c r="G121" s="607">
        <f t="shared" si="44"/>
        <v>37.61579688</v>
      </c>
      <c r="H121" s="607">
        <f t="shared" si="44"/>
        <v>56.84270683</v>
      </c>
      <c r="I121" s="607">
        <f t="shared" si="44"/>
        <v>145.9288142</v>
      </c>
      <c r="J121" s="607">
        <f t="shared" si="44"/>
        <v>12.96213309</v>
      </c>
      <c r="K121" s="607">
        <f t="shared" si="44"/>
        <v>32.31717641</v>
      </c>
      <c r="L121" s="607">
        <f t="shared" si="44"/>
        <v>3.107080898</v>
      </c>
      <c r="M121" s="607">
        <f t="shared" si="44"/>
        <v>11.8440114</v>
      </c>
      <c r="N121" s="607">
        <f t="shared" si="44"/>
        <v>5.892947149</v>
      </c>
      <c r="O121" s="607">
        <f t="shared" si="44"/>
        <v>3.77819424</v>
      </c>
      <c r="P121" s="607">
        <f t="shared" si="44"/>
        <v>11.33275777</v>
      </c>
      <c r="Q121" s="607">
        <f t="shared" si="44"/>
        <v>184.3246023</v>
      </c>
      <c r="R121" s="607">
        <f t="shared" si="44"/>
        <v>7.461743374</v>
      </c>
      <c r="S121" s="607">
        <f t="shared" si="44"/>
        <v>323.909318</v>
      </c>
      <c r="T121" s="607">
        <f t="shared" si="44"/>
        <v>114.320065</v>
      </c>
      <c r="U121" s="607">
        <f t="shared" si="44"/>
        <v>234.392628</v>
      </c>
      <c r="V121" s="607">
        <f t="shared" si="44"/>
        <v>324.2841948</v>
      </c>
      <c r="W121" s="607">
        <f t="shared" si="44"/>
        <v>373.3098716</v>
      </c>
      <c r="X121" s="607">
        <f t="shared" si="44"/>
        <v>30.73056891</v>
      </c>
      <c r="Y121" s="607">
        <f t="shared" si="44"/>
        <v>41.80207883</v>
      </c>
      <c r="Z121" s="607">
        <f t="shared" si="44"/>
        <v>7.535136407</v>
      </c>
      <c r="AA121" s="607">
        <f t="shared" si="44"/>
        <v>68.57074996</v>
      </c>
      <c r="AB121" s="607">
        <f t="shared" si="44"/>
        <v>144.4223174</v>
      </c>
      <c r="AC121" s="607">
        <f t="shared" si="44"/>
        <v>57.51635463</v>
      </c>
      <c r="AD121" s="607">
        <f t="shared" si="44"/>
        <v>40.87401863</v>
      </c>
      <c r="AE121" s="607">
        <f t="shared" si="44"/>
        <v>8.326943386</v>
      </c>
      <c r="AF121" s="607">
        <f t="shared" si="44"/>
        <v>25.93537679</v>
      </c>
      <c r="AG121" s="607">
        <f t="shared" si="44"/>
        <v>41.62349202</v>
      </c>
      <c r="AH121" s="607">
        <f t="shared" si="44"/>
        <v>14.43429271</v>
      </c>
      <c r="AI121" s="607">
        <f t="shared" si="44"/>
        <v>858.4661387</v>
      </c>
      <c r="AJ121" s="607">
        <f t="shared" si="44"/>
        <v>124.5535493</v>
      </c>
      <c r="AK121" s="607">
        <f t="shared" si="44"/>
        <v>119.4144478</v>
      </c>
      <c r="AL121" s="607">
        <f t="shared" si="44"/>
        <v>537.3769533</v>
      </c>
    </row>
    <row r="122">
      <c r="A122" s="291"/>
      <c r="B122" s="568"/>
      <c r="C122" s="568"/>
      <c r="D122" s="568"/>
      <c r="E122" s="568"/>
      <c r="F122" s="568"/>
      <c r="G122" s="151"/>
      <c r="H122" s="151"/>
      <c r="I122" s="151"/>
      <c r="J122" s="151"/>
      <c r="K122" s="151"/>
      <c r="L122" s="151"/>
      <c r="M122" s="151"/>
      <c r="N122" s="151"/>
      <c r="O122" s="151"/>
      <c r="P122" s="151"/>
      <c r="Q122" s="568"/>
      <c r="R122" s="568"/>
      <c r="S122" s="568"/>
      <c r="T122" s="151"/>
      <c r="U122" s="568"/>
      <c r="V122" s="568"/>
      <c r="W122" s="151"/>
      <c r="X122" s="151"/>
      <c r="Y122" s="568"/>
      <c r="Z122" s="568"/>
      <c r="AA122" s="151"/>
      <c r="AB122" s="151"/>
      <c r="AC122" s="151"/>
      <c r="AD122" s="151"/>
      <c r="AE122" s="151"/>
      <c r="AF122" s="151"/>
      <c r="AG122" s="151"/>
      <c r="AH122" s="151"/>
      <c r="AI122" s="568"/>
      <c r="AJ122" s="568"/>
      <c r="AK122" s="568"/>
      <c r="AL122" s="568"/>
    </row>
    <row r="123">
      <c r="A123" s="446" t="s">
        <v>725</v>
      </c>
      <c r="B123" s="568"/>
      <c r="C123" s="568"/>
      <c r="D123" s="568"/>
      <c r="E123" s="568"/>
      <c r="F123" s="568"/>
      <c r="G123" s="151"/>
      <c r="H123" s="151"/>
      <c r="I123" s="151"/>
      <c r="J123" s="151"/>
      <c r="K123" s="151"/>
      <c r="L123" s="151"/>
      <c r="M123" s="151"/>
      <c r="N123" s="151"/>
      <c r="O123" s="151"/>
      <c r="P123" s="151"/>
      <c r="Q123" s="568"/>
      <c r="R123" s="568"/>
      <c r="S123" s="568"/>
      <c r="T123" s="151"/>
      <c r="U123" s="568"/>
      <c r="V123" s="568"/>
      <c r="W123" s="151"/>
      <c r="X123" s="151"/>
      <c r="Y123" s="568"/>
      <c r="Z123" s="568"/>
      <c r="AA123" s="151"/>
      <c r="AB123" s="151"/>
      <c r="AC123" s="151"/>
      <c r="AD123" s="151"/>
      <c r="AE123" s="151"/>
      <c r="AF123" s="151"/>
      <c r="AG123" s="151"/>
      <c r="AH123" s="151"/>
      <c r="AI123" s="568"/>
      <c r="AJ123" s="568"/>
      <c r="AK123" s="568"/>
      <c r="AL123" s="568"/>
    </row>
    <row r="124">
      <c r="A124" s="225" t="s">
        <v>726</v>
      </c>
      <c r="B124" s="611">
        <v>0.0042627</v>
      </c>
      <c r="C124" s="611">
        <v>0.0080029</v>
      </c>
      <c r="D124" s="611">
        <v>0.0044376</v>
      </c>
      <c r="E124" s="611">
        <v>0.0045319</v>
      </c>
      <c r="F124" s="611">
        <v>0.0150587</v>
      </c>
      <c r="G124" s="611">
        <v>0.0054328</v>
      </c>
      <c r="H124" s="611">
        <v>0.007359</v>
      </c>
      <c r="I124" s="611">
        <v>0.007632</v>
      </c>
      <c r="J124" s="611">
        <v>0.0059255</v>
      </c>
      <c r="K124" s="611">
        <v>0.0048752</v>
      </c>
      <c r="L124" s="611">
        <v>0.0062201</v>
      </c>
      <c r="M124" s="611">
        <v>0.0042989</v>
      </c>
      <c r="N124" s="611">
        <v>0.0040462</v>
      </c>
      <c r="O124" s="611">
        <v>0.0045717</v>
      </c>
      <c r="P124" s="611">
        <v>0.0043208</v>
      </c>
      <c r="Q124" s="611">
        <v>0.0090907</v>
      </c>
      <c r="R124" s="611">
        <v>0.0040948</v>
      </c>
      <c r="S124" s="611">
        <v>0.0178209</v>
      </c>
      <c r="T124" s="611">
        <v>0.0065424</v>
      </c>
      <c r="U124" s="611">
        <v>0.0086981</v>
      </c>
      <c r="V124" s="611">
        <v>0.0140689</v>
      </c>
      <c r="W124" s="611">
        <v>0.0141809</v>
      </c>
      <c r="X124" s="611">
        <v>0.004584</v>
      </c>
      <c r="Y124" s="611">
        <v>0.0052582</v>
      </c>
      <c r="Z124" s="611">
        <v>0.0030232</v>
      </c>
      <c r="AA124" s="611">
        <v>0.0069403</v>
      </c>
      <c r="AB124" s="611">
        <v>0.0087922</v>
      </c>
      <c r="AC124" s="611">
        <v>0.0054391</v>
      </c>
      <c r="AD124" s="611">
        <v>0.0047613</v>
      </c>
      <c r="AE124" s="611">
        <v>0.0030981</v>
      </c>
      <c r="AF124" s="611">
        <v>0.0036157</v>
      </c>
      <c r="AG124" s="611">
        <v>0.0071941</v>
      </c>
      <c r="AH124" s="611">
        <v>0.004405</v>
      </c>
      <c r="AI124" s="611">
        <v>0.0197911</v>
      </c>
      <c r="AJ124" s="611">
        <v>0.0094394</v>
      </c>
      <c r="AK124" s="611">
        <v>0.0144185</v>
      </c>
      <c r="AL124" s="611">
        <v>0.0180476</v>
      </c>
    </row>
    <row r="125">
      <c r="A125" s="225" t="s">
        <v>715</v>
      </c>
      <c r="B125" s="611">
        <v>0.71405</v>
      </c>
      <c r="C125" s="611">
        <v>0.72684</v>
      </c>
      <c r="D125" s="611">
        <v>0.72099</v>
      </c>
      <c r="E125" s="611">
        <v>0.72333</v>
      </c>
      <c r="F125" s="611">
        <v>0.75658</v>
      </c>
      <c r="G125" s="611">
        <v>0.70026</v>
      </c>
      <c r="H125" s="611">
        <v>0.71668</v>
      </c>
      <c r="I125" s="611">
        <v>0.73002</v>
      </c>
      <c r="J125" s="611">
        <v>0.69061</v>
      </c>
      <c r="K125" s="611">
        <v>0.71989</v>
      </c>
      <c r="L125" s="611">
        <v>0.72425</v>
      </c>
      <c r="M125" s="611">
        <v>0.72801</v>
      </c>
      <c r="N125" s="611">
        <v>0.7179</v>
      </c>
      <c r="O125" s="611">
        <v>0.71855</v>
      </c>
      <c r="P125" s="611">
        <v>0.72393</v>
      </c>
      <c r="Q125" s="611">
        <v>0.74845</v>
      </c>
      <c r="R125" s="611">
        <v>0.72153</v>
      </c>
      <c r="S125" s="611">
        <v>0.76805</v>
      </c>
      <c r="T125" s="611">
        <v>0.74001</v>
      </c>
      <c r="U125" s="611">
        <v>0.74446</v>
      </c>
      <c r="V125" s="611">
        <v>0.75763</v>
      </c>
      <c r="W125" s="611">
        <v>0.76406</v>
      </c>
      <c r="X125" s="611">
        <v>0.72084</v>
      </c>
      <c r="Y125" s="611">
        <v>0.71578</v>
      </c>
      <c r="Z125" s="611">
        <v>0.71246</v>
      </c>
      <c r="AA125" s="611">
        <v>0.72543</v>
      </c>
      <c r="AB125" s="611">
        <v>0.73651</v>
      </c>
      <c r="AC125" s="611">
        <v>0.72498</v>
      </c>
      <c r="AD125" s="611">
        <v>0.7181</v>
      </c>
      <c r="AE125" s="611">
        <v>0.71842</v>
      </c>
      <c r="AF125" s="611">
        <v>0.70859</v>
      </c>
      <c r="AG125" s="611">
        <v>0.72274</v>
      </c>
      <c r="AH125" s="611">
        <v>0.71544</v>
      </c>
      <c r="AI125" s="611">
        <v>0.76513</v>
      </c>
      <c r="AJ125" s="611">
        <v>0.72836</v>
      </c>
      <c r="AK125" s="611">
        <v>0.75753</v>
      </c>
      <c r="AL125" s="611">
        <v>0.76993</v>
      </c>
    </row>
    <row r="126">
      <c r="A126" s="225" t="s">
        <v>706</v>
      </c>
      <c r="B126" s="616">
        <f t="shared" ref="B126:AL126" si="45">1-(B125*(B$75*B$91/B$49))</f>
        <v>0.2096714189</v>
      </c>
      <c r="C126" s="616">
        <f t="shared" si="45"/>
        <v>0.1788677246</v>
      </c>
      <c r="D126" s="616">
        <f t="shared" si="45"/>
        <v>0.2165951377</v>
      </c>
      <c r="E126" s="616">
        <f t="shared" si="45"/>
        <v>0.2242558428</v>
      </c>
      <c r="F126" s="616">
        <f t="shared" si="45"/>
        <v>0.101322689</v>
      </c>
      <c r="G126" s="616">
        <f t="shared" si="45"/>
        <v>0.206290956</v>
      </c>
      <c r="H126" s="616">
        <f t="shared" si="45"/>
        <v>0.1915126948</v>
      </c>
      <c r="I126" s="616">
        <f t="shared" si="45"/>
        <v>0.1646655871</v>
      </c>
      <c r="J126" s="616">
        <f t="shared" si="45"/>
        <v>0.2671423146</v>
      </c>
      <c r="K126" s="616">
        <f t="shared" si="45"/>
        <v>0.2056085227</v>
      </c>
      <c r="L126" s="616">
        <f t="shared" si="45"/>
        <v>0.2261157946</v>
      </c>
      <c r="M126" s="616">
        <f t="shared" si="45"/>
        <v>0.2348426338</v>
      </c>
      <c r="N126" s="616">
        <f t="shared" si="45"/>
        <v>0.2384379634</v>
      </c>
      <c r="O126" s="616">
        <f t="shared" si="45"/>
        <v>0.245916049</v>
      </c>
      <c r="P126" s="616">
        <f t="shared" si="45"/>
        <v>0.2238125538</v>
      </c>
      <c r="Q126" s="616">
        <f t="shared" si="45"/>
        <v>0.1265395866</v>
      </c>
      <c r="R126" s="616">
        <f t="shared" si="45"/>
        <v>0.2339921288</v>
      </c>
      <c r="S126" s="616">
        <f t="shared" si="45"/>
        <v>0.09238299409</v>
      </c>
      <c r="T126" s="616">
        <f t="shared" si="45"/>
        <v>0.1556592329</v>
      </c>
      <c r="U126" s="616">
        <f t="shared" si="45"/>
        <v>0.1127734162</v>
      </c>
      <c r="V126" s="616">
        <f t="shared" si="45"/>
        <v>0.1001658884</v>
      </c>
      <c r="W126" s="616">
        <f t="shared" si="45"/>
        <v>0.10353488</v>
      </c>
      <c r="X126" s="616">
        <f t="shared" si="45"/>
        <v>0.2152956739</v>
      </c>
      <c r="Y126" s="616">
        <f t="shared" si="45"/>
        <v>0.2001982123</v>
      </c>
      <c r="Z126" s="616">
        <f t="shared" si="45"/>
        <v>0.2350821377</v>
      </c>
      <c r="AA126" s="616">
        <f t="shared" si="45"/>
        <v>0.1797334955</v>
      </c>
      <c r="AB126" s="616">
        <f t="shared" si="45"/>
        <v>0.1365335294</v>
      </c>
      <c r="AC126" s="616">
        <f t="shared" si="45"/>
        <v>0.1831344076</v>
      </c>
      <c r="AD126" s="616">
        <f t="shared" si="45"/>
        <v>0.2090053622</v>
      </c>
      <c r="AE126" s="616">
        <f t="shared" si="45"/>
        <v>0.2251700381</v>
      </c>
      <c r="AF126" s="616">
        <f t="shared" si="45"/>
        <v>0.2169311469</v>
      </c>
      <c r="AG126" s="616">
        <f t="shared" si="45"/>
        <v>0.2009583521</v>
      </c>
      <c r="AH126" s="616">
        <f t="shared" si="45"/>
        <v>0.2226042319</v>
      </c>
      <c r="AI126" s="616">
        <f t="shared" si="45"/>
        <v>0.05127758257</v>
      </c>
      <c r="AJ126" s="616">
        <f t="shared" si="45"/>
        <v>0.1496252665</v>
      </c>
      <c r="AK126" s="616">
        <f t="shared" si="45"/>
        <v>0.1162433654</v>
      </c>
      <c r="AL126" s="616">
        <f t="shared" si="45"/>
        <v>0.073240616</v>
      </c>
    </row>
    <row r="127">
      <c r="A127" s="129" t="s">
        <v>692</v>
      </c>
      <c r="B127" s="617">
        <f t="shared" ref="B127:AL127" si="46">B79*0.2</f>
        <v>0.12404758</v>
      </c>
      <c r="C127" s="617">
        <f t="shared" si="46"/>
        <v>0.10260596</v>
      </c>
      <c r="D127" s="617">
        <f t="shared" si="46"/>
        <v>0.13294526</v>
      </c>
      <c r="E127" s="617">
        <f t="shared" si="46"/>
        <v>0.14292284</v>
      </c>
      <c r="F127" s="617">
        <f t="shared" si="46"/>
        <v>0.05830928</v>
      </c>
      <c r="G127" s="617">
        <f t="shared" si="46"/>
        <v>0.09942842</v>
      </c>
      <c r="H127" s="617">
        <f t="shared" si="46"/>
        <v>0.10510846</v>
      </c>
      <c r="I127" s="617">
        <f t="shared" si="46"/>
        <v>0.08787748</v>
      </c>
      <c r="J127" s="617">
        <f t="shared" si="46"/>
        <v>0.15006448</v>
      </c>
      <c r="K127" s="617">
        <f t="shared" si="46"/>
        <v>0.12174296</v>
      </c>
      <c r="L127" s="617">
        <f t="shared" si="46"/>
        <v>0.14652844</v>
      </c>
      <c r="M127" s="617">
        <f t="shared" si="46"/>
        <v>0.15783804</v>
      </c>
      <c r="N127" s="617">
        <f t="shared" si="46"/>
        <v>0.15098456</v>
      </c>
      <c r="O127" s="617">
        <f t="shared" si="46"/>
        <v>0.15895482</v>
      </c>
      <c r="P127" s="617">
        <f t="shared" si="46"/>
        <v>0.1442629</v>
      </c>
      <c r="Q127" s="617">
        <f t="shared" si="46"/>
        <v>0.07366986</v>
      </c>
      <c r="R127" s="617">
        <f t="shared" si="46"/>
        <v>0.15225688</v>
      </c>
      <c r="S127" s="617">
        <f t="shared" si="46"/>
        <v>0.06156156</v>
      </c>
      <c r="T127" s="617">
        <f t="shared" si="46"/>
        <v>0.09155346</v>
      </c>
      <c r="U127" s="617">
        <f t="shared" si="46"/>
        <v>0.05945638</v>
      </c>
      <c r="V127" s="617">
        <f t="shared" si="46"/>
        <v>0.0572399</v>
      </c>
      <c r="W127" s="617">
        <f t="shared" si="46"/>
        <v>0.06571882</v>
      </c>
      <c r="X127" s="617">
        <f t="shared" si="46"/>
        <v>0.12197868</v>
      </c>
      <c r="Y127" s="617">
        <f t="shared" si="46"/>
        <v>0.10588562</v>
      </c>
      <c r="Z127" s="617">
        <f t="shared" si="46"/>
        <v>0.14514314</v>
      </c>
      <c r="AA127" s="617">
        <f t="shared" si="46"/>
        <v>0.09915456</v>
      </c>
      <c r="AB127" s="617">
        <f t="shared" si="46"/>
        <v>0.07032834</v>
      </c>
      <c r="AC127" s="617">
        <f t="shared" si="46"/>
        <v>0.10341596</v>
      </c>
      <c r="AD127" s="617">
        <f t="shared" si="46"/>
        <v>0.12212166</v>
      </c>
      <c r="AE127" s="617">
        <f t="shared" si="46"/>
        <v>0.1370306</v>
      </c>
      <c r="AF127" s="617">
        <f t="shared" si="46"/>
        <v>0.11545258</v>
      </c>
      <c r="AG127" s="617">
        <f t="shared" si="46"/>
        <v>0.11771928</v>
      </c>
      <c r="AH127" s="617">
        <f t="shared" si="46"/>
        <v>0.13510524</v>
      </c>
      <c r="AI127" s="617">
        <f t="shared" si="46"/>
        <v>0.02523126</v>
      </c>
      <c r="AJ127" s="617">
        <f t="shared" si="46"/>
        <v>0.07591284</v>
      </c>
      <c r="AK127" s="617">
        <f t="shared" si="46"/>
        <v>0.07024246</v>
      </c>
      <c r="AL127" s="617">
        <f t="shared" si="46"/>
        <v>0.0462891</v>
      </c>
    </row>
    <row r="128">
      <c r="A128" s="129" t="s">
        <v>727</v>
      </c>
      <c r="B128" s="614">
        <f t="shared" ref="B128:AL128" si="47">B124/((B127*B126)+(1-B127))</f>
        <v>0.00472603241</v>
      </c>
      <c r="C128" s="614">
        <f t="shared" si="47"/>
        <v>0.008739204793</v>
      </c>
      <c r="D128" s="614">
        <f t="shared" si="47"/>
        <v>0.004953507638</v>
      </c>
      <c r="E128" s="614">
        <f t="shared" si="47"/>
        <v>0.005097013869</v>
      </c>
      <c r="F128" s="614">
        <f t="shared" si="47"/>
        <v>0.01589143045</v>
      </c>
      <c r="G128" s="614">
        <f t="shared" si="47"/>
        <v>0.005898275609</v>
      </c>
      <c r="H128" s="614">
        <f t="shared" si="47"/>
        <v>0.008042437101</v>
      </c>
      <c r="I128" s="614">
        <f t="shared" si="47"/>
        <v>0.008236626744</v>
      </c>
      <c r="J128" s="614">
        <f t="shared" si="47"/>
        <v>0.006657684943</v>
      </c>
      <c r="K128" s="614">
        <f t="shared" si="47"/>
        <v>0.005397168653</v>
      </c>
      <c r="L128" s="614">
        <f t="shared" si="47"/>
        <v>0.007015646578</v>
      </c>
      <c r="M128" s="614">
        <f t="shared" si="47"/>
        <v>0.004889397076</v>
      </c>
      <c r="N128" s="614">
        <f t="shared" si="47"/>
        <v>0.004571895309</v>
      </c>
      <c r="O128" s="614">
        <f t="shared" si="47"/>
        <v>0.005194318426</v>
      </c>
      <c r="P128" s="614">
        <f t="shared" si="47"/>
        <v>0.004865629068</v>
      </c>
      <c r="Q128" s="614">
        <f t="shared" si="47"/>
        <v>0.009715895597</v>
      </c>
      <c r="R128" s="614">
        <f t="shared" si="47"/>
        <v>0.004635430062</v>
      </c>
      <c r="S128" s="614">
        <f t="shared" si="47"/>
        <v>0.018875559</v>
      </c>
      <c r="T128" s="614">
        <f t="shared" si="47"/>
        <v>0.007090513103</v>
      </c>
      <c r="U128" s="614">
        <f t="shared" si="47"/>
        <v>0.009182488004</v>
      </c>
      <c r="V128" s="614">
        <f t="shared" si="47"/>
        <v>0.01483288893</v>
      </c>
      <c r="W128" s="614">
        <f t="shared" si="47"/>
        <v>0.01506866481</v>
      </c>
      <c r="X128" s="614">
        <f t="shared" si="47"/>
        <v>0.005069210638</v>
      </c>
      <c r="Y128" s="614">
        <f t="shared" si="47"/>
        <v>0.005744704729</v>
      </c>
      <c r="Z128" s="614">
        <f t="shared" si="47"/>
        <v>0.003400761294</v>
      </c>
      <c r="AA128" s="614">
        <f t="shared" si="47"/>
        <v>0.007554751876</v>
      </c>
      <c r="AB128" s="614">
        <f t="shared" si="47"/>
        <v>0.009360635481</v>
      </c>
      <c r="AC128" s="614">
        <f t="shared" si="47"/>
        <v>0.005940975421</v>
      </c>
      <c r="AD128" s="614">
        <f t="shared" si="47"/>
        <v>0.005270408718</v>
      </c>
      <c r="AE128" s="614">
        <f t="shared" si="47"/>
        <v>0.003466116339</v>
      </c>
      <c r="AF128" s="614">
        <f t="shared" si="47"/>
        <v>0.003975075962</v>
      </c>
      <c r="AG128" s="614">
        <f t="shared" si="47"/>
        <v>0.007941056478</v>
      </c>
      <c r="AH128" s="614">
        <f t="shared" si="47"/>
        <v>0.004921954021</v>
      </c>
      <c r="AI128" s="614">
        <f t="shared" si="47"/>
        <v>0.02027646716</v>
      </c>
      <c r="AJ128" s="614">
        <f t="shared" si="47"/>
        <v>0.0100908055</v>
      </c>
      <c r="AK128" s="614">
        <f t="shared" si="47"/>
        <v>0.01537280106</v>
      </c>
      <c r="AL128" s="614">
        <f t="shared" si="47"/>
        <v>0.01885652331</v>
      </c>
    </row>
    <row r="129">
      <c r="A129" s="400" t="s">
        <v>717</v>
      </c>
      <c r="B129" s="536">
        <v>0.7</v>
      </c>
      <c r="C129" s="536">
        <v>0.7</v>
      </c>
      <c r="D129" s="536">
        <v>0.7</v>
      </c>
      <c r="E129" s="536">
        <v>0.7</v>
      </c>
      <c r="F129" s="536">
        <v>0.7</v>
      </c>
      <c r="G129" s="536">
        <v>0.7</v>
      </c>
      <c r="H129" s="536">
        <v>0.7</v>
      </c>
      <c r="I129" s="536">
        <v>0.7</v>
      </c>
      <c r="J129" s="536">
        <v>0.7</v>
      </c>
      <c r="K129" s="536">
        <v>0.7</v>
      </c>
      <c r="L129" s="536">
        <v>0.7</v>
      </c>
      <c r="M129" s="536">
        <v>0.7</v>
      </c>
      <c r="N129" s="536">
        <v>0.7</v>
      </c>
      <c r="O129" s="536">
        <v>0.7</v>
      </c>
      <c r="P129" s="536">
        <v>0.7</v>
      </c>
      <c r="Q129" s="536">
        <v>0.7</v>
      </c>
      <c r="R129" s="536">
        <v>0.700000000000001</v>
      </c>
      <c r="S129" s="536">
        <v>0.700000000000001</v>
      </c>
      <c r="T129" s="536">
        <v>0.700000000000001</v>
      </c>
      <c r="U129" s="536">
        <v>0.700000000000001</v>
      </c>
      <c r="V129" s="536">
        <v>0.700000000000001</v>
      </c>
      <c r="W129" s="536">
        <v>0.700000000000001</v>
      </c>
      <c r="X129" s="536">
        <v>0.700000000000001</v>
      </c>
      <c r="Y129" s="536">
        <v>0.700000000000001</v>
      </c>
      <c r="Z129" s="536">
        <v>0.700000000000002</v>
      </c>
      <c r="AA129" s="536">
        <v>0.700000000000002</v>
      </c>
      <c r="AB129" s="536">
        <v>0.700000000000002</v>
      </c>
      <c r="AC129" s="536">
        <v>0.700000000000002</v>
      </c>
      <c r="AD129" s="536">
        <v>0.700000000000002</v>
      </c>
      <c r="AE129" s="536">
        <v>0.700000000000002</v>
      </c>
      <c r="AF129" s="536">
        <v>0.700000000000002</v>
      </c>
      <c r="AG129" s="536">
        <v>0.700000000000002</v>
      </c>
      <c r="AH129" s="536">
        <v>0.700000000000002</v>
      </c>
      <c r="AI129" s="536">
        <v>0.700000000000002</v>
      </c>
      <c r="AJ129" s="536">
        <v>0.700000000000002</v>
      </c>
      <c r="AK129" s="536">
        <v>0.700000000000002</v>
      </c>
      <c r="AL129" s="536">
        <v>0.700000000000002</v>
      </c>
    </row>
    <row r="130">
      <c r="A130" s="400" t="s">
        <v>718</v>
      </c>
      <c r="B130" s="536">
        <v>0.6</v>
      </c>
      <c r="C130" s="536">
        <v>0.6</v>
      </c>
      <c r="D130" s="536">
        <v>0.6</v>
      </c>
      <c r="E130" s="536">
        <v>0.6</v>
      </c>
      <c r="F130" s="536">
        <v>0.6</v>
      </c>
      <c r="G130" s="536">
        <v>0.6</v>
      </c>
      <c r="H130" s="536">
        <v>0.6</v>
      </c>
      <c r="I130" s="536">
        <v>0.6</v>
      </c>
      <c r="J130" s="536">
        <v>0.6</v>
      </c>
      <c r="K130" s="536">
        <v>0.6</v>
      </c>
      <c r="L130" s="536">
        <v>0.6</v>
      </c>
      <c r="M130" s="536">
        <v>0.600000000000001</v>
      </c>
      <c r="N130" s="536">
        <v>0.600000000000001</v>
      </c>
      <c r="O130" s="536">
        <v>0.600000000000001</v>
      </c>
      <c r="P130" s="536">
        <v>0.600000000000001</v>
      </c>
      <c r="Q130" s="536">
        <v>0.600000000000001</v>
      </c>
      <c r="R130" s="536">
        <v>0.600000000000001</v>
      </c>
      <c r="S130" s="536">
        <v>0.600000000000001</v>
      </c>
      <c r="T130" s="536">
        <v>0.600000000000001</v>
      </c>
      <c r="U130" s="536">
        <v>0.600000000000001</v>
      </c>
      <c r="V130" s="536">
        <v>0.600000000000001</v>
      </c>
      <c r="W130" s="536">
        <v>0.600000000000001</v>
      </c>
      <c r="X130" s="536">
        <v>0.600000000000001</v>
      </c>
      <c r="Y130" s="536">
        <v>0.600000000000001</v>
      </c>
      <c r="Z130" s="536">
        <v>0.600000000000001</v>
      </c>
      <c r="AA130" s="536">
        <v>0.600000000000001</v>
      </c>
      <c r="AB130" s="536">
        <v>0.600000000000001</v>
      </c>
      <c r="AC130" s="536">
        <v>0.600000000000001</v>
      </c>
      <c r="AD130" s="536">
        <v>0.600000000000001</v>
      </c>
      <c r="AE130" s="536">
        <v>0.600000000000001</v>
      </c>
      <c r="AF130" s="536">
        <v>0.600000000000001</v>
      </c>
      <c r="AG130" s="536">
        <v>0.600000000000001</v>
      </c>
      <c r="AH130" s="536">
        <v>0.600000000000001</v>
      </c>
      <c r="AI130" s="536">
        <v>0.600000000000001</v>
      </c>
      <c r="AJ130" s="536">
        <v>0.6</v>
      </c>
      <c r="AK130" s="536">
        <v>0.6</v>
      </c>
      <c r="AL130" s="536">
        <v>0.6</v>
      </c>
    </row>
    <row r="131">
      <c r="A131" s="400" t="s">
        <v>719</v>
      </c>
      <c r="B131" s="615">
        <f t="shared" ref="B131:AL131" si="48">B128*B129</f>
        <v>0.003308222687</v>
      </c>
      <c r="C131" s="615">
        <f t="shared" si="48"/>
        <v>0.006117443355</v>
      </c>
      <c r="D131" s="615">
        <f t="shared" si="48"/>
        <v>0.003467455346</v>
      </c>
      <c r="E131" s="615">
        <f t="shared" si="48"/>
        <v>0.003567909708</v>
      </c>
      <c r="F131" s="615">
        <f t="shared" si="48"/>
        <v>0.01112400132</v>
      </c>
      <c r="G131" s="615">
        <f t="shared" si="48"/>
        <v>0.004128792927</v>
      </c>
      <c r="H131" s="615">
        <f t="shared" si="48"/>
        <v>0.005629705971</v>
      </c>
      <c r="I131" s="615">
        <f t="shared" si="48"/>
        <v>0.005765638721</v>
      </c>
      <c r="J131" s="615">
        <f t="shared" si="48"/>
        <v>0.00466037946</v>
      </c>
      <c r="K131" s="615">
        <f t="shared" si="48"/>
        <v>0.003778018057</v>
      </c>
      <c r="L131" s="615">
        <f t="shared" si="48"/>
        <v>0.004910952604</v>
      </c>
      <c r="M131" s="615">
        <f t="shared" si="48"/>
        <v>0.003422577953</v>
      </c>
      <c r="N131" s="615">
        <f t="shared" si="48"/>
        <v>0.003200326716</v>
      </c>
      <c r="O131" s="615">
        <f t="shared" si="48"/>
        <v>0.003636022898</v>
      </c>
      <c r="P131" s="615">
        <f t="shared" si="48"/>
        <v>0.003405940347</v>
      </c>
      <c r="Q131" s="615">
        <f t="shared" si="48"/>
        <v>0.006801126918</v>
      </c>
      <c r="R131" s="615">
        <f t="shared" si="48"/>
        <v>0.003244801044</v>
      </c>
      <c r="S131" s="615">
        <f t="shared" si="48"/>
        <v>0.0132128913</v>
      </c>
      <c r="T131" s="615">
        <f t="shared" si="48"/>
        <v>0.004963359172</v>
      </c>
      <c r="U131" s="615">
        <f t="shared" si="48"/>
        <v>0.006427741603</v>
      </c>
      <c r="V131" s="615">
        <f t="shared" si="48"/>
        <v>0.01038302225</v>
      </c>
      <c r="W131" s="615">
        <f t="shared" si="48"/>
        <v>0.01054806537</v>
      </c>
      <c r="X131" s="615">
        <f t="shared" si="48"/>
        <v>0.003548447446</v>
      </c>
      <c r="Y131" s="615">
        <f t="shared" si="48"/>
        <v>0.00402129331</v>
      </c>
      <c r="Z131" s="615">
        <f t="shared" si="48"/>
        <v>0.002380532906</v>
      </c>
      <c r="AA131" s="615">
        <f t="shared" si="48"/>
        <v>0.005288326313</v>
      </c>
      <c r="AB131" s="615">
        <f t="shared" si="48"/>
        <v>0.006552444837</v>
      </c>
      <c r="AC131" s="615">
        <f t="shared" si="48"/>
        <v>0.004158682795</v>
      </c>
      <c r="AD131" s="615">
        <f t="shared" si="48"/>
        <v>0.003689286103</v>
      </c>
      <c r="AE131" s="615">
        <f t="shared" si="48"/>
        <v>0.002426281438</v>
      </c>
      <c r="AF131" s="615">
        <f t="shared" si="48"/>
        <v>0.002782553174</v>
      </c>
      <c r="AG131" s="615">
        <f t="shared" si="48"/>
        <v>0.005558739535</v>
      </c>
      <c r="AH131" s="615">
        <f t="shared" si="48"/>
        <v>0.003445367815</v>
      </c>
      <c r="AI131" s="615">
        <f t="shared" si="48"/>
        <v>0.01419352701</v>
      </c>
      <c r="AJ131" s="615">
        <f t="shared" si="48"/>
        <v>0.007063563851</v>
      </c>
      <c r="AK131" s="615">
        <f t="shared" si="48"/>
        <v>0.01076096074</v>
      </c>
      <c r="AL131" s="615">
        <f t="shared" si="48"/>
        <v>0.01319956632</v>
      </c>
    </row>
    <row r="132">
      <c r="A132" s="400" t="s">
        <v>720</v>
      </c>
      <c r="B132" s="616">
        <f t="shared" ref="B132:AL132" si="49">B125*(B$75*B$91/B$49)*B130</f>
        <v>0.4741971487</v>
      </c>
      <c r="C132" s="616">
        <f t="shared" si="49"/>
        <v>0.4926793652</v>
      </c>
      <c r="D132" s="616">
        <f t="shared" si="49"/>
        <v>0.4700429174</v>
      </c>
      <c r="E132" s="616">
        <f t="shared" si="49"/>
        <v>0.4654464943</v>
      </c>
      <c r="F132" s="616">
        <f t="shared" si="49"/>
        <v>0.5392063866</v>
      </c>
      <c r="G132" s="616">
        <f t="shared" si="49"/>
        <v>0.4762254264</v>
      </c>
      <c r="H132" s="616">
        <f t="shared" si="49"/>
        <v>0.4850923831</v>
      </c>
      <c r="I132" s="616">
        <f t="shared" si="49"/>
        <v>0.5012006477</v>
      </c>
      <c r="J132" s="616">
        <f t="shared" si="49"/>
        <v>0.4397146112</v>
      </c>
      <c r="K132" s="616">
        <f t="shared" si="49"/>
        <v>0.4766348864</v>
      </c>
      <c r="L132" s="616">
        <f t="shared" si="49"/>
        <v>0.4643305233</v>
      </c>
      <c r="M132" s="616">
        <f t="shared" si="49"/>
        <v>0.4590944197</v>
      </c>
      <c r="N132" s="616">
        <f t="shared" si="49"/>
        <v>0.456937222</v>
      </c>
      <c r="O132" s="616">
        <f t="shared" si="49"/>
        <v>0.4524503706</v>
      </c>
      <c r="P132" s="616">
        <f t="shared" si="49"/>
        <v>0.4657124677</v>
      </c>
      <c r="Q132" s="616">
        <f t="shared" si="49"/>
        <v>0.524076248</v>
      </c>
      <c r="R132" s="616">
        <f t="shared" si="49"/>
        <v>0.4596047227</v>
      </c>
      <c r="S132" s="616">
        <f t="shared" si="49"/>
        <v>0.5445702035</v>
      </c>
      <c r="T132" s="616">
        <f t="shared" si="49"/>
        <v>0.5066044602</v>
      </c>
      <c r="U132" s="616">
        <f t="shared" si="49"/>
        <v>0.5323359503</v>
      </c>
      <c r="V132" s="616">
        <f t="shared" si="49"/>
        <v>0.539900467</v>
      </c>
      <c r="W132" s="616">
        <f t="shared" si="49"/>
        <v>0.537879072</v>
      </c>
      <c r="X132" s="616">
        <f t="shared" si="49"/>
        <v>0.4708225957</v>
      </c>
      <c r="Y132" s="616">
        <f t="shared" si="49"/>
        <v>0.4798810726</v>
      </c>
      <c r="Z132" s="616">
        <f t="shared" si="49"/>
        <v>0.4589507174</v>
      </c>
      <c r="AA132" s="616">
        <f t="shared" si="49"/>
        <v>0.4921599027</v>
      </c>
      <c r="AB132" s="616">
        <f t="shared" si="49"/>
        <v>0.5180798823</v>
      </c>
      <c r="AC132" s="616">
        <f t="shared" si="49"/>
        <v>0.4901193554</v>
      </c>
      <c r="AD132" s="616">
        <f t="shared" si="49"/>
        <v>0.4745967827</v>
      </c>
      <c r="AE132" s="616">
        <f t="shared" si="49"/>
        <v>0.4648979771</v>
      </c>
      <c r="AF132" s="616">
        <f t="shared" si="49"/>
        <v>0.4698413119</v>
      </c>
      <c r="AG132" s="616">
        <f t="shared" si="49"/>
        <v>0.4794249887</v>
      </c>
      <c r="AH132" s="616">
        <f t="shared" si="49"/>
        <v>0.4664374609</v>
      </c>
      <c r="AI132" s="616">
        <f t="shared" si="49"/>
        <v>0.5692334505</v>
      </c>
      <c r="AJ132" s="616">
        <f t="shared" si="49"/>
        <v>0.5102248401</v>
      </c>
      <c r="AK132" s="616">
        <f t="shared" si="49"/>
        <v>0.5302539808</v>
      </c>
      <c r="AL132" s="616">
        <f t="shared" si="49"/>
        <v>0.5560556304</v>
      </c>
    </row>
    <row r="133">
      <c r="A133" s="400" t="s">
        <v>721</v>
      </c>
      <c r="B133" s="616">
        <f t="shared" ref="B133:AL133" si="50">1-B132</f>
        <v>0.5258028513</v>
      </c>
      <c r="C133" s="616">
        <f t="shared" si="50"/>
        <v>0.5073206348</v>
      </c>
      <c r="D133" s="616">
        <f t="shared" si="50"/>
        <v>0.5299570826</v>
      </c>
      <c r="E133" s="616">
        <f t="shared" si="50"/>
        <v>0.5345535057</v>
      </c>
      <c r="F133" s="616">
        <f t="shared" si="50"/>
        <v>0.4607936134</v>
      </c>
      <c r="G133" s="616">
        <f t="shared" si="50"/>
        <v>0.5237745736</v>
      </c>
      <c r="H133" s="616">
        <f t="shared" si="50"/>
        <v>0.5149076169</v>
      </c>
      <c r="I133" s="616">
        <f t="shared" si="50"/>
        <v>0.4987993523</v>
      </c>
      <c r="J133" s="616">
        <f t="shared" si="50"/>
        <v>0.5602853888</v>
      </c>
      <c r="K133" s="616">
        <f t="shared" si="50"/>
        <v>0.5233651136</v>
      </c>
      <c r="L133" s="616">
        <f t="shared" si="50"/>
        <v>0.5356694767</v>
      </c>
      <c r="M133" s="616">
        <f t="shared" si="50"/>
        <v>0.5409055803</v>
      </c>
      <c r="N133" s="616">
        <f t="shared" si="50"/>
        <v>0.543062778</v>
      </c>
      <c r="O133" s="616">
        <f t="shared" si="50"/>
        <v>0.5475496294</v>
      </c>
      <c r="P133" s="616">
        <f t="shared" si="50"/>
        <v>0.5342875323</v>
      </c>
      <c r="Q133" s="616">
        <f t="shared" si="50"/>
        <v>0.475923752</v>
      </c>
      <c r="R133" s="616">
        <f t="shared" si="50"/>
        <v>0.5403952773</v>
      </c>
      <c r="S133" s="616">
        <f t="shared" si="50"/>
        <v>0.4554297965</v>
      </c>
      <c r="T133" s="616">
        <f t="shared" si="50"/>
        <v>0.4933955398</v>
      </c>
      <c r="U133" s="616">
        <f t="shared" si="50"/>
        <v>0.4676640497</v>
      </c>
      <c r="V133" s="616">
        <f t="shared" si="50"/>
        <v>0.460099533</v>
      </c>
      <c r="W133" s="616">
        <f t="shared" si="50"/>
        <v>0.462120928</v>
      </c>
      <c r="X133" s="616">
        <f t="shared" si="50"/>
        <v>0.5291774043</v>
      </c>
      <c r="Y133" s="616">
        <f t="shared" si="50"/>
        <v>0.5201189274</v>
      </c>
      <c r="Z133" s="616">
        <f t="shared" si="50"/>
        <v>0.5410492826</v>
      </c>
      <c r="AA133" s="616">
        <f t="shared" si="50"/>
        <v>0.5078400973</v>
      </c>
      <c r="AB133" s="616">
        <f t="shared" si="50"/>
        <v>0.4819201177</v>
      </c>
      <c r="AC133" s="616">
        <f t="shared" si="50"/>
        <v>0.5098806446</v>
      </c>
      <c r="AD133" s="616">
        <f t="shared" si="50"/>
        <v>0.5254032173</v>
      </c>
      <c r="AE133" s="616">
        <f t="shared" si="50"/>
        <v>0.5351020229</v>
      </c>
      <c r="AF133" s="616">
        <f t="shared" si="50"/>
        <v>0.5301586881</v>
      </c>
      <c r="AG133" s="616">
        <f t="shared" si="50"/>
        <v>0.5205750113</v>
      </c>
      <c r="AH133" s="616">
        <f t="shared" si="50"/>
        <v>0.5335625391</v>
      </c>
      <c r="AI133" s="616">
        <f t="shared" si="50"/>
        <v>0.4307665495</v>
      </c>
      <c r="AJ133" s="616">
        <f t="shared" si="50"/>
        <v>0.4897751599</v>
      </c>
      <c r="AK133" s="616">
        <f t="shared" si="50"/>
        <v>0.4697460192</v>
      </c>
      <c r="AL133" s="616">
        <f t="shared" si="50"/>
        <v>0.4439443696</v>
      </c>
    </row>
    <row r="134">
      <c r="A134" s="400" t="s">
        <v>722</v>
      </c>
      <c r="B134" s="616">
        <f t="shared" ref="B134:AL134" si="51">B$20*B131*(1-B133)*B$9</f>
        <v>0.4127112275</v>
      </c>
      <c r="C134" s="616">
        <f t="shared" si="51"/>
        <v>1.819591816</v>
      </c>
      <c r="D134" s="616">
        <f t="shared" si="51"/>
        <v>0.5648057077</v>
      </c>
      <c r="E134" s="616">
        <f t="shared" si="51"/>
        <v>0.7029598719</v>
      </c>
      <c r="F134" s="616">
        <f t="shared" si="51"/>
        <v>8.432086283</v>
      </c>
      <c r="G134" s="616">
        <f t="shared" si="51"/>
        <v>0.9741119968</v>
      </c>
      <c r="H134" s="616">
        <f t="shared" si="51"/>
        <v>1.359073412</v>
      </c>
      <c r="I134" s="616">
        <f t="shared" si="51"/>
        <v>3.676523291</v>
      </c>
      <c r="J134" s="616">
        <f t="shared" si="51"/>
        <v>0.3662882213</v>
      </c>
      <c r="K134" s="616">
        <f t="shared" si="51"/>
        <v>0.822094313</v>
      </c>
      <c r="L134" s="616">
        <f t="shared" si="51"/>
        <v>0.07293579272</v>
      </c>
      <c r="M134" s="616">
        <f t="shared" si="51"/>
        <v>0.3551423803</v>
      </c>
      <c r="N134" s="616">
        <f t="shared" si="51"/>
        <v>0.1751394004</v>
      </c>
      <c r="O134" s="616">
        <f t="shared" si="51"/>
        <v>0.125406235</v>
      </c>
      <c r="P134" s="616">
        <f t="shared" si="51"/>
        <v>0.2658088108</v>
      </c>
      <c r="Q134" s="616">
        <f t="shared" si="51"/>
        <v>3.411593255</v>
      </c>
      <c r="R134" s="616">
        <f t="shared" si="51"/>
        <v>0.2275327643</v>
      </c>
      <c r="S134" s="616">
        <f t="shared" si="51"/>
        <v>8.126982983</v>
      </c>
      <c r="T134" s="616">
        <f t="shared" si="51"/>
        <v>2.217518513</v>
      </c>
      <c r="U134" s="616">
        <f t="shared" si="51"/>
        <v>4.244152882</v>
      </c>
      <c r="V134" s="616">
        <f t="shared" si="51"/>
        <v>8.119120821</v>
      </c>
      <c r="W134" s="616">
        <f t="shared" si="51"/>
        <v>8.692623156</v>
      </c>
      <c r="X134" s="616">
        <f t="shared" si="51"/>
        <v>0.7038486143</v>
      </c>
      <c r="Y134" s="616">
        <f t="shared" si="51"/>
        <v>1.543644296</v>
      </c>
      <c r="Z134" s="616">
        <f t="shared" si="51"/>
        <v>0.1966209782</v>
      </c>
      <c r="AA134" s="616">
        <f t="shared" si="51"/>
        <v>1.792234115</v>
      </c>
      <c r="AB134" s="616">
        <f t="shared" si="51"/>
        <v>3.615184866</v>
      </c>
      <c r="AC134" s="616">
        <f t="shared" si="51"/>
        <v>1.792921437</v>
      </c>
      <c r="AD134" s="616">
        <f t="shared" si="51"/>
        <v>1.13111652</v>
      </c>
      <c r="AE134" s="616">
        <f t="shared" si="51"/>
        <v>0.2748174319</v>
      </c>
      <c r="AF134" s="616">
        <f t="shared" si="51"/>
        <v>0.856375978</v>
      </c>
      <c r="AG134" s="616">
        <f t="shared" si="51"/>
        <v>1.25520576</v>
      </c>
      <c r="AH134" s="616">
        <f t="shared" si="51"/>
        <v>0.3861477541</v>
      </c>
      <c r="AI134" s="616">
        <f t="shared" si="51"/>
        <v>21.2189024</v>
      </c>
      <c r="AJ134" s="616">
        <f t="shared" si="51"/>
        <v>2.601082873</v>
      </c>
      <c r="AK134" s="616">
        <f t="shared" si="51"/>
        <v>3.388589894</v>
      </c>
      <c r="AL134" s="616">
        <f t="shared" si="51"/>
        <v>11.10155512</v>
      </c>
    </row>
    <row r="135">
      <c r="A135" s="400" t="s">
        <v>723</v>
      </c>
      <c r="B135" s="618">
        <f t="shared" ref="B135:AL135" si="52">B134*(1/(1+B105))^average(15,49)</f>
        <v>0.3518295456</v>
      </c>
      <c r="C135" s="618">
        <f t="shared" si="52"/>
        <v>1.55117215</v>
      </c>
      <c r="D135" s="618">
        <f t="shared" si="52"/>
        <v>0.4814875929</v>
      </c>
      <c r="E135" s="618">
        <f t="shared" si="52"/>
        <v>0.5992617498</v>
      </c>
      <c r="F135" s="618">
        <f t="shared" si="52"/>
        <v>7.188215121</v>
      </c>
      <c r="G135" s="618">
        <f t="shared" si="52"/>
        <v>0.8304144846</v>
      </c>
      <c r="H135" s="618">
        <f t="shared" si="52"/>
        <v>1.158587771</v>
      </c>
      <c r="I135" s="618">
        <f t="shared" si="52"/>
        <v>3.134175745</v>
      </c>
      <c r="J135" s="618">
        <f t="shared" si="52"/>
        <v>0.3122546951</v>
      </c>
      <c r="K135" s="618">
        <f t="shared" si="52"/>
        <v>0.7008219049</v>
      </c>
      <c r="L135" s="618">
        <f t="shared" si="52"/>
        <v>0.06217656586</v>
      </c>
      <c r="M135" s="618">
        <f t="shared" si="52"/>
        <v>0.3027530485</v>
      </c>
      <c r="N135" s="618">
        <f t="shared" si="52"/>
        <v>0.1493034634</v>
      </c>
      <c r="O135" s="618">
        <f t="shared" si="52"/>
        <v>0.1069067564</v>
      </c>
      <c r="P135" s="618">
        <f t="shared" si="52"/>
        <v>0.2265976472</v>
      </c>
      <c r="Q135" s="618">
        <f t="shared" si="52"/>
        <v>2.908327239</v>
      </c>
      <c r="R135" s="618">
        <f t="shared" si="52"/>
        <v>0.193967946</v>
      </c>
      <c r="S135" s="618">
        <f t="shared" si="52"/>
        <v>6.928119566</v>
      </c>
      <c r="T135" s="618">
        <f t="shared" si="52"/>
        <v>1.890398125</v>
      </c>
      <c r="U135" s="618">
        <f t="shared" si="52"/>
        <v>3.618070653</v>
      </c>
      <c r="V135" s="618">
        <f t="shared" si="52"/>
        <v>6.921417203</v>
      </c>
      <c r="W135" s="618">
        <f t="shared" si="52"/>
        <v>7.410318527</v>
      </c>
      <c r="X135" s="618">
        <f t="shared" si="52"/>
        <v>0.6000193881</v>
      </c>
      <c r="Y135" s="618">
        <f t="shared" si="52"/>
        <v>1.315931419</v>
      </c>
      <c r="Z135" s="618">
        <f t="shared" si="52"/>
        <v>0.1676161558</v>
      </c>
      <c r="AA135" s="618">
        <f t="shared" si="52"/>
        <v>1.527850159</v>
      </c>
      <c r="AB135" s="618">
        <f t="shared" si="52"/>
        <v>3.081885746</v>
      </c>
      <c r="AC135" s="618">
        <f t="shared" si="52"/>
        <v>1.528436089</v>
      </c>
      <c r="AD135" s="618">
        <f t="shared" si="52"/>
        <v>0.9642582627</v>
      </c>
      <c r="AE135" s="618">
        <f t="shared" si="52"/>
        <v>0.2342773488</v>
      </c>
      <c r="AF135" s="618">
        <f t="shared" si="52"/>
        <v>0.7300464615</v>
      </c>
      <c r="AG135" s="618">
        <f t="shared" si="52"/>
        <v>1.070042303</v>
      </c>
      <c r="AH135" s="618">
        <f t="shared" si="52"/>
        <v>0.3291846207</v>
      </c>
      <c r="AI135" s="618">
        <f t="shared" si="52"/>
        <v>18.08876593</v>
      </c>
      <c r="AJ135" s="618">
        <f t="shared" si="52"/>
        <v>2.217380445</v>
      </c>
      <c r="AK135" s="618">
        <f t="shared" si="52"/>
        <v>2.888717252</v>
      </c>
      <c r="AL135" s="618">
        <f t="shared" si="52"/>
        <v>9.463893478</v>
      </c>
    </row>
    <row r="136">
      <c r="A136" s="400" t="s">
        <v>59</v>
      </c>
      <c r="B136" s="608">
        <f t="array" ref="B136">index('Moral weights and discount rate'!$A$1:$V$39, match($A136, 'Moral weights and discount rate'!$A$1:$A$39,0), match('Moral weights and discount rate'!$A$17, 'Moral weights and discount rate'!$A$1:$X$1,0))</f>
        <v>103.5857143</v>
      </c>
      <c r="C136" s="608">
        <f t="array" ref="C136">index('Moral weights and discount rate'!$A$1:$V$39, match($A136, 'Moral weights and discount rate'!$A$1:$A$39,0), match('Moral weights and discount rate'!$A$17, 'Moral weights and discount rate'!$A$1:$X$1,0))</f>
        <v>103.5857143</v>
      </c>
      <c r="D136" s="608">
        <f t="array" ref="D136">index('Moral weights and discount rate'!$A$1:$V$39, match($A136, 'Moral weights and discount rate'!$A$1:$A$39,0), match('Moral weights and discount rate'!$A$17, 'Moral weights and discount rate'!$A$1:$X$1,0))</f>
        <v>103.5857143</v>
      </c>
      <c r="E136" s="608">
        <f t="array" ref="E136">index('Moral weights and discount rate'!$A$1:$V$39, match($A136, 'Moral weights and discount rate'!$A$1:$A$39,0), match('Moral weights and discount rate'!$A$17, 'Moral weights and discount rate'!$A$1:$X$1,0))</f>
        <v>103.5857143</v>
      </c>
      <c r="F136" s="608">
        <f t="array" ref="F136">index('Moral weights and discount rate'!$A$1:$V$39, match($A136, 'Moral weights and discount rate'!$A$1:$A$39,0), match('Moral weights and discount rate'!$A$17, 'Moral weights and discount rate'!$A$1:$X$1,0))</f>
        <v>103.5857143</v>
      </c>
      <c r="G136" s="608">
        <f t="array" ref="G136">index('Moral weights and discount rate'!$A$1:$V$39, match($A136, 'Moral weights and discount rate'!$A$1:$A$39,0), match('Moral weights and discount rate'!$A$17, 'Moral weights and discount rate'!$A$1:$X$1,0))</f>
        <v>103.5857143</v>
      </c>
      <c r="H136" s="608">
        <f t="array" ref="H136">index('Moral weights and discount rate'!$A$1:$V$39, match($A136, 'Moral weights and discount rate'!$A$1:$A$39,0), match('Moral weights and discount rate'!$A$17, 'Moral weights and discount rate'!$A$1:$X$1,0))</f>
        <v>103.5857143</v>
      </c>
      <c r="I136" s="608">
        <f t="array" ref="I136">index('Moral weights and discount rate'!$A$1:$V$39, match($A136, 'Moral weights and discount rate'!$A$1:$A$39,0), match('Moral weights and discount rate'!$A$17, 'Moral weights and discount rate'!$A$1:$X$1,0))</f>
        <v>103.5857143</v>
      </c>
      <c r="J136" s="608">
        <f t="array" ref="J136">index('Moral weights and discount rate'!$A$1:$V$39, match($A136, 'Moral weights and discount rate'!$A$1:$A$39,0), match('Moral weights and discount rate'!$A$17, 'Moral weights and discount rate'!$A$1:$X$1,0))</f>
        <v>103.5857143</v>
      </c>
      <c r="K136" s="608">
        <f t="array" ref="K136">index('Moral weights and discount rate'!$A$1:$V$39, match($A136, 'Moral weights and discount rate'!$A$1:$A$39,0), match('Moral weights and discount rate'!$A$17, 'Moral weights and discount rate'!$A$1:$X$1,0))</f>
        <v>103.5857143</v>
      </c>
      <c r="L136" s="608">
        <f t="array" ref="L136">index('Moral weights and discount rate'!$A$1:$V$39, match($A136, 'Moral weights and discount rate'!$A$1:$A$39,0), match('Moral weights and discount rate'!$A$17, 'Moral weights and discount rate'!$A$1:$X$1,0))</f>
        <v>103.5857143</v>
      </c>
      <c r="M136" s="608">
        <f t="array" ref="M136">index('Moral weights and discount rate'!$A$1:$V$39, match($A136, 'Moral weights and discount rate'!$A$1:$A$39,0), match('Moral weights and discount rate'!$A$17, 'Moral weights and discount rate'!$A$1:$X$1,0))</f>
        <v>103.5857143</v>
      </c>
      <c r="N136" s="608">
        <f t="array" ref="N136">index('Moral weights and discount rate'!$A$1:$V$39, match($A136, 'Moral weights and discount rate'!$A$1:$A$39,0), match('Moral weights and discount rate'!$A$17, 'Moral weights and discount rate'!$A$1:$X$1,0))</f>
        <v>103.5857143</v>
      </c>
      <c r="O136" s="608">
        <f t="array" ref="O136">index('Moral weights and discount rate'!$A$1:$V$39, match($A136, 'Moral weights and discount rate'!$A$1:$A$39,0), match('Moral weights and discount rate'!$A$17, 'Moral weights and discount rate'!$A$1:$X$1,0))</f>
        <v>103.5857143</v>
      </c>
      <c r="P136" s="608">
        <f t="array" ref="P136">index('Moral weights and discount rate'!$A$1:$V$39, match($A136, 'Moral weights and discount rate'!$A$1:$A$39,0), match('Moral weights and discount rate'!$A$17, 'Moral weights and discount rate'!$A$1:$X$1,0))</f>
        <v>103.5857143</v>
      </c>
      <c r="Q136" s="608">
        <f t="array" ref="Q136">index('Moral weights and discount rate'!$A$1:$V$39, match($A136, 'Moral weights and discount rate'!$A$1:$A$39,0), match('Moral weights and discount rate'!$A$17, 'Moral weights and discount rate'!$A$1:$X$1,0))</f>
        <v>103.5857143</v>
      </c>
      <c r="R136" s="608">
        <f t="array" ref="R136">index('Moral weights and discount rate'!$A$1:$V$39, match($A136, 'Moral weights and discount rate'!$A$1:$A$39,0), match('Moral weights and discount rate'!$A$17, 'Moral weights and discount rate'!$A$1:$X$1,0))</f>
        <v>103.5857143</v>
      </c>
      <c r="S136" s="608">
        <f t="array" ref="S136">index('Moral weights and discount rate'!$A$1:$V$39, match($A136, 'Moral weights and discount rate'!$A$1:$A$39,0), match('Moral weights and discount rate'!$A$17, 'Moral weights and discount rate'!$A$1:$X$1,0))</f>
        <v>103.5857143</v>
      </c>
      <c r="T136" s="608">
        <f t="array" ref="T136">index('Moral weights and discount rate'!$A$1:$V$39, match($A136, 'Moral weights and discount rate'!$A$1:$A$39,0), match('Moral weights and discount rate'!$A$17, 'Moral weights and discount rate'!$A$1:$X$1,0))</f>
        <v>103.5857143</v>
      </c>
      <c r="U136" s="608">
        <f t="array" ref="U136">index('Moral weights and discount rate'!$A$1:$V$39, match($A136, 'Moral weights and discount rate'!$A$1:$A$39,0), match('Moral weights and discount rate'!$A$17, 'Moral weights and discount rate'!$A$1:$X$1,0))</f>
        <v>103.5857143</v>
      </c>
      <c r="V136" s="608">
        <f t="array" ref="V136">index('Moral weights and discount rate'!$A$1:$V$39, match($A136, 'Moral weights and discount rate'!$A$1:$A$39,0), match('Moral weights and discount rate'!$A$17, 'Moral weights and discount rate'!$A$1:$X$1,0))</f>
        <v>103.5857143</v>
      </c>
      <c r="W136" s="608">
        <f t="array" ref="W136">index('Moral weights and discount rate'!$A$1:$V$39, match($A136, 'Moral weights and discount rate'!$A$1:$A$39,0), match('Moral weights and discount rate'!$A$17, 'Moral weights and discount rate'!$A$1:$X$1,0))</f>
        <v>103.5857143</v>
      </c>
      <c r="X136" s="608">
        <f t="array" ref="X136">index('Moral weights and discount rate'!$A$1:$V$39, match($A136, 'Moral weights and discount rate'!$A$1:$A$39,0), match('Moral weights and discount rate'!$A$17, 'Moral weights and discount rate'!$A$1:$X$1,0))</f>
        <v>103.5857143</v>
      </c>
      <c r="Y136" s="608">
        <f t="array" ref="Y136">index('Moral weights and discount rate'!$A$1:$V$39, match($A136, 'Moral weights and discount rate'!$A$1:$A$39,0), match('Moral weights and discount rate'!$A$17, 'Moral weights and discount rate'!$A$1:$X$1,0))</f>
        <v>103.5857143</v>
      </c>
      <c r="Z136" s="608">
        <f t="array" ref="Z136">index('Moral weights and discount rate'!$A$1:$V$39, match($A136, 'Moral weights and discount rate'!$A$1:$A$39,0), match('Moral weights and discount rate'!$A$17, 'Moral weights and discount rate'!$A$1:$X$1,0))</f>
        <v>103.5857143</v>
      </c>
      <c r="AA136" s="608">
        <f t="array" ref="AA136">index('Moral weights and discount rate'!$A$1:$V$39, match($A136, 'Moral weights and discount rate'!$A$1:$A$39,0), match('Moral weights and discount rate'!$A$17, 'Moral weights and discount rate'!$A$1:$X$1,0))</f>
        <v>103.5857143</v>
      </c>
      <c r="AB136" s="608">
        <f t="array" ref="AB136">index('Moral weights and discount rate'!$A$1:$V$39, match($A136, 'Moral weights and discount rate'!$A$1:$A$39,0), match('Moral weights and discount rate'!$A$17, 'Moral weights and discount rate'!$A$1:$X$1,0))</f>
        <v>103.5857143</v>
      </c>
      <c r="AC136" s="608">
        <f t="array" ref="AC136">index('Moral weights and discount rate'!$A$1:$V$39, match($A136, 'Moral weights and discount rate'!$A$1:$A$39,0), match('Moral weights and discount rate'!$A$17, 'Moral weights and discount rate'!$A$1:$X$1,0))</f>
        <v>103.5857143</v>
      </c>
      <c r="AD136" s="608">
        <f t="array" ref="AD136">index('Moral weights and discount rate'!$A$1:$V$39, match($A136, 'Moral weights and discount rate'!$A$1:$A$39,0), match('Moral weights and discount rate'!$A$17, 'Moral weights and discount rate'!$A$1:$X$1,0))</f>
        <v>103.5857143</v>
      </c>
      <c r="AE136" s="608">
        <f t="array" ref="AE136">index('Moral weights and discount rate'!$A$1:$V$39, match($A136, 'Moral weights and discount rate'!$A$1:$A$39,0), match('Moral weights and discount rate'!$A$17, 'Moral weights and discount rate'!$A$1:$X$1,0))</f>
        <v>103.5857143</v>
      </c>
      <c r="AF136" s="608">
        <f t="array" ref="AF136">index('Moral weights and discount rate'!$A$1:$V$39, match($A136, 'Moral weights and discount rate'!$A$1:$A$39,0), match('Moral weights and discount rate'!$A$17, 'Moral weights and discount rate'!$A$1:$X$1,0))</f>
        <v>103.5857143</v>
      </c>
      <c r="AG136" s="608">
        <f t="array" ref="AG136">index('Moral weights and discount rate'!$A$1:$V$39, match($A136, 'Moral weights and discount rate'!$A$1:$A$39,0), match('Moral weights and discount rate'!$A$17, 'Moral weights and discount rate'!$A$1:$X$1,0))</f>
        <v>103.5857143</v>
      </c>
      <c r="AH136" s="608">
        <f t="array" ref="AH136">index('Moral weights and discount rate'!$A$1:$V$39, match($A136, 'Moral weights and discount rate'!$A$1:$A$39,0), match('Moral weights and discount rate'!$A$17, 'Moral weights and discount rate'!$A$1:$X$1,0))</f>
        <v>103.5857143</v>
      </c>
      <c r="AI136" s="608">
        <f t="array" ref="AI136">index('Moral weights and discount rate'!$A$1:$V$39, match($A136, 'Moral weights and discount rate'!$A$1:$A$39,0), match('Moral weights and discount rate'!$A$17, 'Moral weights and discount rate'!$A$1:$X$1,0))</f>
        <v>103.5857143</v>
      </c>
      <c r="AJ136" s="608">
        <f t="array" ref="AJ136">index('Moral weights and discount rate'!$A$1:$V$39, match($A136, 'Moral weights and discount rate'!$A$1:$A$39,0), match('Moral weights and discount rate'!$A$17, 'Moral weights and discount rate'!$A$1:$X$1,0))</f>
        <v>103.5857143</v>
      </c>
      <c r="AK136" s="608">
        <f t="array" ref="AK136">index('Moral weights and discount rate'!$A$1:$V$39, match($A136, 'Moral weights and discount rate'!$A$1:$A$39,0), match('Moral weights and discount rate'!$A$17, 'Moral weights and discount rate'!$A$1:$X$1,0))</f>
        <v>103.5857143</v>
      </c>
      <c r="AL136" s="608">
        <f t="array" ref="AL136">index('Moral weights and discount rate'!$A$1:$V$39, match($A136, 'Moral weights and discount rate'!$A$1:$A$39,0), match('Moral weights and discount rate'!$A$17, 'Moral weights and discount rate'!$A$1:$X$1,0))</f>
        <v>103.5857143</v>
      </c>
    </row>
    <row r="137">
      <c r="A137" s="400" t="s">
        <v>728</v>
      </c>
      <c r="B137" s="607">
        <f t="shared" ref="B137:AL137" si="53">B135*B136</f>
        <v>36.44451479</v>
      </c>
      <c r="C137" s="607">
        <f t="shared" si="53"/>
        <v>160.6792751</v>
      </c>
      <c r="D137" s="607">
        <f t="shared" si="53"/>
        <v>49.87523624</v>
      </c>
      <c r="E137" s="607">
        <f t="shared" si="53"/>
        <v>62.0749564</v>
      </c>
      <c r="F137" s="607">
        <f t="shared" si="53"/>
        <v>744.5963977</v>
      </c>
      <c r="G137" s="607">
        <f t="shared" si="53"/>
        <v>86.01907754</v>
      </c>
      <c r="H137" s="607">
        <f t="shared" si="53"/>
        <v>120.0131418</v>
      </c>
      <c r="I137" s="607">
        <f t="shared" si="53"/>
        <v>324.6558332</v>
      </c>
      <c r="J137" s="607">
        <f t="shared" si="53"/>
        <v>32.34512563</v>
      </c>
      <c r="K137" s="607">
        <f t="shared" si="53"/>
        <v>72.5951376</v>
      </c>
      <c r="L137" s="607">
        <f t="shared" si="53"/>
        <v>6.440603986</v>
      </c>
      <c r="M137" s="607">
        <f t="shared" si="53"/>
        <v>31.36089079</v>
      </c>
      <c r="N137" s="607">
        <f t="shared" si="53"/>
        <v>15.46570591</v>
      </c>
      <c r="O137" s="607">
        <f t="shared" si="53"/>
        <v>11.07401273</v>
      </c>
      <c r="P137" s="607">
        <f t="shared" si="53"/>
        <v>23.47227914</v>
      </c>
      <c r="Q137" s="607">
        <f t="shared" si="53"/>
        <v>301.2611545</v>
      </c>
      <c r="R137" s="607">
        <f t="shared" si="53"/>
        <v>20.09230823</v>
      </c>
      <c r="S137" s="607">
        <f t="shared" si="53"/>
        <v>717.6542139</v>
      </c>
      <c r="T137" s="607">
        <f t="shared" si="53"/>
        <v>195.8182401</v>
      </c>
      <c r="U137" s="607">
        <f t="shared" si="53"/>
        <v>374.7804329</v>
      </c>
      <c r="V137" s="607">
        <f t="shared" si="53"/>
        <v>716.9599448</v>
      </c>
      <c r="W137" s="607">
        <f t="shared" si="53"/>
        <v>767.6031377</v>
      </c>
      <c r="X137" s="607">
        <f t="shared" si="53"/>
        <v>62.1534369</v>
      </c>
      <c r="Y137" s="607">
        <f t="shared" si="53"/>
        <v>136.311696</v>
      </c>
      <c r="Z137" s="607">
        <f t="shared" si="53"/>
        <v>17.36263923</v>
      </c>
      <c r="AA137" s="607">
        <f t="shared" si="53"/>
        <v>158.26345</v>
      </c>
      <c r="AB137" s="607">
        <f t="shared" si="53"/>
        <v>319.2393363</v>
      </c>
      <c r="AC137" s="607">
        <f t="shared" si="53"/>
        <v>158.324144</v>
      </c>
      <c r="AD137" s="607">
        <f t="shared" si="53"/>
        <v>99.88338089</v>
      </c>
      <c r="AE137" s="607">
        <f t="shared" si="53"/>
        <v>24.26778652</v>
      </c>
      <c r="AF137" s="607">
        <f t="shared" si="53"/>
        <v>75.62238418</v>
      </c>
      <c r="AG137" s="607">
        <f t="shared" si="53"/>
        <v>110.8410963</v>
      </c>
      <c r="AH137" s="607">
        <f t="shared" si="53"/>
        <v>34.09882407</v>
      </c>
      <c r="AI137" s="607">
        <f t="shared" si="53"/>
        <v>1873.737739</v>
      </c>
      <c r="AJ137" s="607">
        <f t="shared" si="53"/>
        <v>229.6889373</v>
      </c>
      <c r="AK137" s="607">
        <f t="shared" si="53"/>
        <v>299.2298399</v>
      </c>
      <c r="AL137" s="607">
        <f t="shared" si="53"/>
        <v>980.3241658</v>
      </c>
    </row>
    <row r="138">
      <c r="A138" s="291"/>
      <c r="B138" s="568"/>
      <c r="C138" s="568"/>
      <c r="D138" s="568"/>
      <c r="E138" s="568"/>
      <c r="F138" s="568"/>
      <c r="G138" s="151"/>
      <c r="H138" s="151"/>
      <c r="I138" s="151"/>
      <c r="J138" s="151"/>
      <c r="K138" s="151"/>
      <c r="L138" s="151"/>
      <c r="M138" s="151"/>
      <c r="N138" s="151"/>
      <c r="O138" s="151"/>
      <c r="P138" s="151"/>
      <c r="Q138" s="568"/>
      <c r="R138" s="568"/>
      <c r="S138" s="568"/>
      <c r="T138" s="151"/>
      <c r="U138" s="568"/>
      <c r="V138" s="568"/>
      <c r="W138" s="151"/>
      <c r="X138" s="151"/>
      <c r="Y138" s="568"/>
      <c r="Z138" s="568"/>
      <c r="AA138" s="151"/>
      <c r="AB138" s="151"/>
      <c r="AC138" s="151"/>
      <c r="AD138" s="151"/>
      <c r="AE138" s="151"/>
      <c r="AF138" s="151"/>
      <c r="AG138" s="151"/>
      <c r="AH138" s="151"/>
      <c r="AI138" s="568"/>
      <c r="AJ138" s="568"/>
      <c r="AK138" s="568"/>
      <c r="AL138" s="568"/>
    </row>
    <row r="139">
      <c r="A139" s="446" t="s">
        <v>729</v>
      </c>
      <c r="B139" s="568"/>
      <c r="C139" s="568"/>
      <c r="D139" s="568"/>
      <c r="E139" s="568"/>
      <c r="F139" s="568"/>
      <c r="G139" s="151"/>
      <c r="H139" s="151"/>
      <c r="I139" s="151"/>
      <c r="J139" s="151"/>
      <c r="K139" s="151"/>
      <c r="L139" s="151"/>
      <c r="M139" s="151"/>
      <c r="N139" s="151"/>
      <c r="O139" s="151"/>
      <c r="P139" s="151"/>
      <c r="Q139" s="568"/>
      <c r="R139" s="568"/>
      <c r="S139" s="568"/>
      <c r="T139" s="151"/>
      <c r="U139" s="568"/>
      <c r="V139" s="568"/>
      <c r="W139" s="151"/>
      <c r="X139" s="151"/>
      <c r="Y139" s="568"/>
      <c r="Z139" s="568"/>
      <c r="AA139" s="151"/>
      <c r="AB139" s="151"/>
      <c r="AC139" s="151"/>
      <c r="AD139" s="151"/>
      <c r="AE139" s="151"/>
      <c r="AF139" s="151"/>
      <c r="AG139" s="151"/>
      <c r="AH139" s="151"/>
      <c r="AI139" s="568"/>
      <c r="AJ139" s="568"/>
      <c r="AK139" s="568"/>
      <c r="AL139" s="568"/>
    </row>
    <row r="140">
      <c r="A140" s="225" t="s">
        <v>730</v>
      </c>
      <c r="B140" s="611">
        <v>0.034047</v>
      </c>
      <c r="C140" s="611">
        <v>0.0540637</v>
      </c>
      <c r="D140" s="611">
        <v>0.0354622</v>
      </c>
      <c r="E140" s="611">
        <v>0.034143</v>
      </c>
      <c r="F140" s="611">
        <v>0.0997109</v>
      </c>
      <c r="G140" s="611">
        <v>0.0400621</v>
      </c>
      <c r="H140" s="611">
        <v>0.0486579</v>
      </c>
      <c r="I140" s="611">
        <v>0.0555938</v>
      </c>
      <c r="J140" s="611">
        <v>0.0480078</v>
      </c>
      <c r="K140" s="611">
        <v>0.0334539</v>
      </c>
      <c r="L140" s="611">
        <v>0.0426606</v>
      </c>
      <c r="M140" s="611">
        <v>0.0301846</v>
      </c>
      <c r="N140" s="611">
        <v>0.0318398</v>
      </c>
      <c r="O140" s="611">
        <v>0.0350494</v>
      </c>
      <c r="P140" s="611">
        <v>0.0284722</v>
      </c>
      <c r="Q140" s="611">
        <v>0.0667234</v>
      </c>
      <c r="R140" s="611">
        <v>0.0319871</v>
      </c>
      <c r="S140" s="611">
        <v>0.1010186</v>
      </c>
      <c r="T140" s="611">
        <v>0.0434689</v>
      </c>
      <c r="U140" s="611">
        <v>0.0587225</v>
      </c>
      <c r="V140" s="611">
        <v>0.0884021</v>
      </c>
      <c r="W140" s="611">
        <v>0.0970188</v>
      </c>
      <c r="X140" s="611">
        <v>0.0364845</v>
      </c>
      <c r="Y140" s="611">
        <v>0.0379501</v>
      </c>
      <c r="Z140" s="611">
        <v>0.0231747</v>
      </c>
      <c r="AA140" s="611">
        <v>0.0410799</v>
      </c>
      <c r="AB140" s="611">
        <v>0.0569892</v>
      </c>
      <c r="AC140" s="611">
        <v>0.0390178</v>
      </c>
      <c r="AD140" s="611">
        <v>0.0355216</v>
      </c>
      <c r="AE140" s="611">
        <v>0.0300559</v>
      </c>
      <c r="AF140" s="611">
        <v>0.0265433</v>
      </c>
      <c r="AG140" s="611">
        <v>0.0414058</v>
      </c>
      <c r="AH140" s="611">
        <v>0.0339514</v>
      </c>
      <c r="AI140" s="611">
        <v>0.1105707</v>
      </c>
      <c r="AJ140" s="611">
        <v>0.0563162</v>
      </c>
      <c r="AK140" s="611">
        <v>0.0894615</v>
      </c>
      <c r="AL140" s="611">
        <v>0.118621</v>
      </c>
    </row>
    <row r="141">
      <c r="A141" s="225" t="s">
        <v>715</v>
      </c>
      <c r="B141" s="611">
        <v>0.70817</v>
      </c>
      <c r="C141" s="611">
        <v>0.71004</v>
      </c>
      <c r="D141" s="611">
        <v>0.70539</v>
      </c>
      <c r="E141" s="611">
        <v>0.70859</v>
      </c>
      <c r="F141" s="611">
        <v>0.73925</v>
      </c>
      <c r="G141" s="611">
        <v>0.68996</v>
      </c>
      <c r="H141" s="611">
        <v>0.69789</v>
      </c>
      <c r="I141" s="611">
        <v>0.70948</v>
      </c>
      <c r="J141" s="611">
        <v>0.67466</v>
      </c>
      <c r="K141" s="611">
        <v>0.7065</v>
      </c>
      <c r="L141" s="611">
        <v>0.70708</v>
      </c>
      <c r="M141" s="611">
        <v>0.71629</v>
      </c>
      <c r="N141" s="611">
        <v>0.70888</v>
      </c>
      <c r="O141" s="611">
        <v>0.70518</v>
      </c>
      <c r="P141" s="611">
        <v>0.70304</v>
      </c>
      <c r="Q141" s="611">
        <v>0.71785</v>
      </c>
      <c r="R141" s="611">
        <v>0.70949</v>
      </c>
      <c r="S141" s="611">
        <v>0.74983</v>
      </c>
      <c r="T141" s="611">
        <v>0.71982</v>
      </c>
      <c r="U141" s="611">
        <v>0.72595</v>
      </c>
      <c r="V141" s="611">
        <v>0.73876</v>
      </c>
      <c r="W141" s="611">
        <v>0.7436</v>
      </c>
      <c r="X141" s="611">
        <v>0.70345</v>
      </c>
      <c r="Y141" s="611">
        <v>0.69789</v>
      </c>
      <c r="Z141" s="611">
        <v>0.70186</v>
      </c>
      <c r="AA141" s="611">
        <v>0.70593</v>
      </c>
      <c r="AB141" s="611">
        <v>0.7181</v>
      </c>
      <c r="AC141" s="611">
        <v>0.70867</v>
      </c>
      <c r="AD141" s="611">
        <v>0.70418</v>
      </c>
      <c r="AE141" s="611">
        <v>0.71194</v>
      </c>
      <c r="AF141" s="611">
        <v>0.68667</v>
      </c>
      <c r="AG141" s="611">
        <v>0.70254</v>
      </c>
      <c r="AH141" s="611">
        <v>0.70827</v>
      </c>
      <c r="AI141" s="611">
        <v>0.74665</v>
      </c>
      <c r="AJ141" s="611">
        <v>0.70832</v>
      </c>
      <c r="AK141" s="611">
        <v>0.73637</v>
      </c>
      <c r="AL141" s="611">
        <v>0.7507</v>
      </c>
    </row>
    <row r="142">
      <c r="A142" s="225" t="s">
        <v>706</v>
      </c>
      <c r="B142" s="616">
        <f t="shared" ref="B142:AL142" si="54">1-(B141*(B$75*B$91/B$49))</f>
        <v>0.2161795514</v>
      </c>
      <c r="C142" s="616">
        <f t="shared" si="54"/>
        <v>0.1978471729</v>
      </c>
      <c r="D142" s="616">
        <f t="shared" si="54"/>
        <v>0.2335456028</v>
      </c>
      <c r="E142" s="616">
        <f t="shared" si="54"/>
        <v>0.2400639371</v>
      </c>
      <c r="F142" s="616">
        <f t="shared" si="54"/>
        <v>0.1219075284</v>
      </c>
      <c r="G142" s="616">
        <f t="shared" si="54"/>
        <v>0.2179654814</v>
      </c>
      <c r="H142" s="616">
        <f t="shared" si="54"/>
        <v>0.2127097094</v>
      </c>
      <c r="I142" s="616">
        <f t="shared" si="54"/>
        <v>0.1881687361</v>
      </c>
      <c r="J142" s="616">
        <f t="shared" si="54"/>
        <v>0.284068047</v>
      </c>
      <c r="K142" s="616">
        <f t="shared" si="54"/>
        <v>0.2203842549</v>
      </c>
      <c r="L142" s="616">
        <f t="shared" si="54"/>
        <v>0.2444624867</v>
      </c>
      <c r="M142" s="616">
        <f t="shared" si="54"/>
        <v>0.2471606574</v>
      </c>
      <c r="N142" s="616">
        <f t="shared" si="54"/>
        <v>0.2480065517</v>
      </c>
      <c r="O142" s="616">
        <f t="shared" si="54"/>
        <v>0.2599472263</v>
      </c>
      <c r="P142" s="616">
        <f t="shared" si="54"/>
        <v>0.2462105146</v>
      </c>
      <c r="Q142" s="616">
        <f t="shared" si="54"/>
        <v>0.1622505742</v>
      </c>
      <c r="R142" s="616">
        <f t="shared" si="54"/>
        <v>0.2467743205</v>
      </c>
      <c r="S142" s="616">
        <f t="shared" si="54"/>
        <v>0.1139138604</v>
      </c>
      <c r="T142" s="616">
        <f t="shared" si="54"/>
        <v>0.1786957326</v>
      </c>
      <c r="U142" s="616">
        <f t="shared" si="54"/>
        <v>0.1348331159</v>
      </c>
      <c r="V142" s="616">
        <f t="shared" si="54"/>
        <v>0.1225777117</v>
      </c>
      <c r="W142" s="616">
        <f t="shared" si="54"/>
        <v>0.1275404246</v>
      </c>
      <c r="X142" s="616">
        <f t="shared" si="54"/>
        <v>0.2342263772</v>
      </c>
      <c r="Y142" s="616">
        <f t="shared" si="54"/>
        <v>0.2201882288</v>
      </c>
      <c r="Z142" s="616">
        <f t="shared" si="54"/>
        <v>0.2464626072</v>
      </c>
      <c r="AA142" s="616">
        <f t="shared" si="54"/>
        <v>0.2017827585</v>
      </c>
      <c r="AB142" s="616">
        <f t="shared" si="54"/>
        <v>0.1581169672</v>
      </c>
      <c r="AC142" s="616">
        <f t="shared" si="54"/>
        <v>0.2015115736</v>
      </c>
      <c r="AD142" s="616">
        <f t="shared" si="54"/>
        <v>0.2243383874</v>
      </c>
      <c r="AE142" s="616">
        <f t="shared" si="54"/>
        <v>0.2321588443</v>
      </c>
      <c r="AF142" s="616">
        <f t="shared" si="54"/>
        <v>0.2411551258</v>
      </c>
      <c r="AG142" s="616">
        <f t="shared" si="54"/>
        <v>0.2232909217</v>
      </c>
      <c r="AH142" s="616">
        <f t="shared" si="54"/>
        <v>0.2303951405</v>
      </c>
      <c r="AI142" s="616">
        <f t="shared" si="54"/>
        <v>0.07419184587</v>
      </c>
      <c r="AJ142" s="616">
        <f t="shared" si="54"/>
        <v>0.1730223636</v>
      </c>
      <c r="AK142" s="616">
        <f t="shared" si="54"/>
        <v>0.1409292398</v>
      </c>
      <c r="AL142" s="616">
        <f t="shared" si="54"/>
        <v>0.0963876332</v>
      </c>
    </row>
    <row r="143">
      <c r="A143" s="129" t="s">
        <v>692</v>
      </c>
      <c r="B143" s="613">
        <f t="shared" ref="B143:AL143" si="55">B79*0.1</f>
        <v>0.06202379</v>
      </c>
      <c r="C143" s="613">
        <f t="shared" si="55"/>
        <v>0.05130298</v>
      </c>
      <c r="D143" s="613">
        <f t="shared" si="55"/>
        <v>0.06647263</v>
      </c>
      <c r="E143" s="613">
        <f t="shared" si="55"/>
        <v>0.07146142</v>
      </c>
      <c r="F143" s="613">
        <f t="shared" si="55"/>
        <v>0.02915464</v>
      </c>
      <c r="G143" s="613">
        <f t="shared" si="55"/>
        <v>0.04971421</v>
      </c>
      <c r="H143" s="613">
        <f t="shared" si="55"/>
        <v>0.05255423</v>
      </c>
      <c r="I143" s="613">
        <f t="shared" si="55"/>
        <v>0.04393874</v>
      </c>
      <c r="J143" s="613">
        <f t="shared" si="55"/>
        <v>0.07503224</v>
      </c>
      <c r="K143" s="613">
        <f t="shared" si="55"/>
        <v>0.06087148</v>
      </c>
      <c r="L143" s="613">
        <f t="shared" si="55"/>
        <v>0.07326422</v>
      </c>
      <c r="M143" s="613">
        <f t="shared" si="55"/>
        <v>0.07891902</v>
      </c>
      <c r="N143" s="613">
        <f t="shared" si="55"/>
        <v>0.07549228</v>
      </c>
      <c r="O143" s="613">
        <f t="shared" si="55"/>
        <v>0.07947741</v>
      </c>
      <c r="P143" s="613">
        <f t="shared" si="55"/>
        <v>0.07213145</v>
      </c>
      <c r="Q143" s="613">
        <f t="shared" si="55"/>
        <v>0.03683493</v>
      </c>
      <c r="R143" s="613">
        <f t="shared" si="55"/>
        <v>0.07612844</v>
      </c>
      <c r="S143" s="613">
        <f t="shared" si="55"/>
        <v>0.03078078</v>
      </c>
      <c r="T143" s="613">
        <f t="shared" si="55"/>
        <v>0.04577673</v>
      </c>
      <c r="U143" s="613">
        <f t="shared" si="55"/>
        <v>0.02972819</v>
      </c>
      <c r="V143" s="613">
        <f t="shared" si="55"/>
        <v>0.02861995</v>
      </c>
      <c r="W143" s="613">
        <f t="shared" si="55"/>
        <v>0.03285941</v>
      </c>
      <c r="X143" s="613">
        <f t="shared" si="55"/>
        <v>0.06098934</v>
      </c>
      <c r="Y143" s="613">
        <f t="shared" si="55"/>
        <v>0.05294281</v>
      </c>
      <c r="Z143" s="613">
        <f t="shared" si="55"/>
        <v>0.07257157</v>
      </c>
      <c r="AA143" s="613">
        <f t="shared" si="55"/>
        <v>0.04957728</v>
      </c>
      <c r="AB143" s="613">
        <f t="shared" si="55"/>
        <v>0.03516417</v>
      </c>
      <c r="AC143" s="613">
        <f t="shared" si="55"/>
        <v>0.05170798</v>
      </c>
      <c r="AD143" s="613">
        <f t="shared" si="55"/>
        <v>0.06106083</v>
      </c>
      <c r="AE143" s="613">
        <f t="shared" si="55"/>
        <v>0.0685153</v>
      </c>
      <c r="AF143" s="613">
        <f t="shared" si="55"/>
        <v>0.05772629</v>
      </c>
      <c r="AG143" s="613">
        <f t="shared" si="55"/>
        <v>0.05885964</v>
      </c>
      <c r="AH143" s="613">
        <f t="shared" si="55"/>
        <v>0.06755262</v>
      </c>
      <c r="AI143" s="613">
        <f t="shared" si="55"/>
        <v>0.01261563</v>
      </c>
      <c r="AJ143" s="613">
        <f t="shared" si="55"/>
        <v>0.03795642</v>
      </c>
      <c r="AK143" s="613">
        <f t="shared" si="55"/>
        <v>0.03512123</v>
      </c>
      <c r="AL143" s="613">
        <f t="shared" si="55"/>
        <v>0.02314455</v>
      </c>
    </row>
    <row r="144">
      <c r="A144" s="129" t="s">
        <v>731</v>
      </c>
      <c r="B144" s="619">
        <f t="shared" ref="B144:AL144" si="56">B140/((B143*B142)+(1-B143))</f>
        <v>0.03578679339</v>
      </c>
      <c r="C144" s="619">
        <f t="shared" si="56"/>
        <v>0.05638406382</v>
      </c>
      <c r="D144" s="619">
        <f t="shared" si="56"/>
        <v>0.03736592826</v>
      </c>
      <c r="E144" s="619">
        <f t="shared" si="56"/>
        <v>0.03610364872</v>
      </c>
      <c r="F144" s="619">
        <f t="shared" si="56"/>
        <v>0.1023306117</v>
      </c>
      <c r="G144" s="619">
        <f t="shared" si="56"/>
        <v>0.04168264748</v>
      </c>
      <c r="H144" s="619">
        <f t="shared" si="56"/>
        <v>0.05075803581</v>
      </c>
      <c r="I144" s="619">
        <f t="shared" si="56"/>
        <v>0.05765023238</v>
      </c>
      <c r="J144" s="619">
        <f t="shared" si="56"/>
        <v>0.0507330784</v>
      </c>
      <c r="K144" s="619">
        <f t="shared" si="56"/>
        <v>0.03512059579</v>
      </c>
      <c r="L144" s="619">
        <f t="shared" si="56"/>
        <v>0.04516040292</v>
      </c>
      <c r="M144" s="619">
        <f t="shared" si="56"/>
        <v>0.03209124835</v>
      </c>
      <c r="N144" s="619">
        <f t="shared" si="56"/>
        <v>0.03375612509</v>
      </c>
      <c r="O144" s="619">
        <f t="shared" si="56"/>
        <v>0.03723974805</v>
      </c>
      <c r="P144" s="619">
        <f t="shared" si="56"/>
        <v>0.03010930075</v>
      </c>
      <c r="Q144" s="619">
        <f t="shared" si="56"/>
        <v>0.06884794013</v>
      </c>
      <c r="R144" s="619">
        <f t="shared" si="56"/>
        <v>0.03393287541</v>
      </c>
      <c r="S144" s="619">
        <f t="shared" si="56"/>
        <v>0.1038510782</v>
      </c>
      <c r="T144" s="619">
        <f t="shared" si="56"/>
        <v>0.04516702775</v>
      </c>
      <c r="U144" s="619">
        <f t="shared" si="56"/>
        <v>0.06027270465</v>
      </c>
      <c r="V144" s="619">
        <f t="shared" si="56"/>
        <v>0.09067921672</v>
      </c>
      <c r="W144" s="619">
        <f t="shared" si="56"/>
        <v>0.09988227571</v>
      </c>
      <c r="X144" s="619">
        <f t="shared" si="56"/>
        <v>0.03827195443</v>
      </c>
      <c r="Y144" s="619">
        <f t="shared" si="56"/>
        <v>0.03958435706</v>
      </c>
      <c r="Z144" s="619">
        <f t="shared" si="56"/>
        <v>0.02451533045</v>
      </c>
      <c r="AA144" s="619">
        <f t="shared" si="56"/>
        <v>0.04277255721</v>
      </c>
      <c r="AB144" s="619">
        <f t="shared" si="56"/>
        <v>0.05872778426</v>
      </c>
      <c r="AC144" s="619">
        <f t="shared" si="56"/>
        <v>0.0406981545</v>
      </c>
      <c r="AD144" s="619">
        <f t="shared" si="56"/>
        <v>0.03728763728</v>
      </c>
      <c r="AE144" s="619">
        <f t="shared" si="56"/>
        <v>0.03172491166</v>
      </c>
      <c r="AF144" s="619">
        <f t="shared" si="56"/>
        <v>0.02775930465</v>
      </c>
      <c r="AG144" s="619">
        <f t="shared" si="56"/>
        <v>0.04338942646</v>
      </c>
      <c r="AH144" s="619">
        <f t="shared" si="56"/>
        <v>0.0358132909</v>
      </c>
      <c r="AI144" s="619">
        <f t="shared" si="56"/>
        <v>0.1118773891</v>
      </c>
      <c r="AJ144" s="619">
        <f t="shared" si="56"/>
        <v>0.05814120057</v>
      </c>
      <c r="AK144" s="619">
        <f t="shared" si="56"/>
        <v>0.09224467133</v>
      </c>
      <c r="AL144" s="619">
        <f t="shared" si="56"/>
        <v>0.1211547952</v>
      </c>
    </row>
    <row r="145">
      <c r="A145" s="400" t="s">
        <v>717</v>
      </c>
      <c r="B145" s="536">
        <v>0.4</v>
      </c>
      <c r="C145" s="536">
        <v>0.4</v>
      </c>
      <c r="D145" s="536">
        <v>0.4</v>
      </c>
      <c r="E145" s="536">
        <v>0.4</v>
      </c>
      <c r="F145" s="536">
        <v>0.4</v>
      </c>
      <c r="G145" s="536">
        <v>0.4</v>
      </c>
      <c r="H145" s="536">
        <v>0.4</v>
      </c>
      <c r="I145" s="536">
        <v>0.4</v>
      </c>
      <c r="J145" s="536">
        <v>0.4</v>
      </c>
      <c r="K145" s="536">
        <v>0.4</v>
      </c>
      <c r="L145" s="536">
        <v>0.4</v>
      </c>
      <c r="M145" s="536">
        <v>0.4</v>
      </c>
      <c r="N145" s="536">
        <v>0.4</v>
      </c>
      <c r="O145" s="536">
        <v>0.4</v>
      </c>
      <c r="P145" s="536">
        <v>0.4</v>
      </c>
      <c r="Q145" s="536">
        <v>0.4</v>
      </c>
      <c r="R145" s="536">
        <v>0.4</v>
      </c>
      <c r="S145" s="536">
        <v>0.4</v>
      </c>
      <c r="T145" s="536">
        <v>0.4</v>
      </c>
      <c r="U145" s="536">
        <v>0.4</v>
      </c>
      <c r="V145" s="536">
        <v>0.4</v>
      </c>
      <c r="W145" s="536">
        <v>0.4</v>
      </c>
      <c r="X145" s="536">
        <v>0.4</v>
      </c>
      <c r="Y145" s="536">
        <v>0.4</v>
      </c>
      <c r="Z145" s="536">
        <v>0.4</v>
      </c>
      <c r="AA145" s="536">
        <v>0.4</v>
      </c>
      <c r="AB145" s="536">
        <v>0.4</v>
      </c>
      <c r="AC145" s="536">
        <v>0.4</v>
      </c>
      <c r="AD145" s="536">
        <v>0.4</v>
      </c>
      <c r="AE145" s="536">
        <v>0.4</v>
      </c>
      <c r="AF145" s="536">
        <v>0.4</v>
      </c>
      <c r="AG145" s="536">
        <v>0.4</v>
      </c>
      <c r="AH145" s="536">
        <v>0.4</v>
      </c>
      <c r="AI145" s="536">
        <v>0.4</v>
      </c>
      <c r="AJ145" s="536">
        <v>0.4</v>
      </c>
      <c r="AK145" s="536">
        <v>0.4</v>
      </c>
      <c r="AL145" s="536">
        <v>0.4</v>
      </c>
    </row>
    <row r="146">
      <c r="A146" s="400" t="s">
        <v>718</v>
      </c>
      <c r="B146" s="536">
        <v>0.3</v>
      </c>
      <c r="C146" s="536">
        <v>0.3</v>
      </c>
      <c r="D146" s="536">
        <v>0.3</v>
      </c>
      <c r="E146" s="536">
        <v>0.3</v>
      </c>
      <c r="F146" s="536">
        <v>0.3</v>
      </c>
      <c r="G146" s="536">
        <v>0.3</v>
      </c>
      <c r="H146" s="536">
        <v>0.3</v>
      </c>
      <c r="I146" s="536">
        <v>0.3</v>
      </c>
      <c r="J146" s="536">
        <v>0.3</v>
      </c>
      <c r="K146" s="536">
        <v>0.3</v>
      </c>
      <c r="L146" s="536">
        <v>0.3</v>
      </c>
      <c r="M146" s="536">
        <v>0.3</v>
      </c>
      <c r="N146" s="536">
        <v>0.3</v>
      </c>
      <c r="O146" s="536">
        <v>0.3</v>
      </c>
      <c r="P146" s="536">
        <v>0.3</v>
      </c>
      <c r="Q146" s="536">
        <v>0.3</v>
      </c>
      <c r="R146" s="536">
        <v>0.3</v>
      </c>
      <c r="S146" s="536">
        <v>0.3</v>
      </c>
      <c r="T146" s="536">
        <v>0.3</v>
      </c>
      <c r="U146" s="536">
        <v>0.3</v>
      </c>
      <c r="V146" s="536">
        <v>0.3</v>
      </c>
      <c r="W146" s="536">
        <v>0.3</v>
      </c>
      <c r="X146" s="536">
        <v>0.3</v>
      </c>
      <c r="Y146" s="536">
        <v>0.3</v>
      </c>
      <c r="Z146" s="536">
        <v>0.3</v>
      </c>
      <c r="AA146" s="536">
        <v>0.3</v>
      </c>
      <c r="AB146" s="536">
        <v>0.3</v>
      </c>
      <c r="AC146" s="536">
        <v>0.3</v>
      </c>
      <c r="AD146" s="536">
        <v>0.3</v>
      </c>
      <c r="AE146" s="536">
        <v>0.3</v>
      </c>
      <c r="AF146" s="536">
        <v>0.3</v>
      </c>
      <c r="AG146" s="536">
        <v>0.3</v>
      </c>
      <c r="AH146" s="536">
        <v>0.3</v>
      </c>
      <c r="AI146" s="536">
        <v>0.3</v>
      </c>
      <c r="AJ146" s="536">
        <v>0.3</v>
      </c>
      <c r="AK146" s="536">
        <v>0.3</v>
      </c>
      <c r="AL146" s="536">
        <v>0.3</v>
      </c>
    </row>
    <row r="147">
      <c r="A147" s="400" t="s">
        <v>719</v>
      </c>
      <c r="B147" s="615">
        <f t="shared" ref="B147:AL147" si="57">B144*B145</f>
        <v>0.01431471735</v>
      </c>
      <c r="C147" s="615">
        <f t="shared" si="57"/>
        <v>0.02255362553</v>
      </c>
      <c r="D147" s="615">
        <f t="shared" si="57"/>
        <v>0.01494637131</v>
      </c>
      <c r="E147" s="615">
        <f t="shared" si="57"/>
        <v>0.01444145949</v>
      </c>
      <c r="F147" s="615">
        <f t="shared" si="57"/>
        <v>0.0409322447</v>
      </c>
      <c r="G147" s="615">
        <f t="shared" si="57"/>
        <v>0.01667305899</v>
      </c>
      <c r="H147" s="615">
        <f t="shared" si="57"/>
        <v>0.02030321432</v>
      </c>
      <c r="I147" s="615">
        <f t="shared" si="57"/>
        <v>0.02306009295</v>
      </c>
      <c r="J147" s="615">
        <f t="shared" si="57"/>
        <v>0.02029323136</v>
      </c>
      <c r="K147" s="615">
        <f t="shared" si="57"/>
        <v>0.01404823831</v>
      </c>
      <c r="L147" s="615">
        <f t="shared" si="57"/>
        <v>0.01806416117</v>
      </c>
      <c r="M147" s="615">
        <f t="shared" si="57"/>
        <v>0.01283649934</v>
      </c>
      <c r="N147" s="615">
        <f t="shared" si="57"/>
        <v>0.01350245004</v>
      </c>
      <c r="O147" s="615">
        <f t="shared" si="57"/>
        <v>0.01489589922</v>
      </c>
      <c r="P147" s="615">
        <f t="shared" si="57"/>
        <v>0.0120437203</v>
      </c>
      <c r="Q147" s="615">
        <f t="shared" si="57"/>
        <v>0.02753917605</v>
      </c>
      <c r="R147" s="615">
        <f t="shared" si="57"/>
        <v>0.01357315016</v>
      </c>
      <c r="S147" s="615">
        <f t="shared" si="57"/>
        <v>0.04154043127</v>
      </c>
      <c r="T147" s="615">
        <f t="shared" si="57"/>
        <v>0.0180668111</v>
      </c>
      <c r="U147" s="615">
        <f t="shared" si="57"/>
        <v>0.02410908186</v>
      </c>
      <c r="V147" s="615">
        <f t="shared" si="57"/>
        <v>0.03627168669</v>
      </c>
      <c r="W147" s="615">
        <f t="shared" si="57"/>
        <v>0.03995291028</v>
      </c>
      <c r="X147" s="615">
        <f t="shared" si="57"/>
        <v>0.01530878177</v>
      </c>
      <c r="Y147" s="615">
        <f t="shared" si="57"/>
        <v>0.01583374282</v>
      </c>
      <c r="Z147" s="615">
        <f t="shared" si="57"/>
        <v>0.009806132179</v>
      </c>
      <c r="AA147" s="615">
        <f t="shared" si="57"/>
        <v>0.01710902289</v>
      </c>
      <c r="AB147" s="615">
        <f t="shared" si="57"/>
        <v>0.0234911137</v>
      </c>
      <c r="AC147" s="615">
        <f t="shared" si="57"/>
        <v>0.0162792618</v>
      </c>
      <c r="AD147" s="615">
        <f t="shared" si="57"/>
        <v>0.01491505491</v>
      </c>
      <c r="AE147" s="615">
        <f t="shared" si="57"/>
        <v>0.01268996466</v>
      </c>
      <c r="AF147" s="615">
        <f t="shared" si="57"/>
        <v>0.01110372186</v>
      </c>
      <c r="AG147" s="615">
        <f t="shared" si="57"/>
        <v>0.01735577058</v>
      </c>
      <c r="AH147" s="615">
        <f t="shared" si="57"/>
        <v>0.01432531636</v>
      </c>
      <c r="AI147" s="615">
        <f t="shared" si="57"/>
        <v>0.04475095564</v>
      </c>
      <c r="AJ147" s="615">
        <f t="shared" si="57"/>
        <v>0.02325648023</v>
      </c>
      <c r="AK147" s="615">
        <f t="shared" si="57"/>
        <v>0.03689786853</v>
      </c>
      <c r="AL147" s="615">
        <f t="shared" si="57"/>
        <v>0.04846191809</v>
      </c>
    </row>
    <row r="148">
      <c r="A148" s="400" t="s">
        <v>720</v>
      </c>
      <c r="B148" s="616">
        <f t="shared" ref="B148:AL148" si="58">B141*(B$75*B$91/B$49)*B146</f>
        <v>0.2351461346</v>
      </c>
      <c r="C148" s="616">
        <f t="shared" si="58"/>
        <v>0.2406458481</v>
      </c>
      <c r="D148" s="616">
        <f t="shared" si="58"/>
        <v>0.2299363192</v>
      </c>
      <c r="E148" s="616">
        <f t="shared" si="58"/>
        <v>0.2279808189</v>
      </c>
      <c r="F148" s="616">
        <f t="shared" si="58"/>
        <v>0.2634277415</v>
      </c>
      <c r="G148" s="616">
        <f t="shared" si="58"/>
        <v>0.2346103556</v>
      </c>
      <c r="H148" s="616">
        <f t="shared" si="58"/>
        <v>0.2361870872</v>
      </c>
      <c r="I148" s="616">
        <f t="shared" si="58"/>
        <v>0.2435493792</v>
      </c>
      <c r="J148" s="616">
        <f t="shared" si="58"/>
        <v>0.2147795859</v>
      </c>
      <c r="K148" s="616">
        <f t="shared" si="58"/>
        <v>0.2338847235</v>
      </c>
      <c r="L148" s="616">
        <f t="shared" si="58"/>
        <v>0.226661254</v>
      </c>
      <c r="M148" s="616">
        <f t="shared" si="58"/>
        <v>0.2258518028</v>
      </c>
      <c r="N148" s="616">
        <f t="shared" si="58"/>
        <v>0.2255980345</v>
      </c>
      <c r="O148" s="616">
        <f t="shared" si="58"/>
        <v>0.2220158321</v>
      </c>
      <c r="P148" s="616">
        <f t="shared" si="58"/>
        <v>0.2261368456</v>
      </c>
      <c r="Q148" s="616">
        <f t="shared" si="58"/>
        <v>0.2513248277</v>
      </c>
      <c r="R148" s="616">
        <f t="shared" si="58"/>
        <v>0.2259677038</v>
      </c>
      <c r="S148" s="616">
        <f t="shared" si="58"/>
        <v>0.2658258419</v>
      </c>
      <c r="T148" s="616">
        <f t="shared" si="58"/>
        <v>0.2463912802</v>
      </c>
      <c r="U148" s="616">
        <f t="shared" si="58"/>
        <v>0.2595500652</v>
      </c>
      <c r="V148" s="616">
        <f t="shared" si="58"/>
        <v>0.2632266865</v>
      </c>
      <c r="W148" s="616">
        <f t="shared" si="58"/>
        <v>0.2617378726</v>
      </c>
      <c r="X148" s="616">
        <f t="shared" si="58"/>
        <v>0.2297320868</v>
      </c>
      <c r="Y148" s="616">
        <f t="shared" si="58"/>
        <v>0.2339435314</v>
      </c>
      <c r="Z148" s="616">
        <f t="shared" si="58"/>
        <v>0.2260612178</v>
      </c>
      <c r="AA148" s="616">
        <f t="shared" si="58"/>
        <v>0.2394651725</v>
      </c>
      <c r="AB148" s="616">
        <f t="shared" si="58"/>
        <v>0.2525649098</v>
      </c>
      <c r="AC148" s="616">
        <f t="shared" si="58"/>
        <v>0.2395465279</v>
      </c>
      <c r="AD148" s="616">
        <f t="shared" si="58"/>
        <v>0.2326984838</v>
      </c>
      <c r="AE148" s="616">
        <f t="shared" si="58"/>
        <v>0.2303523467</v>
      </c>
      <c r="AF148" s="616">
        <f t="shared" si="58"/>
        <v>0.2276534622</v>
      </c>
      <c r="AG148" s="616">
        <f t="shared" si="58"/>
        <v>0.2330127235</v>
      </c>
      <c r="AH148" s="616">
        <f t="shared" si="58"/>
        <v>0.2308814579</v>
      </c>
      <c r="AI148" s="616">
        <f t="shared" si="58"/>
        <v>0.2777424462</v>
      </c>
      <c r="AJ148" s="616">
        <f t="shared" si="58"/>
        <v>0.2480932909</v>
      </c>
      <c r="AK148" s="616">
        <f t="shared" si="58"/>
        <v>0.2577212281</v>
      </c>
      <c r="AL148" s="616">
        <f t="shared" si="58"/>
        <v>0.27108371</v>
      </c>
    </row>
    <row r="149">
      <c r="A149" s="400" t="s">
        <v>721</v>
      </c>
      <c r="B149" s="616">
        <f t="shared" ref="B149:AL149" si="59">1-B148</f>
        <v>0.7648538654</v>
      </c>
      <c r="C149" s="616">
        <f t="shared" si="59"/>
        <v>0.7593541519</v>
      </c>
      <c r="D149" s="616">
        <f t="shared" si="59"/>
        <v>0.7700636808</v>
      </c>
      <c r="E149" s="616">
        <f t="shared" si="59"/>
        <v>0.7720191811</v>
      </c>
      <c r="F149" s="616">
        <f t="shared" si="59"/>
        <v>0.7365722585</v>
      </c>
      <c r="G149" s="616">
        <f t="shared" si="59"/>
        <v>0.7653896444</v>
      </c>
      <c r="H149" s="616">
        <f t="shared" si="59"/>
        <v>0.7638129128</v>
      </c>
      <c r="I149" s="616">
        <f t="shared" si="59"/>
        <v>0.7564506208</v>
      </c>
      <c r="J149" s="616">
        <f t="shared" si="59"/>
        <v>0.7852204141</v>
      </c>
      <c r="K149" s="616">
        <f t="shared" si="59"/>
        <v>0.7661152765</v>
      </c>
      <c r="L149" s="616">
        <f t="shared" si="59"/>
        <v>0.773338746</v>
      </c>
      <c r="M149" s="616">
        <f t="shared" si="59"/>
        <v>0.7741481972</v>
      </c>
      <c r="N149" s="616">
        <f t="shared" si="59"/>
        <v>0.7744019655</v>
      </c>
      <c r="O149" s="616">
        <f t="shared" si="59"/>
        <v>0.7779841679</v>
      </c>
      <c r="P149" s="616">
        <f t="shared" si="59"/>
        <v>0.7738631544</v>
      </c>
      <c r="Q149" s="616">
        <f t="shared" si="59"/>
        <v>0.7486751723</v>
      </c>
      <c r="R149" s="616">
        <f t="shared" si="59"/>
        <v>0.7740322962</v>
      </c>
      <c r="S149" s="616">
        <f t="shared" si="59"/>
        <v>0.7341741581</v>
      </c>
      <c r="T149" s="616">
        <f t="shared" si="59"/>
        <v>0.7536087198</v>
      </c>
      <c r="U149" s="616">
        <f t="shared" si="59"/>
        <v>0.7404499348</v>
      </c>
      <c r="V149" s="616">
        <f t="shared" si="59"/>
        <v>0.7367733135</v>
      </c>
      <c r="W149" s="616">
        <f t="shared" si="59"/>
        <v>0.7382621274</v>
      </c>
      <c r="X149" s="616">
        <f t="shared" si="59"/>
        <v>0.7702679132</v>
      </c>
      <c r="Y149" s="616">
        <f t="shared" si="59"/>
        <v>0.7660564686</v>
      </c>
      <c r="Z149" s="616">
        <f t="shared" si="59"/>
        <v>0.7739387822</v>
      </c>
      <c r="AA149" s="616">
        <f t="shared" si="59"/>
        <v>0.7605348275</v>
      </c>
      <c r="AB149" s="616">
        <f t="shared" si="59"/>
        <v>0.7474350902</v>
      </c>
      <c r="AC149" s="616">
        <f t="shared" si="59"/>
        <v>0.7604534721</v>
      </c>
      <c r="AD149" s="616">
        <f t="shared" si="59"/>
        <v>0.7673015162</v>
      </c>
      <c r="AE149" s="616">
        <f t="shared" si="59"/>
        <v>0.7696476533</v>
      </c>
      <c r="AF149" s="616">
        <f t="shared" si="59"/>
        <v>0.7723465378</v>
      </c>
      <c r="AG149" s="616">
        <f t="shared" si="59"/>
        <v>0.7669872765</v>
      </c>
      <c r="AH149" s="616">
        <f t="shared" si="59"/>
        <v>0.7691185421</v>
      </c>
      <c r="AI149" s="616">
        <f t="shared" si="59"/>
        <v>0.7222575538</v>
      </c>
      <c r="AJ149" s="616">
        <f t="shared" si="59"/>
        <v>0.7519067091</v>
      </c>
      <c r="AK149" s="616">
        <f t="shared" si="59"/>
        <v>0.7422787719</v>
      </c>
      <c r="AL149" s="616">
        <f t="shared" si="59"/>
        <v>0.72891629</v>
      </c>
    </row>
    <row r="150">
      <c r="A150" s="400" t="s">
        <v>722</v>
      </c>
      <c r="B150" s="616">
        <f t="shared" ref="B150:AL150" si="60">B$20*B147*(1-B149)*B$9</f>
        <v>0.8855502931</v>
      </c>
      <c r="C150" s="616">
        <f t="shared" si="60"/>
        <v>3.276682664</v>
      </c>
      <c r="D150" s="616">
        <f t="shared" si="60"/>
        <v>1.190951371</v>
      </c>
      <c r="E150" s="616">
        <f t="shared" si="60"/>
        <v>1.393658317</v>
      </c>
      <c r="F150" s="616">
        <f t="shared" si="60"/>
        <v>15.15814485</v>
      </c>
      <c r="G150" s="616">
        <f t="shared" si="60"/>
        <v>1.937919243</v>
      </c>
      <c r="H150" s="616">
        <f t="shared" si="60"/>
        <v>2.38645746</v>
      </c>
      <c r="I150" s="616">
        <f t="shared" si="60"/>
        <v>7.145396824</v>
      </c>
      <c r="J150" s="616">
        <f t="shared" si="60"/>
        <v>0.7790673148</v>
      </c>
      <c r="K150" s="616">
        <f t="shared" si="60"/>
        <v>1.500014683</v>
      </c>
      <c r="L150" s="616">
        <f t="shared" si="60"/>
        <v>0.1309612519</v>
      </c>
      <c r="M150" s="616">
        <f t="shared" si="60"/>
        <v>0.6552655004</v>
      </c>
      <c r="N150" s="616">
        <f t="shared" si="60"/>
        <v>0.3648218951</v>
      </c>
      <c r="O150" s="616">
        <f t="shared" si="60"/>
        <v>0.2520996498</v>
      </c>
      <c r="P150" s="616">
        <f t="shared" si="60"/>
        <v>0.4564008677</v>
      </c>
      <c r="Q150" s="616">
        <f t="shared" si="60"/>
        <v>6.624730667</v>
      </c>
      <c r="R150" s="616">
        <f t="shared" si="60"/>
        <v>0.4679488819</v>
      </c>
      <c r="S150" s="616">
        <f t="shared" si="60"/>
        <v>12.47227886</v>
      </c>
      <c r="T150" s="616">
        <f t="shared" si="60"/>
        <v>3.925810922</v>
      </c>
      <c r="U150" s="616">
        <f t="shared" si="60"/>
        <v>7.761553</v>
      </c>
      <c r="V150" s="616">
        <f t="shared" si="60"/>
        <v>13.82831248</v>
      </c>
      <c r="W150" s="616">
        <f t="shared" si="60"/>
        <v>16.0216921</v>
      </c>
      <c r="X150" s="616">
        <f t="shared" si="60"/>
        <v>1.481650851</v>
      </c>
      <c r="Y150" s="616">
        <f t="shared" si="60"/>
        <v>2.963073935</v>
      </c>
      <c r="Z150" s="616">
        <f t="shared" si="60"/>
        <v>0.3989453579</v>
      </c>
      <c r="AA150" s="616">
        <f t="shared" si="60"/>
        <v>2.821225711</v>
      </c>
      <c r="AB150" s="616">
        <f t="shared" si="60"/>
        <v>6.318398701</v>
      </c>
      <c r="AC150" s="616">
        <f t="shared" si="60"/>
        <v>3.430269157</v>
      </c>
      <c r="AD150" s="616">
        <f t="shared" si="60"/>
        <v>2.242118849</v>
      </c>
      <c r="AE150" s="616">
        <f t="shared" si="60"/>
        <v>0.7121943085</v>
      </c>
      <c r="AF150" s="616">
        <f t="shared" si="60"/>
        <v>1.655818147</v>
      </c>
      <c r="AG150" s="616">
        <f t="shared" si="60"/>
        <v>1.904765292</v>
      </c>
      <c r="AH150" s="616">
        <f t="shared" si="60"/>
        <v>0.7947266488</v>
      </c>
      <c r="AI150" s="616">
        <f t="shared" si="60"/>
        <v>32.64275036</v>
      </c>
      <c r="AJ150" s="616">
        <f t="shared" si="60"/>
        <v>4.164163015</v>
      </c>
      <c r="AK150" s="616">
        <f t="shared" si="60"/>
        <v>5.647230286</v>
      </c>
      <c r="AL150" s="616">
        <f t="shared" si="60"/>
        <v>19.87055212</v>
      </c>
    </row>
    <row r="151">
      <c r="A151" s="400" t="s">
        <v>723</v>
      </c>
      <c r="B151" s="616">
        <f t="shared" ref="B151:AL151" si="61">B150*(1/(1+B105))^average(50,74)</f>
        <v>0.650006055</v>
      </c>
      <c r="C151" s="616">
        <f t="shared" si="61"/>
        <v>2.405129995</v>
      </c>
      <c r="D151" s="616">
        <f t="shared" si="61"/>
        <v>0.8741746327</v>
      </c>
      <c r="E151" s="616">
        <f t="shared" si="61"/>
        <v>1.02296431</v>
      </c>
      <c r="F151" s="616">
        <f t="shared" si="61"/>
        <v>11.12628612</v>
      </c>
      <c r="G151" s="616">
        <f t="shared" si="61"/>
        <v>1.422459291</v>
      </c>
      <c r="H151" s="616">
        <f t="shared" si="61"/>
        <v>1.751692491</v>
      </c>
      <c r="I151" s="616">
        <f t="shared" si="61"/>
        <v>5.244819224</v>
      </c>
      <c r="J151" s="616">
        <f t="shared" si="61"/>
        <v>0.5718460891</v>
      </c>
      <c r="K151" s="616">
        <f t="shared" si="61"/>
        <v>1.101031341</v>
      </c>
      <c r="L151" s="616">
        <f t="shared" si="61"/>
        <v>0.09612735419</v>
      </c>
      <c r="M151" s="616">
        <f t="shared" si="61"/>
        <v>0.4809738602</v>
      </c>
      <c r="N151" s="616">
        <f t="shared" si="61"/>
        <v>0.2677842723</v>
      </c>
      <c r="O151" s="616">
        <f t="shared" si="61"/>
        <v>0.185044599</v>
      </c>
      <c r="P151" s="616">
        <f t="shared" si="61"/>
        <v>0.3350044936</v>
      </c>
      <c r="Q151" s="616">
        <f t="shared" si="61"/>
        <v>4.862643127</v>
      </c>
      <c r="R151" s="616">
        <f t="shared" si="61"/>
        <v>0.3434808943</v>
      </c>
      <c r="S151" s="616">
        <f t="shared" si="61"/>
        <v>9.154823661</v>
      </c>
      <c r="T151" s="616">
        <f t="shared" si="61"/>
        <v>2.881599035</v>
      </c>
      <c r="U151" s="616">
        <f t="shared" si="61"/>
        <v>5.697086304</v>
      </c>
      <c r="V151" s="616">
        <f t="shared" si="61"/>
        <v>10.15017093</v>
      </c>
      <c r="W151" s="616">
        <f t="shared" si="61"/>
        <v>11.76014164</v>
      </c>
      <c r="X151" s="616">
        <f t="shared" si="61"/>
        <v>1.087552036</v>
      </c>
      <c r="Y151" s="616">
        <f t="shared" si="61"/>
        <v>2.174936889</v>
      </c>
      <c r="Z151" s="616">
        <f t="shared" si="61"/>
        <v>0.2928313618</v>
      </c>
      <c r="AA151" s="616">
        <f t="shared" si="61"/>
        <v>2.070818347</v>
      </c>
      <c r="AB151" s="616">
        <f t="shared" si="61"/>
        <v>4.637791264</v>
      </c>
      <c r="AC151" s="616">
        <f t="shared" si="61"/>
        <v>2.517864586</v>
      </c>
      <c r="AD151" s="616">
        <f t="shared" si="61"/>
        <v>1.645745972</v>
      </c>
      <c r="AE151" s="616">
        <f t="shared" si="61"/>
        <v>0.5227603857</v>
      </c>
      <c r="AF151" s="616">
        <f t="shared" si="61"/>
        <v>1.215393219</v>
      </c>
      <c r="AG151" s="616">
        <f t="shared" si="61"/>
        <v>1.398123836</v>
      </c>
      <c r="AH151" s="616">
        <f t="shared" si="61"/>
        <v>0.583340255</v>
      </c>
      <c r="AI151" s="616">
        <f t="shared" si="61"/>
        <v>23.96022626</v>
      </c>
      <c r="AJ151" s="616">
        <f t="shared" si="61"/>
        <v>3.056552738</v>
      </c>
      <c r="AK151" s="616">
        <f t="shared" si="61"/>
        <v>4.145144447</v>
      </c>
      <c r="AL151" s="616">
        <f t="shared" si="61"/>
        <v>14.58525766</v>
      </c>
    </row>
    <row r="152">
      <c r="A152" s="400" t="s">
        <v>60</v>
      </c>
      <c r="B152" s="608">
        <f t="array" ref="B152">index('Moral weights and discount rate'!$A$1:$V$39, match($A152, 'Moral weights and discount rate'!$A$1:$A$39,0), match('Moral weights and discount rate'!$A$17, 'Moral weights and discount rate'!$A$1:$X$1,0))</f>
        <v>42.44</v>
      </c>
      <c r="C152" s="608">
        <f t="array" ref="C152">index('Moral weights and discount rate'!$A$1:$V$39, match($A152, 'Moral weights and discount rate'!$A$1:$A$39,0), match('Moral weights and discount rate'!$A$17, 'Moral weights and discount rate'!$A$1:$X$1,0))</f>
        <v>42.44</v>
      </c>
      <c r="D152" s="608">
        <f t="array" ref="D152">index('Moral weights and discount rate'!$A$1:$V$39, match($A152, 'Moral weights and discount rate'!$A$1:$A$39,0), match('Moral weights and discount rate'!$A$17, 'Moral weights and discount rate'!$A$1:$X$1,0))</f>
        <v>42.44</v>
      </c>
      <c r="E152" s="608">
        <f t="array" ref="E152">index('Moral weights and discount rate'!$A$1:$V$39, match($A152, 'Moral weights and discount rate'!$A$1:$A$39,0), match('Moral weights and discount rate'!$A$17, 'Moral weights and discount rate'!$A$1:$X$1,0))</f>
        <v>42.44</v>
      </c>
      <c r="F152" s="608">
        <f t="array" ref="F152">index('Moral weights and discount rate'!$A$1:$V$39, match($A152, 'Moral weights and discount rate'!$A$1:$A$39,0), match('Moral weights and discount rate'!$A$17, 'Moral weights and discount rate'!$A$1:$X$1,0))</f>
        <v>42.44</v>
      </c>
      <c r="G152" s="608">
        <f t="array" ref="G152">index('Moral weights and discount rate'!$A$1:$V$39, match($A152, 'Moral weights and discount rate'!$A$1:$A$39,0), match('Moral weights and discount rate'!$A$17, 'Moral weights and discount rate'!$A$1:$X$1,0))</f>
        <v>42.44</v>
      </c>
      <c r="H152" s="608">
        <f t="array" ref="H152">index('Moral weights and discount rate'!$A$1:$V$39, match($A152, 'Moral weights and discount rate'!$A$1:$A$39,0), match('Moral weights and discount rate'!$A$17, 'Moral weights and discount rate'!$A$1:$X$1,0))</f>
        <v>42.44</v>
      </c>
      <c r="I152" s="608">
        <f t="array" ref="I152">index('Moral weights and discount rate'!$A$1:$V$39, match($A152, 'Moral weights and discount rate'!$A$1:$A$39,0), match('Moral weights and discount rate'!$A$17, 'Moral weights and discount rate'!$A$1:$X$1,0))</f>
        <v>42.44</v>
      </c>
      <c r="J152" s="608">
        <f t="array" ref="J152">index('Moral weights and discount rate'!$A$1:$V$39, match($A152, 'Moral weights and discount rate'!$A$1:$A$39,0), match('Moral weights and discount rate'!$A$17, 'Moral weights and discount rate'!$A$1:$X$1,0))</f>
        <v>42.44</v>
      </c>
      <c r="K152" s="608">
        <f t="array" ref="K152">index('Moral weights and discount rate'!$A$1:$V$39, match($A152, 'Moral weights and discount rate'!$A$1:$A$39,0), match('Moral weights and discount rate'!$A$17, 'Moral weights and discount rate'!$A$1:$X$1,0))</f>
        <v>42.44</v>
      </c>
      <c r="L152" s="608">
        <f t="array" ref="L152">index('Moral weights and discount rate'!$A$1:$V$39, match($A152, 'Moral weights and discount rate'!$A$1:$A$39,0), match('Moral weights and discount rate'!$A$17, 'Moral weights and discount rate'!$A$1:$X$1,0))</f>
        <v>42.44</v>
      </c>
      <c r="M152" s="608">
        <f t="array" ref="M152">index('Moral weights and discount rate'!$A$1:$V$39, match($A152, 'Moral weights and discount rate'!$A$1:$A$39,0), match('Moral weights and discount rate'!$A$17, 'Moral weights and discount rate'!$A$1:$X$1,0))</f>
        <v>42.44</v>
      </c>
      <c r="N152" s="608">
        <f t="array" ref="N152">index('Moral weights and discount rate'!$A$1:$V$39, match($A152, 'Moral weights and discount rate'!$A$1:$A$39,0), match('Moral weights and discount rate'!$A$17, 'Moral weights and discount rate'!$A$1:$X$1,0))</f>
        <v>42.44</v>
      </c>
      <c r="O152" s="608">
        <f t="array" ref="O152">index('Moral weights and discount rate'!$A$1:$V$39, match($A152, 'Moral weights and discount rate'!$A$1:$A$39,0), match('Moral weights and discount rate'!$A$17, 'Moral weights and discount rate'!$A$1:$X$1,0))</f>
        <v>42.44</v>
      </c>
      <c r="P152" s="608">
        <f t="array" ref="P152">index('Moral weights and discount rate'!$A$1:$V$39, match($A152, 'Moral weights and discount rate'!$A$1:$A$39,0), match('Moral weights and discount rate'!$A$17, 'Moral weights and discount rate'!$A$1:$X$1,0))</f>
        <v>42.44</v>
      </c>
      <c r="Q152" s="608">
        <f t="array" ref="Q152">index('Moral weights and discount rate'!$A$1:$V$39, match($A152, 'Moral weights and discount rate'!$A$1:$A$39,0), match('Moral weights and discount rate'!$A$17, 'Moral weights and discount rate'!$A$1:$X$1,0))</f>
        <v>42.44</v>
      </c>
      <c r="R152" s="608">
        <f t="array" ref="R152">index('Moral weights and discount rate'!$A$1:$V$39, match($A152, 'Moral weights and discount rate'!$A$1:$A$39,0), match('Moral weights and discount rate'!$A$17, 'Moral weights and discount rate'!$A$1:$X$1,0))</f>
        <v>42.44</v>
      </c>
      <c r="S152" s="608">
        <f t="array" ref="S152">index('Moral weights and discount rate'!$A$1:$V$39, match($A152, 'Moral weights and discount rate'!$A$1:$A$39,0), match('Moral weights and discount rate'!$A$17, 'Moral weights and discount rate'!$A$1:$X$1,0))</f>
        <v>42.44</v>
      </c>
      <c r="T152" s="608">
        <f t="array" ref="T152">index('Moral weights and discount rate'!$A$1:$V$39, match($A152, 'Moral weights and discount rate'!$A$1:$A$39,0), match('Moral weights and discount rate'!$A$17, 'Moral weights and discount rate'!$A$1:$X$1,0))</f>
        <v>42.44</v>
      </c>
      <c r="U152" s="608">
        <f t="array" ref="U152">index('Moral weights and discount rate'!$A$1:$V$39, match($A152, 'Moral weights and discount rate'!$A$1:$A$39,0), match('Moral weights and discount rate'!$A$17, 'Moral weights and discount rate'!$A$1:$X$1,0))</f>
        <v>42.44</v>
      </c>
      <c r="V152" s="608">
        <f t="array" ref="V152">index('Moral weights and discount rate'!$A$1:$V$39, match($A152, 'Moral weights and discount rate'!$A$1:$A$39,0), match('Moral weights and discount rate'!$A$17, 'Moral weights and discount rate'!$A$1:$X$1,0))</f>
        <v>42.44</v>
      </c>
      <c r="W152" s="608">
        <f t="array" ref="W152">index('Moral weights and discount rate'!$A$1:$V$39, match($A152, 'Moral weights and discount rate'!$A$1:$A$39,0), match('Moral weights and discount rate'!$A$17, 'Moral weights and discount rate'!$A$1:$X$1,0))</f>
        <v>42.44</v>
      </c>
      <c r="X152" s="608">
        <f t="array" ref="X152">index('Moral weights and discount rate'!$A$1:$V$39, match($A152, 'Moral weights and discount rate'!$A$1:$A$39,0), match('Moral weights and discount rate'!$A$17, 'Moral weights and discount rate'!$A$1:$X$1,0))</f>
        <v>42.44</v>
      </c>
      <c r="Y152" s="608">
        <f t="array" ref="Y152">index('Moral weights and discount rate'!$A$1:$V$39, match($A152, 'Moral weights and discount rate'!$A$1:$A$39,0), match('Moral weights and discount rate'!$A$17, 'Moral weights and discount rate'!$A$1:$X$1,0))</f>
        <v>42.44</v>
      </c>
      <c r="Z152" s="608">
        <f t="array" ref="Z152">index('Moral weights and discount rate'!$A$1:$V$39, match($A152, 'Moral weights and discount rate'!$A$1:$A$39,0), match('Moral weights and discount rate'!$A$17, 'Moral weights and discount rate'!$A$1:$X$1,0))</f>
        <v>42.44</v>
      </c>
      <c r="AA152" s="608">
        <f t="array" ref="AA152">index('Moral weights and discount rate'!$A$1:$V$39, match($A152, 'Moral weights and discount rate'!$A$1:$A$39,0), match('Moral weights and discount rate'!$A$17, 'Moral weights and discount rate'!$A$1:$X$1,0))</f>
        <v>42.44</v>
      </c>
      <c r="AB152" s="608">
        <f t="array" ref="AB152">index('Moral weights and discount rate'!$A$1:$V$39, match($A152, 'Moral weights and discount rate'!$A$1:$A$39,0), match('Moral weights and discount rate'!$A$17, 'Moral weights and discount rate'!$A$1:$X$1,0))</f>
        <v>42.44</v>
      </c>
      <c r="AC152" s="608">
        <f t="array" ref="AC152">index('Moral weights and discount rate'!$A$1:$V$39, match($A152, 'Moral weights and discount rate'!$A$1:$A$39,0), match('Moral weights and discount rate'!$A$17, 'Moral weights and discount rate'!$A$1:$X$1,0))</f>
        <v>42.44</v>
      </c>
      <c r="AD152" s="608">
        <f t="array" ref="AD152">index('Moral weights and discount rate'!$A$1:$V$39, match($A152, 'Moral weights and discount rate'!$A$1:$A$39,0), match('Moral weights and discount rate'!$A$17, 'Moral weights and discount rate'!$A$1:$X$1,0))</f>
        <v>42.44</v>
      </c>
      <c r="AE152" s="608">
        <f t="array" ref="AE152">index('Moral weights and discount rate'!$A$1:$V$39, match($A152, 'Moral weights and discount rate'!$A$1:$A$39,0), match('Moral weights and discount rate'!$A$17, 'Moral weights and discount rate'!$A$1:$X$1,0))</f>
        <v>42.44</v>
      </c>
      <c r="AF152" s="608">
        <f t="array" ref="AF152">index('Moral weights and discount rate'!$A$1:$V$39, match($A152, 'Moral weights and discount rate'!$A$1:$A$39,0), match('Moral weights and discount rate'!$A$17, 'Moral weights and discount rate'!$A$1:$X$1,0))</f>
        <v>42.44</v>
      </c>
      <c r="AG152" s="608">
        <f t="array" ref="AG152">index('Moral weights and discount rate'!$A$1:$V$39, match($A152, 'Moral weights and discount rate'!$A$1:$A$39,0), match('Moral weights and discount rate'!$A$17, 'Moral weights and discount rate'!$A$1:$X$1,0))</f>
        <v>42.44</v>
      </c>
      <c r="AH152" s="608">
        <f t="array" ref="AH152">index('Moral weights and discount rate'!$A$1:$V$39, match($A152, 'Moral weights and discount rate'!$A$1:$A$39,0), match('Moral weights and discount rate'!$A$17, 'Moral weights and discount rate'!$A$1:$X$1,0))</f>
        <v>42.44</v>
      </c>
      <c r="AI152" s="608">
        <f t="array" ref="AI152">index('Moral weights and discount rate'!$A$1:$V$39, match($A152, 'Moral weights and discount rate'!$A$1:$A$39,0), match('Moral weights and discount rate'!$A$17, 'Moral weights and discount rate'!$A$1:$X$1,0))</f>
        <v>42.44</v>
      </c>
      <c r="AJ152" s="608">
        <f t="array" ref="AJ152">index('Moral weights and discount rate'!$A$1:$V$39, match($A152, 'Moral weights and discount rate'!$A$1:$A$39,0), match('Moral weights and discount rate'!$A$17, 'Moral weights and discount rate'!$A$1:$X$1,0))</f>
        <v>42.44</v>
      </c>
      <c r="AK152" s="608">
        <f t="array" ref="AK152">index('Moral weights and discount rate'!$A$1:$V$39, match($A152, 'Moral weights and discount rate'!$A$1:$A$39,0), match('Moral weights and discount rate'!$A$17, 'Moral weights and discount rate'!$A$1:$X$1,0))</f>
        <v>42.44</v>
      </c>
      <c r="AL152" s="608">
        <f t="array" ref="AL152">index('Moral weights and discount rate'!$A$1:$V$39, match($A152, 'Moral weights and discount rate'!$A$1:$A$39,0), match('Moral weights and discount rate'!$A$17, 'Moral weights and discount rate'!$A$1:$X$1,0))</f>
        <v>42.44</v>
      </c>
    </row>
    <row r="153">
      <c r="A153" s="400" t="s">
        <v>732</v>
      </c>
      <c r="B153" s="607">
        <f t="shared" ref="B153:AL153" si="62">B151*B152</f>
        <v>27.58625697</v>
      </c>
      <c r="C153" s="607">
        <f t="shared" si="62"/>
        <v>102.073717</v>
      </c>
      <c r="D153" s="607">
        <f t="shared" si="62"/>
        <v>37.09997141</v>
      </c>
      <c r="E153" s="607">
        <f t="shared" si="62"/>
        <v>43.41460532</v>
      </c>
      <c r="F153" s="607">
        <f t="shared" si="62"/>
        <v>472.199583</v>
      </c>
      <c r="G153" s="607">
        <f t="shared" si="62"/>
        <v>60.36917231</v>
      </c>
      <c r="H153" s="607">
        <f t="shared" si="62"/>
        <v>74.34182931</v>
      </c>
      <c r="I153" s="607">
        <f t="shared" si="62"/>
        <v>222.5901279</v>
      </c>
      <c r="J153" s="607">
        <f t="shared" si="62"/>
        <v>24.26914802</v>
      </c>
      <c r="K153" s="607">
        <f t="shared" si="62"/>
        <v>46.72777011</v>
      </c>
      <c r="L153" s="607">
        <f t="shared" si="62"/>
        <v>4.079644912</v>
      </c>
      <c r="M153" s="607">
        <f t="shared" si="62"/>
        <v>20.41253063</v>
      </c>
      <c r="N153" s="607">
        <f t="shared" si="62"/>
        <v>11.36476452</v>
      </c>
      <c r="O153" s="607">
        <f t="shared" si="62"/>
        <v>7.85329278</v>
      </c>
      <c r="P153" s="607">
        <f t="shared" si="62"/>
        <v>14.21759071</v>
      </c>
      <c r="Q153" s="607">
        <f t="shared" si="62"/>
        <v>206.3705743</v>
      </c>
      <c r="R153" s="607">
        <f t="shared" si="62"/>
        <v>14.57732915</v>
      </c>
      <c r="S153" s="607">
        <f t="shared" si="62"/>
        <v>388.5307162</v>
      </c>
      <c r="T153" s="607">
        <f t="shared" si="62"/>
        <v>122.2950631</v>
      </c>
      <c r="U153" s="607">
        <f t="shared" si="62"/>
        <v>241.7843427</v>
      </c>
      <c r="V153" s="607">
        <f t="shared" si="62"/>
        <v>430.7732543</v>
      </c>
      <c r="W153" s="607">
        <f t="shared" si="62"/>
        <v>499.1004111</v>
      </c>
      <c r="X153" s="607">
        <f t="shared" si="62"/>
        <v>46.15570842</v>
      </c>
      <c r="Y153" s="607">
        <f t="shared" si="62"/>
        <v>92.30432156</v>
      </c>
      <c r="Z153" s="607">
        <f t="shared" si="62"/>
        <v>12.42776299</v>
      </c>
      <c r="AA153" s="607">
        <f t="shared" si="62"/>
        <v>87.88553066</v>
      </c>
      <c r="AB153" s="607">
        <f t="shared" si="62"/>
        <v>196.8278612</v>
      </c>
      <c r="AC153" s="607">
        <f t="shared" si="62"/>
        <v>106.858173</v>
      </c>
      <c r="AD153" s="607">
        <f t="shared" si="62"/>
        <v>69.84545904</v>
      </c>
      <c r="AE153" s="607">
        <f t="shared" si="62"/>
        <v>22.18595077</v>
      </c>
      <c r="AF153" s="607">
        <f t="shared" si="62"/>
        <v>51.58128821</v>
      </c>
      <c r="AG153" s="607">
        <f t="shared" si="62"/>
        <v>59.33637561</v>
      </c>
      <c r="AH153" s="607">
        <f t="shared" si="62"/>
        <v>24.75696042</v>
      </c>
      <c r="AI153" s="607">
        <f t="shared" si="62"/>
        <v>1016.872002</v>
      </c>
      <c r="AJ153" s="607">
        <f t="shared" si="62"/>
        <v>129.7200982</v>
      </c>
      <c r="AK153" s="607">
        <f t="shared" si="62"/>
        <v>175.9199303</v>
      </c>
      <c r="AL153" s="607">
        <f t="shared" si="62"/>
        <v>618.9983351</v>
      </c>
    </row>
    <row r="154">
      <c r="A154" s="291"/>
      <c r="B154" s="620"/>
      <c r="C154" s="620"/>
      <c r="D154" s="620"/>
      <c r="E154" s="620"/>
      <c r="F154" s="620"/>
      <c r="G154" s="570"/>
      <c r="H154" s="570"/>
      <c r="I154" s="570"/>
      <c r="J154" s="570"/>
      <c r="K154" s="570"/>
      <c r="L154" s="570"/>
      <c r="M154" s="570"/>
      <c r="N154" s="570"/>
      <c r="O154" s="570"/>
      <c r="P154" s="570"/>
      <c r="Q154" s="620"/>
      <c r="R154" s="620"/>
      <c r="S154" s="620"/>
      <c r="T154" s="570"/>
      <c r="U154" s="620"/>
      <c r="V154" s="620"/>
      <c r="W154" s="570"/>
      <c r="X154" s="570"/>
      <c r="Y154" s="620"/>
      <c r="Z154" s="620"/>
      <c r="AA154" s="570"/>
      <c r="AB154" s="570"/>
      <c r="AC154" s="570"/>
      <c r="AD154" s="570"/>
      <c r="AE154" s="570"/>
      <c r="AF154" s="570"/>
      <c r="AG154" s="570"/>
      <c r="AH154" s="570"/>
      <c r="AI154" s="620"/>
      <c r="AJ154" s="620"/>
      <c r="AK154" s="620"/>
      <c r="AL154" s="620"/>
    </row>
    <row r="155">
      <c r="A155" s="160" t="s">
        <v>591</v>
      </c>
      <c r="B155" s="472"/>
      <c r="C155" s="472"/>
      <c r="D155" s="472"/>
      <c r="E155" s="472"/>
      <c r="F155" s="472"/>
      <c r="G155" s="161"/>
      <c r="H155" s="161"/>
      <c r="I155" s="161"/>
      <c r="J155" s="161"/>
      <c r="K155" s="161"/>
      <c r="L155" s="161"/>
      <c r="M155" s="161"/>
      <c r="N155" s="161"/>
      <c r="O155" s="161"/>
      <c r="P155" s="161"/>
      <c r="Q155" s="472"/>
      <c r="R155" s="472"/>
      <c r="S155" s="472"/>
      <c r="T155" s="161"/>
      <c r="U155" s="472"/>
      <c r="V155" s="472"/>
      <c r="W155" s="161"/>
      <c r="X155" s="161"/>
      <c r="Y155" s="472"/>
      <c r="Z155" s="472"/>
      <c r="AA155" s="161"/>
      <c r="AB155" s="161"/>
      <c r="AC155" s="161"/>
      <c r="AD155" s="161"/>
      <c r="AE155" s="161"/>
      <c r="AF155" s="161"/>
      <c r="AG155" s="161"/>
      <c r="AH155" s="161"/>
      <c r="AI155" s="472"/>
      <c r="AJ155" s="472"/>
      <c r="AK155" s="472"/>
      <c r="AL155" s="472"/>
    </row>
    <row r="156">
      <c r="A156" s="91" t="s">
        <v>733</v>
      </c>
      <c r="B156" s="92">
        <v>0.523255813953488</v>
      </c>
      <c r="C156" s="92">
        <v>0.523255813953488</v>
      </c>
      <c r="D156" s="92">
        <v>0.523255813953488</v>
      </c>
      <c r="E156" s="92">
        <v>0.523255813953488</v>
      </c>
      <c r="F156" s="92">
        <v>0.523255813953488</v>
      </c>
      <c r="G156" s="92">
        <v>0.523255813953488</v>
      </c>
      <c r="H156" s="92">
        <v>0.523255813953488</v>
      </c>
      <c r="I156" s="92">
        <v>0.523255813953488</v>
      </c>
      <c r="J156" s="92">
        <v>0.523255813953488</v>
      </c>
      <c r="K156" s="92">
        <v>0.523255813953488</v>
      </c>
      <c r="L156" s="92">
        <v>0.523255813953488</v>
      </c>
      <c r="M156" s="92">
        <v>0.523255813953488</v>
      </c>
      <c r="N156" s="92">
        <v>0.523255813953488</v>
      </c>
      <c r="O156" s="92">
        <v>0.523255813953488</v>
      </c>
      <c r="P156" s="92">
        <v>0.523255813953488</v>
      </c>
      <c r="Q156" s="92">
        <v>0.523255813953488</v>
      </c>
      <c r="R156" s="92">
        <v>0.523255813953488</v>
      </c>
      <c r="S156" s="92">
        <v>0.523255813953488</v>
      </c>
      <c r="T156" s="92">
        <v>0.523255813953488</v>
      </c>
      <c r="U156" s="92">
        <v>0.523255813953488</v>
      </c>
      <c r="V156" s="92">
        <v>0.523255813953488</v>
      </c>
      <c r="W156" s="92">
        <v>0.523255813953488</v>
      </c>
      <c r="X156" s="92">
        <v>0.523255813953488</v>
      </c>
      <c r="Y156" s="92">
        <v>0.523255813953488</v>
      </c>
      <c r="Z156" s="92">
        <v>0.523255813953488</v>
      </c>
      <c r="AA156" s="92">
        <v>0.523255813953488</v>
      </c>
      <c r="AB156" s="92">
        <v>0.523255813953488</v>
      </c>
      <c r="AC156" s="92">
        <v>0.523255813953488</v>
      </c>
      <c r="AD156" s="92">
        <v>0.523255813953488</v>
      </c>
      <c r="AE156" s="92">
        <v>0.523255813953488</v>
      </c>
      <c r="AF156" s="92">
        <v>0.523255813953488</v>
      </c>
      <c r="AG156" s="92">
        <v>0.523255813953488</v>
      </c>
      <c r="AH156" s="92">
        <v>0.523255813953488</v>
      </c>
      <c r="AI156" s="92">
        <v>0.523255813953488</v>
      </c>
      <c r="AJ156" s="92">
        <v>0.523255813953488</v>
      </c>
      <c r="AK156" s="92">
        <v>0.523255813953488</v>
      </c>
      <c r="AL156" s="92">
        <v>0.523255813953488</v>
      </c>
    </row>
    <row r="157">
      <c r="A157" s="91" t="s">
        <v>734</v>
      </c>
      <c r="B157" s="165">
        <v>7.0</v>
      </c>
      <c r="C157" s="165">
        <v>7.0</v>
      </c>
      <c r="D157" s="165">
        <v>7.0</v>
      </c>
      <c r="E157" s="165">
        <v>7.0</v>
      </c>
      <c r="F157" s="165">
        <v>7.0</v>
      </c>
      <c r="G157" s="165">
        <v>7.0</v>
      </c>
      <c r="H157" s="165">
        <v>7.0</v>
      </c>
      <c r="I157" s="165">
        <v>7.0</v>
      </c>
      <c r="J157" s="165">
        <v>7.0</v>
      </c>
      <c r="K157" s="165">
        <v>7.0</v>
      </c>
      <c r="L157" s="165">
        <v>7.0</v>
      </c>
      <c r="M157" s="165">
        <v>7.0</v>
      </c>
      <c r="N157" s="165">
        <v>7.0</v>
      </c>
      <c r="O157" s="165">
        <v>7.0</v>
      </c>
      <c r="P157" s="165">
        <v>7.0</v>
      </c>
      <c r="Q157" s="165">
        <v>7.0</v>
      </c>
      <c r="R157" s="165">
        <v>7.0</v>
      </c>
      <c r="S157" s="165">
        <v>7.0</v>
      </c>
      <c r="T157" s="165">
        <v>7.0</v>
      </c>
      <c r="U157" s="165">
        <v>7.0</v>
      </c>
      <c r="V157" s="165">
        <v>7.0</v>
      </c>
      <c r="W157" s="165">
        <v>7.0</v>
      </c>
      <c r="X157" s="165">
        <v>7.0</v>
      </c>
      <c r="Y157" s="165">
        <v>7.0</v>
      </c>
      <c r="Z157" s="165">
        <v>7.0</v>
      </c>
      <c r="AA157" s="165">
        <v>7.0</v>
      </c>
      <c r="AB157" s="165">
        <v>7.0</v>
      </c>
      <c r="AC157" s="165">
        <v>7.0</v>
      </c>
      <c r="AD157" s="165">
        <v>7.0</v>
      </c>
      <c r="AE157" s="165">
        <v>7.0</v>
      </c>
      <c r="AF157" s="165">
        <v>7.0</v>
      </c>
      <c r="AG157" s="165">
        <v>7.0</v>
      </c>
      <c r="AH157" s="165">
        <v>7.0</v>
      </c>
      <c r="AI157" s="165">
        <v>7.0</v>
      </c>
      <c r="AJ157" s="165">
        <v>7.0</v>
      </c>
      <c r="AK157" s="165">
        <v>7.0</v>
      </c>
      <c r="AL157" s="165">
        <v>7.0</v>
      </c>
    </row>
    <row r="158">
      <c r="A158" s="55" t="s">
        <v>593</v>
      </c>
      <c r="B158" s="545">
        <f>AVERAGE('Malaria Consortium'!117:117)</f>
        <v>0.09034497921</v>
      </c>
      <c r="C158" s="545">
        <f>AVERAGE('Malaria Consortium'!117:117)</f>
        <v>0.09034497921</v>
      </c>
      <c r="D158" s="545">
        <f>AVERAGE('Malaria Consortium'!117:117)</f>
        <v>0.09034497921</v>
      </c>
      <c r="E158" s="545">
        <f>AVERAGE('Malaria Consortium'!117:117)</f>
        <v>0.09034497921</v>
      </c>
      <c r="F158" s="545">
        <f>AVERAGE('Malaria Consortium'!117:117)</f>
        <v>0.09034497921</v>
      </c>
      <c r="G158" s="545">
        <f>AVERAGE('Malaria Consortium'!117:117)</f>
        <v>0.09034497921</v>
      </c>
      <c r="H158" s="545">
        <f>AVERAGE('Malaria Consortium'!117:117)</f>
        <v>0.09034497921</v>
      </c>
      <c r="I158" s="545">
        <f>AVERAGE('Malaria Consortium'!117:117)</f>
        <v>0.09034497921</v>
      </c>
      <c r="J158" s="545">
        <f>AVERAGE('Malaria Consortium'!117:117)</f>
        <v>0.09034497921</v>
      </c>
      <c r="K158" s="545">
        <f>AVERAGE('Malaria Consortium'!117:117)</f>
        <v>0.09034497921</v>
      </c>
      <c r="L158" s="545">
        <f>AVERAGE('Malaria Consortium'!117:117)</f>
        <v>0.09034497921</v>
      </c>
      <c r="M158" s="545">
        <f>AVERAGE('Malaria Consortium'!117:117)</f>
        <v>0.09034497921</v>
      </c>
      <c r="N158" s="545">
        <f>AVERAGE('Malaria Consortium'!117:117)</f>
        <v>0.09034497921</v>
      </c>
      <c r="O158" s="545">
        <f>AVERAGE('Malaria Consortium'!117:117)</f>
        <v>0.09034497921</v>
      </c>
      <c r="P158" s="545">
        <f>AVERAGE('Malaria Consortium'!117:117)</f>
        <v>0.09034497921</v>
      </c>
      <c r="Q158" s="545">
        <f>AVERAGE('Malaria Consortium'!117:117)</f>
        <v>0.09034497921</v>
      </c>
      <c r="R158" s="545">
        <f>AVERAGE('Malaria Consortium'!117:117)</f>
        <v>0.09034497921</v>
      </c>
      <c r="S158" s="545">
        <f>AVERAGE('Malaria Consortium'!117:117)</f>
        <v>0.09034497921</v>
      </c>
      <c r="T158" s="545">
        <f>AVERAGE('Malaria Consortium'!117:117)</f>
        <v>0.09034497921</v>
      </c>
      <c r="U158" s="545">
        <f>AVERAGE('Malaria Consortium'!117:117)</f>
        <v>0.09034497921</v>
      </c>
      <c r="V158" s="545">
        <f>AVERAGE('Malaria Consortium'!117:117)</f>
        <v>0.09034497921</v>
      </c>
      <c r="W158" s="545">
        <f>AVERAGE('Malaria Consortium'!117:117)</f>
        <v>0.09034497921</v>
      </c>
      <c r="X158" s="545">
        <f>AVERAGE('Malaria Consortium'!117:117)</f>
        <v>0.09034497921</v>
      </c>
      <c r="Y158" s="545">
        <f>AVERAGE('Malaria Consortium'!117:117)</f>
        <v>0.09034497921</v>
      </c>
      <c r="Z158" s="545">
        <f>AVERAGE('Malaria Consortium'!117:117)</f>
        <v>0.09034497921</v>
      </c>
      <c r="AA158" s="545">
        <f>AVERAGE('Malaria Consortium'!117:117)</f>
        <v>0.09034497921</v>
      </c>
      <c r="AB158" s="545">
        <f>AVERAGE('Malaria Consortium'!117:117)</f>
        <v>0.09034497921</v>
      </c>
      <c r="AC158" s="545">
        <f>AVERAGE('Malaria Consortium'!117:117)</f>
        <v>0.09034497921</v>
      </c>
      <c r="AD158" s="545">
        <f>AVERAGE('Malaria Consortium'!117:117)</f>
        <v>0.09034497921</v>
      </c>
      <c r="AE158" s="545">
        <f>AVERAGE('Malaria Consortium'!117:117)</f>
        <v>0.09034497921</v>
      </c>
      <c r="AF158" s="545">
        <f>AVERAGE('Malaria Consortium'!117:117)</f>
        <v>0.09034497921</v>
      </c>
      <c r="AG158" s="545">
        <f>AVERAGE('Malaria Consortium'!117:117)</f>
        <v>0.09034497921</v>
      </c>
      <c r="AH158" s="545">
        <f>AVERAGE('Malaria Consortium'!117:117)</f>
        <v>0.09034497921</v>
      </c>
      <c r="AI158" s="545">
        <f>AVERAGE('Malaria Consortium'!117:117)</f>
        <v>0.09034497921</v>
      </c>
      <c r="AJ158" s="545">
        <f>AVERAGE('Malaria Consortium'!117:117)</f>
        <v>0.09034497921</v>
      </c>
      <c r="AK158" s="545">
        <f>AVERAGE('Malaria Consortium'!117:117)</f>
        <v>0.09034497921</v>
      </c>
      <c r="AL158" s="545">
        <f>AVERAGE('Malaria Consortium'!117:117)</f>
        <v>0.09034497921</v>
      </c>
    </row>
    <row r="159">
      <c r="A159" s="225" t="s">
        <v>735</v>
      </c>
      <c r="B159" s="621">
        <f t="shared" ref="B159:AL159" si="63">B158*B156</f>
        <v>0.04727353564</v>
      </c>
      <c r="C159" s="621">
        <f t="shared" si="63"/>
        <v>0.04727353564</v>
      </c>
      <c r="D159" s="621">
        <f t="shared" si="63"/>
        <v>0.04727353564</v>
      </c>
      <c r="E159" s="621">
        <f t="shared" si="63"/>
        <v>0.04727353564</v>
      </c>
      <c r="F159" s="621">
        <f t="shared" si="63"/>
        <v>0.04727353564</v>
      </c>
      <c r="G159" s="621">
        <f t="shared" si="63"/>
        <v>0.04727353564</v>
      </c>
      <c r="H159" s="621">
        <f t="shared" si="63"/>
        <v>0.04727353564</v>
      </c>
      <c r="I159" s="621">
        <f t="shared" si="63"/>
        <v>0.04727353564</v>
      </c>
      <c r="J159" s="621">
        <f t="shared" si="63"/>
        <v>0.04727353564</v>
      </c>
      <c r="K159" s="621">
        <f t="shared" si="63"/>
        <v>0.04727353564</v>
      </c>
      <c r="L159" s="621">
        <f t="shared" si="63"/>
        <v>0.04727353564</v>
      </c>
      <c r="M159" s="621">
        <f t="shared" si="63"/>
        <v>0.04727353564</v>
      </c>
      <c r="N159" s="621">
        <f t="shared" si="63"/>
        <v>0.04727353564</v>
      </c>
      <c r="O159" s="621">
        <f t="shared" si="63"/>
        <v>0.04727353564</v>
      </c>
      <c r="P159" s="621">
        <f t="shared" si="63"/>
        <v>0.04727353564</v>
      </c>
      <c r="Q159" s="621">
        <f t="shared" si="63"/>
        <v>0.04727353564</v>
      </c>
      <c r="R159" s="621">
        <f t="shared" si="63"/>
        <v>0.04727353564</v>
      </c>
      <c r="S159" s="621">
        <f t="shared" si="63"/>
        <v>0.04727353564</v>
      </c>
      <c r="T159" s="621">
        <f t="shared" si="63"/>
        <v>0.04727353564</v>
      </c>
      <c r="U159" s="621">
        <f t="shared" si="63"/>
        <v>0.04727353564</v>
      </c>
      <c r="V159" s="621">
        <f t="shared" si="63"/>
        <v>0.04727353564</v>
      </c>
      <c r="W159" s="621">
        <f t="shared" si="63"/>
        <v>0.04727353564</v>
      </c>
      <c r="X159" s="621">
        <f t="shared" si="63"/>
        <v>0.04727353564</v>
      </c>
      <c r="Y159" s="621">
        <f t="shared" si="63"/>
        <v>0.04727353564</v>
      </c>
      <c r="Z159" s="621">
        <f t="shared" si="63"/>
        <v>0.04727353564</v>
      </c>
      <c r="AA159" s="621">
        <f t="shared" si="63"/>
        <v>0.04727353564</v>
      </c>
      <c r="AB159" s="621">
        <f t="shared" si="63"/>
        <v>0.04727353564</v>
      </c>
      <c r="AC159" s="621">
        <f t="shared" si="63"/>
        <v>0.04727353564</v>
      </c>
      <c r="AD159" s="621">
        <f t="shared" si="63"/>
        <v>0.04727353564</v>
      </c>
      <c r="AE159" s="621">
        <f t="shared" si="63"/>
        <v>0.04727353564</v>
      </c>
      <c r="AF159" s="621">
        <f t="shared" si="63"/>
        <v>0.04727353564</v>
      </c>
      <c r="AG159" s="621">
        <f t="shared" si="63"/>
        <v>0.04727353564</v>
      </c>
      <c r="AH159" s="621">
        <f t="shared" si="63"/>
        <v>0.04727353564</v>
      </c>
      <c r="AI159" s="621">
        <f t="shared" si="63"/>
        <v>0.04727353564</v>
      </c>
      <c r="AJ159" s="621">
        <f t="shared" si="63"/>
        <v>0.04727353564</v>
      </c>
      <c r="AK159" s="621">
        <f t="shared" si="63"/>
        <v>0.04727353564</v>
      </c>
      <c r="AL159" s="621">
        <f t="shared" si="63"/>
        <v>0.04727353564</v>
      </c>
    </row>
    <row r="160">
      <c r="A160" s="162" t="s">
        <v>736</v>
      </c>
      <c r="B160" s="622">
        <f t="shared" ref="B160:AL160" si="64">B157*B159</f>
        <v>0.3309147494</v>
      </c>
      <c r="C160" s="622">
        <f t="shared" si="64"/>
        <v>0.3309147494</v>
      </c>
      <c r="D160" s="622">
        <f t="shared" si="64"/>
        <v>0.3309147494</v>
      </c>
      <c r="E160" s="622">
        <f t="shared" si="64"/>
        <v>0.3309147494</v>
      </c>
      <c r="F160" s="622">
        <f t="shared" si="64"/>
        <v>0.3309147494</v>
      </c>
      <c r="G160" s="622">
        <f t="shared" si="64"/>
        <v>0.3309147494</v>
      </c>
      <c r="H160" s="622">
        <f t="shared" si="64"/>
        <v>0.3309147494</v>
      </c>
      <c r="I160" s="622">
        <f t="shared" si="64"/>
        <v>0.3309147494</v>
      </c>
      <c r="J160" s="622">
        <f t="shared" si="64"/>
        <v>0.3309147494</v>
      </c>
      <c r="K160" s="622">
        <f t="shared" si="64"/>
        <v>0.3309147494</v>
      </c>
      <c r="L160" s="622">
        <f t="shared" si="64"/>
        <v>0.3309147494</v>
      </c>
      <c r="M160" s="622">
        <f t="shared" si="64"/>
        <v>0.3309147494</v>
      </c>
      <c r="N160" s="622">
        <f t="shared" si="64"/>
        <v>0.3309147494</v>
      </c>
      <c r="O160" s="622">
        <f t="shared" si="64"/>
        <v>0.3309147494</v>
      </c>
      <c r="P160" s="622">
        <f t="shared" si="64"/>
        <v>0.3309147494</v>
      </c>
      <c r="Q160" s="622">
        <f t="shared" si="64"/>
        <v>0.3309147494</v>
      </c>
      <c r="R160" s="622">
        <f t="shared" si="64"/>
        <v>0.3309147494</v>
      </c>
      <c r="S160" s="622">
        <f t="shared" si="64"/>
        <v>0.3309147494</v>
      </c>
      <c r="T160" s="622">
        <f t="shared" si="64"/>
        <v>0.3309147494</v>
      </c>
      <c r="U160" s="622">
        <f t="shared" si="64"/>
        <v>0.3309147494</v>
      </c>
      <c r="V160" s="622">
        <f t="shared" si="64"/>
        <v>0.3309147494</v>
      </c>
      <c r="W160" s="622">
        <f t="shared" si="64"/>
        <v>0.3309147494</v>
      </c>
      <c r="X160" s="622">
        <f t="shared" si="64"/>
        <v>0.3309147494</v>
      </c>
      <c r="Y160" s="622">
        <f t="shared" si="64"/>
        <v>0.3309147494</v>
      </c>
      <c r="Z160" s="622">
        <f t="shared" si="64"/>
        <v>0.3309147494</v>
      </c>
      <c r="AA160" s="622">
        <f t="shared" si="64"/>
        <v>0.3309147494</v>
      </c>
      <c r="AB160" s="622">
        <f t="shared" si="64"/>
        <v>0.3309147494</v>
      </c>
      <c r="AC160" s="622">
        <f t="shared" si="64"/>
        <v>0.3309147494</v>
      </c>
      <c r="AD160" s="622">
        <f t="shared" si="64"/>
        <v>0.3309147494</v>
      </c>
      <c r="AE160" s="622">
        <f t="shared" si="64"/>
        <v>0.3309147494</v>
      </c>
      <c r="AF160" s="622">
        <f t="shared" si="64"/>
        <v>0.3309147494</v>
      </c>
      <c r="AG160" s="622">
        <f t="shared" si="64"/>
        <v>0.3309147494</v>
      </c>
      <c r="AH160" s="622">
        <f t="shared" si="64"/>
        <v>0.3309147494</v>
      </c>
      <c r="AI160" s="622">
        <f t="shared" si="64"/>
        <v>0.3309147494</v>
      </c>
      <c r="AJ160" s="622">
        <f t="shared" si="64"/>
        <v>0.3309147494</v>
      </c>
      <c r="AK160" s="622">
        <f t="shared" si="64"/>
        <v>0.3309147494</v>
      </c>
      <c r="AL160" s="622">
        <f t="shared" si="64"/>
        <v>0.3309147494</v>
      </c>
    </row>
    <row r="161">
      <c r="A161" s="91" t="s">
        <v>737</v>
      </c>
      <c r="B161" s="576">
        <f t="shared" ref="B161:AL161" si="65">B22*B160</f>
        <v>87.0580098</v>
      </c>
      <c r="C161" s="576">
        <f t="shared" si="65"/>
        <v>199.7817301</v>
      </c>
      <c r="D161" s="576">
        <f t="shared" si="65"/>
        <v>114.6744885</v>
      </c>
      <c r="E161" s="576">
        <f t="shared" si="65"/>
        <v>140.075777</v>
      </c>
      <c r="F161" s="576">
        <f t="shared" si="65"/>
        <v>465.1950743</v>
      </c>
      <c r="G161" s="576">
        <f t="shared" si="65"/>
        <v>163.9416627</v>
      </c>
      <c r="H161" s="576">
        <f t="shared" si="65"/>
        <v>164.683039</v>
      </c>
      <c r="I161" s="576">
        <f t="shared" si="65"/>
        <v>421.0119249</v>
      </c>
      <c r="J161" s="576">
        <f t="shared" si="65"/>
        <v>59.14893123</v>
      </c>
      <c r="K161" s="576">
        <f t="shared" si="65"/>
        <v>151.0733685</v>
      </c>
      <c r="L161" s="576">
        <f t="shared" si="65"/>
        <v>10.5843418</v>
      </c>
      <c r="M161" s="576">
        <f t="shared" si="65"/>
        <v>74.79339785</v>
      </c>
      <c r="N161" s="576">
        <f t="shared" si="65"/>
        <v>39.63228656</v>
      </c>
      <c r="O161" s="576">
        <f t="shared" si="65"/>
        <v>25.22537879</v>
      </c>
      <c r="P161" s="576">
        <f t="shared" si="65"/>
        <v>55.45370852</v>
      </c>
      <c r="Q161" s="576">
        <f t="shared" si="65"/>
        <v>316.7364285</v>
      </c>
      <c r="R161" s="576">
        <f t="shared" si="65"/>
        <v>50.48792387</v>
      </c>
      <c r="S161" s="576">
        <f t="shared" si="65"/>
        <v>373.7607892</v>
      </c>
      <c r="T161" s="576">
        <f t="shared" si="65"/>
        <v>291.8358669</v>
      </c>
      <c r="U161" s="576">
        <f t="shared" si="65"/>
        <v>410.4525313</v>
      </c>
      <c r="V161" s="576">
        <f t="shared" si="65"/>
        <v>479.2781623</v>
      </c>
      <c r="W161" s="576">
        <f t="shared" si="65"/>
        <v>507.0018195</v>
      </c>
      <c r="X161" s="576">
        <f t="shared" si="65"/>
        <v>139.4118563</v>
      </c>
      <c r="Y161" s="576">
        <f t="shared" si="65"/>
        <v>264.7061217</v>
      </c>
      <c r="Z161" s="576">
        <f t="shared" si="65"/>
        <v>59.55328673</v>
      </c>
      <c r="AA161" s="576">
        <f t="shared" si="65"/>
        <v>227.8696009</v>
      </c>
      <c r="AB161" s="576">
        <f t="shared" si="65"/>
        <v>352.4086285</v>
      </c>
      <c r="AC161" s="576">
        <f t="shared" si="65"/>
        <v>291.0849391</v>
      </c>
      <c r="AD161" s="576">
        <f t="shared" si="65"/>
        <v>213.7747191</v>
      </c>
      <c r="AE161" s="576">
        <f t="shared" si="65"/>
        <v>80.62348553</v>
      </c>
      <c r="AF161" s="576">
        <f t="shared" si="65"/>
        <v>216.7633871</v>
      </c>
      <c r="AG161" s="576">
        <f t="shared" si="65"/>
        <v>155.8597793</v>
      </c>
      <c r="AH161" s="576">
        <f t="shared" si="65"/>
        <v>79.51345471</v>
      </c>
      <c r="AI161" s="576">
        <f t="shared" si="65"/>
        <v>869.0770837</v>
      </c>
      <c r="AJ161" s="576">
        <f t="shared" si="65"/>
        <v>238.8277794</v>
      </c>
      <c r="AK161" s="576">
        <f t="shared" si="65"/>
        <v>196.5170117</v>
      </c>
      <c r="AL161" s="576">
        <f t="shared" si="65"/>
        <v>500.5206956</v>
      </c>
    </row>
    <row r="162">
      <c r="A162" s="91"/>
      <c r="B162" s="623"/>
      <c r="C162" s="623"/>
      <c r="D162" s="623"/>
      <c r="E162" s="623"/>
      <c r="F162" s="623"/>
      <c r="G162" s="89"/>
      <c r="H162" s="89"/>
      <c r="I162" s="89"/>
      <c r="J162" s="89"/>
      <c r="K162" s="89"/>
      <c r="L162" s="89"/>
      <c r="M162" s="89"/>
      <c r="N162" s="89"/>
      <c r="O162" s="89"/>
      <c r="P162" s="89"/>
      <c r="Q162" s="623"/>
      <c r="R162" s="623"/>
      <c r="S162" s="623"/>
      <c r="T162" s="89"/>
      <c r="U162" s="623"/>
      <c r="V162" s="623"/>
      <c r="W162" s="89"/>
      <c r="X162" s="89"/>
      <c r="Y162" s="623"/>
      <c r="Z162" s="623"/>
      <c r="AA162" s="89"/>
      <c r="AB162" s="89"/>
      <c r="AC162" s="89"/>
      <c r="AD162" s="89"/>
      <c r="AE162" s="89"/>
      <c r="AF162" s="89"/>
      <c r="AG162" s="89"/>
      <c r="AH162" s="89"/>
      <c r="AI162" s="623"/>
      <c r="AJ162" s="623"/>
      <c r="AK162" s="623"/>
      <c r="AL162" s="623"/>
    </row>
    <row r="163">
      <c r="A163" s="160" t="s">
        <v>738</v>
      </c>
      <c r="B163" s="472"/>
      <c r="C163" s="472"/>
      <c r="D163" s="472"/>
      <c r="E163" s="472"/>
      <c r="F163" s="472"/>
      <c r="G163" s="161"/>
      <c r="H163" s="161"/>
      <c r="I163" s="161"/>
      <c r="J163" s="161"/>
      <c r="K163" s="161"/>
      <c r="L163" s="161"/>
      <c r="M163" s="161"/>
      <c r="N163" s="161"/>
      <c r="O163" s="161"/>
      <c r="P163" s="161"/>
      <c r="Q163" s="472"/>
      <c r="R163" s="472"/>
      <c r="S163" s="472"/>
      <c r="T163" s="161"/>
      <c r="U163" s="472"/>
      <c r="V163" s="472"/>
      <c r="W163" s="161"/>
      <c r="X163" s="161"/>
      <c r="Y163" s="472"/>
      <c r="Z163" s="472"/>
      <c r="AA163" s="161"/>
      <c r="AB163" s="161"/>
      <c r="AC163" s="161"/>
      <c r="AD163" s="161"/>
      <c r="AE163" s="161"/>
      <c r="AF163" s="161"/>
      <c r="AG163" s="161"/>
      <c r="AH163" s="161"/>
      <c r="AI163" s="472"/>
      <c r="AJ163" s="472"/>
      <c r="AK163" s="472"/>
      <c r="AL163" s="472"/>
    </row>
    <row r="164">
      <c r="A164" s="91" t="s">
        <v>739</v>
      </c>
      <c r="B164" s="576">
        <f t="shared" ref="B164:AL164" si="66">1/0.00276</f>
        <v>362.3188406</v>
      </c>
      <c r="C164" s="576">
        <f t="shared" si="66"/>
        <v>362.3188406</v>
      </c>
      <c r="D164" s="576">
        <f t="shared" si="66"/>
        <v>362.3188406</v>
      </c>
      <c r="E164" s="576">
        <f t="shared" si="66"/>
        <v>362.3188406</v>
      </c>
      <c r="F164" s="576">
        <f t="shared" si="66"/>
        <v>362.3188406</v>
      </c>
      <c r="G164" s="576">
        <f t="shared" si="66"/>
        <v>362.3188406</v>
      </c>
      <c r="H164" s="576">
        <f t="shared" si="66"/>
        <v>362.3188406</v>
      </c>
      <c r="I164" s="576">
        <f t="shared" si="66"/>
        <v>362.3188406</v>
      </c>
      <c r="J164" s="576">
        <f t="shared" si="66"/>
        <v>362.3188406</v>
      </c>
      <c r="K164" s="576">
        <f t="shared" si="66"/>
        <v>362.3188406</v>
      </c>
      <c r="L164" s="576">
        <f t="shared" si="66"/>
        <v>362.3188406</v>
      </c>
      <c r="M164" s="576">
        <f t="shared" si="66"/>
        <v>362.3188406</v>
      </c>
      <c r="N164" s="576">
        <f t="shared" si="66"/>
        <v>362.3188406</v>
      </c>
      <c r="O164" s="576">
        <f t="shared" si="66"/>
        <v>362.3188406</v>
      </c>
      <c r="P164" s="576">
        <f t="shared" si="66"/>
        <v>362.3188406</v>
      </c>
      <c r="Q164" s="576">
        <f t="shared" si="66"/>
        <v>362.3188406</v>
      </c>
      <c r="R164" s="576">
        <f t="shared" si="66"/>
        <v>362.3188406</v>
      </c>
      <c r="S164" s="576">
        <f t="shared" si="66"/>
        <v>362.3188406</v>
      </c>
      <c r="T164" s="576">
        <f t="shared" si="66"/>
        <v>362.3188406</v>
      </c>
      <c r="U164" s="576">
        <f t="shared" si="66"/>
        <v>362.3188406</v>
      </c>
      <c r="V164" s="576">
        <f t="shared" si="66"/>
        <v>362.3188406</v>
      </c>
      <c r="W164" s="576">
        <f t="shared" si="66"/>
        <v>362.3188406</v>
      </c>
      <c r="X164" s="576">
        <f t="shared" si="66"/>
        <v>362.3188406</v>
      </c>
      <c r="Y164" s="576">
        <f t="shared" si="66"/>
        <v>362.3188406</v>
      </c>
      <c r="Z164" s="576">
        <f t="shared" si="66"/>
        <v>362.3188406</v>
      </c>
      <c r="AA164" s="576">
        <f t="shared" si="66"/>
        <v>362.3188406</v>
      </c>
      <c r="AB164" s="576">
        <f t="shared" si="66"/>
        <v>362.3188406</v>
      </c>
      <c r="AC164" s="576">
        <f t="shared" si="66"/>
        <v>362.3188406</v>
      </c>
      <c r="AD164" s="576">
        <f t="shared" si="66"/>
        <v>362.3188406</v>
      </c>
      <c r="AE164" s="576">
        <f t="shared" si="66"/>
        <v>362.3188406</v>
      </c>
      <c r="AF164" s="576">
        <f t="shared" si="66"/>
        <v>362.3188406</v>
      </c>
      <c r="AG164" s="576">
        <f t="shared" si="66"/>
        <v>362.3188406</v>
      </c>
      <c r="AH164" s="576">
        <f t="shared" si="66"/>
        <v>362.3188406</v>
      </c>
      <c r="AI164" s="576">
        <f t="shared" si="66"/>
        <v>362.3188406</v>
      </c>
      <c r="AJ164" s="576">
        <f t="shared" si="66"/>
        <v>362.3188406</v>
      </c>
      <c r="AK164" s="576">
        <f t="shared" si="66"/>
        <v>362.3188406</v>
      </c>
      <c r="AL164" s="576">
        <f t="shared" si="66"/>
        <v>362.3188406</v>
      </c>
    </row>
    <row r="165">
      <c r="A165" s="91" t="s">
        <v>740</v>
      </c>
      <c r="B165" s="624">
        <f>GiveDirectly!$B19</f>
        <v>285.9222881</v>
      </c>
      <c r="C165" s="624">
        <f>GiveDirectly!$B19</f>
        <v>285.9222881</v>
      </c>
      <c r="D165" s="624">
        <f>GiveDirectly!$B19</f>
        <v>285.9222881</v>
      </c>
      <c r="E165" s="624">
        <f>GiveDirectly!$B19</f>
        <v>285.9222881</v>
      </c>
      <c r="F165" s="624">
        <f>GiveDirectly!$B19</f>
        <v>285.9222881</v>
      </c>
      <c r="G165" s="624">
        <f>GiveDirectly!$B19</f>
        <v>285.9222881</v>
      </c>
      <c r="H165" s="624">
        <f>GiveDirectly!$B19</f>
        <v>285.9222881</v>
      </c>
      <c r="I165" s="624">
        <f>GiveDirectly!$B19</f>
        <v>285.9222881</v>
      </c>
      <c r="J165" s="624">
        <f>GiveDirectly!$B19</f>
        <v>285.9222881</v>
      </c>
      <c r="K165" s="624">
        <f>GiveDirectly!$B19</f>
        <v>285.9222881</v>
      </c>
      <c r="L165" s="624">
        <f>GiveDirectly!$B19</f>
        <v>285.9222881</v>
      </c>
      <c r="M165" s="624">
        <f>GiveDirectly!$B19</f>
        <v>285.9222881</v>
      </c>
      <c r="N165" s="624">
        <f>GiveDirectly!$B19</f>
        <v>285.9222881</v>
      </c>
      <c r="O165" s="624">
        <f>GiveDirectly!$B19</f>
        <v>285.9222881</v>
      </c>
      <c r="P165" s="624">
        <f>GiveDirectly!$B19</f>
        <v>285.9222881</v>
      </c>
      <c r="Q165" s="624">
        <f>GiveDirectly!$B19</f>
        <v>285.9222881</v>
      </c>
      <c r="R165" s="624">
        <f>GiveDirectly!$B19</f>
        <v>285.9222881</v>
      </c>
      <c r="S165" s="624">
        <f>GiveDirectly!$B19</f>
        <v>285.9222881</v>
      </c>
      <c r="T165" s="624">
        <f>GiveDirectly!$B19</f>
        <v>285.9222881</v>
      </c>
      <c r="U165" s="624">
        <f>GiveDirectly!$B19</f>
        <v>285.9222881</v>
      </c>
      <c r="V165" s="624">
        <f>GiveDirectly!$B19</f>
        <v>285.9222881</v>
      </c>
      <c r="W165" s="624">
        <f>GiveDirectly!$B19</f>
        <v>285.9222881</v>
      </c>
      <c r="X165" s="624">
        <f>GiveDirectly!$B19</f>
        <v>285.9222881</v>
      </c>
      <c r="Y165" s="624">
        <f>GiveDirectly!$B19</f>
        <v>285.9222881</v>
      </c>
      <c r="Z165" s="624">
        <f>GiveDirectly!$B19</f>
        <v>285.9222881</v>
      </c>
      <c r="AA165" s="624">
        <f>GiveDirectly!$B19</f>
        <v>285.9222881</v>
      </c>
      <c r="AB165" s="624">
        <f>GiveDirectly!$B19</f>
        <v>285.9222881</v>
      </c>
      <c r="AC165" s="624">
        <f>GiveDirectly!$B19</f>
        <v>285.9222881</v>
      </c>
      <c r="AD165" s="624">
        <f>GiveDirectly!$B19</f>
        <v>285.9222881</v>
      </c>
      <c r="AE165" s="624">
        <f>GiveDirectly!$B19</f>
        <v>285.9222881</v>
      </c>
      <c r="AF165" s="624">
        <f>GiveDirectly!$B19</f>
        <v>285.9222881</v>
      </c>
      <c r="AG165" s="624">
        <f>GiveDirectly!$B19</f>
        <v>285.9222881</v>
      </c>
      <c r="AH165" s="624">
        <f>GiveDirectly!$B19</f>
        <v>285.9222881</v>
      </c>
      <c r="AI165" s="624">
        <f>GiveDirectly!$B19</f>
        <v>285.9222881</v>
      </c>
      <c r="AJ165" s="624">
        <f>GiveDirectly!$B19</f>
        <v>285.9222881</v>
      </c>
      <c r="AK165" s="624">
        <f>GiveDirectly!$B19</f>
        <v>285.9222881</v>
      </c>
      <c r="AL165" s="624">
        <f>GiveDirectly!$B19</f>
        <v>285.9222881</v>
      </c>
    </row>
    <row r="166">
      <c r="A166" s="91" t="s">
        <v>741</v>
      </c>
      <c r="B166" s="625">
        <v>200.0</v>
      </c>
      <c r="C166" s="625">
        <v>200.0</v>
      </c>
      <c r="D166" s="625">
        <v>200.0</v>
      </c>
      <c r="E166" s="625">
        <v>200.0</v>
      </c>
      <c r="F166" s="625">
        <v>200.0</v>
      </c>
      <c r="G166" s="625">
        <v>200.0</v>
      </c>
      <c r="H166" s="625">
        <v>200.0</v>
      </c>
      <c r="I166" s="625">
        <v>200.0</v>
      </c>
      <c r="J166" s="625">
        <v>200.0</v>
      </c>
      <c r="K166" s="625">
        <v>200.0</v>
      </c>
      <c r="L166" s="625">
        <v>200.0</v>
      </c>
      <c r="M166" s="625">
        <v>200.0</v>
      </c>
      <c r="N166" s="625">
        <v>200.0</v>
      </c>
      <c r="O166" s="625">
        <v>200.0</v>
      </c>
      <c r="P166" s="625">
        <v>200.0</v>
      </c>
      <c r="Q166" s="625">
        <v>200.0</v>
      </c>
      <c r="R166" s="625">
        <v>200.0</v>
      </c>
      <c r="S166" s="625">
        <v>200.0</v>
      </c>
      <c r="T166" s="625">
        <v>200.0</v>
      </c>
      <c r="U166" s="625">
        <v>200.0</v>
      </c>
      <c r="V166" s="625">
        <v>200.0</v>
      </c>
      <c r="W166" s="625">
        <v>200.0</v>
      </c>
      <c r="X166" s="625">
        <v>200.0</v>
      </c>
      <c r="Y166" s="625">
        <v>200.0</v>
      </c>
      <c r="Z166" s="625">
        <v>200.0</v>
      </c>
      <c r="AA166" s="625">
        <v>200.0</v>
      </c>
      <c r="AB166" s="625">
        <v>200.0</v>
      </c>
      <c r="AC166" s="625">
        <v>200.0</v>
      </c>
      <c r="AD166" s="625">
        <v>200.0</v>
      </c>
      <c r="AE166" s="625">
        <v>200.0</v>
      </c>
      <c r="AF166" s="625">
        <v>200.0</v>
      </c>
      <c r="AG166" s="625">
        <v>200.0</v>
      </c>
      <c r="AH166" s="625">
        <v>200.0</v>
      </c>
      <c r="AI166" s="625">
        <v>200.0</v>
      </c>
      <c r="AJ166" s="625">
        <v>200.0</v>
      </c>
      <c r="AK166" s="625">
        <v>200.0</v>
      </c>
      <c r="AL166" s="625">
        <v>200.0</v>
      </c>
    </row>
    <row r="167">
      <c r="A167" s="91" t="s">
        <v>742</v>
      </c>
      <c r="B167" s="394">
        <f t="shared" ref="B167:AL167" si="67">B166/B164</f>
        <v>0.552</v>
      </c>
      <c r="C167" s="394">
        <f t="shared" si="67"/>
        <v>0.552</v>
      </c>
      <c r="D167" s="394">
        <f t="shared" si="67"/>
        <v>0.552</v>
      </c>
      <c r="E167" s="394">
        <f t="shared" si="67"/>
        <v>0.552</v>
      </c>
      <c r="F167" s="394">
        <f t="shared" si="67"/>
        <v>0.552</v>
      </c>
      <c r="G167" s="394">
        <f t="shared" si="67"/>
        <v>0.552</v>
      </c>
      <c r="H167" s="394">
        <f t="shared" si="67"/>
        <v>0.552</v>
      </c>
      <c r="I167" s="394">
        <f t="shared" si="67"/>
        <v>0.552</v>
      </c>
      <c r="J167" s="394">
        <f t="shared" si="67"/>
        <v>0.552</v>
      </c>
      <c r="K167" s="394">
        <f t="shared" si="67"/>
        <v>0.552</v>
      </c>
      <c r="L167" s="394">
        <f t="shared" si="67"/>
        <v>0.552</v>
      </c>
      <c r="M167" s="394">
        <f t="shared" si="67"/>
        <v>0.552</v>
      </c>
      <c r="N167" s="394">
        <f t="shared" si="67"/>
        <v>0.552</v>
      </c>
      <c r="O167" s="394">
        <f t="shared" si="67"/>
        <v>0.552</v>
      </c>
      <c r="P167" s="394">
        <f t="shared" si="67"/>
        <v>0.552</v>
      </c>
      <c r="Q167" s="394">
        <f t="shared" si="67"/>
        <v>0.552</v>
      </c>
      <c r="R167" s="394">
        <f t="shared" si="67"/>
        <v>0.552</v>
      </c>
      <c r="S167" s="394">
        <f t="shared" si="67"/>
        <v>0.552</v>
      </c>
      <c r="T167" s="394">
        <f t="shared" si="67"/>
        <v>0.552</v>
      </c>
      <c r="U167" s="394">
        <f t="shared" si="67"/>
        <v>0.552</v>
      </c>
      <c r="V167" s="394">
        <f t="shared" si="67"/>
        <v>0.552</v>
      </c>
      <c r="W167" s="394">
        <f t="shared" si="67"/>
        <v>0.552</v>
      </c>
      <c r="X167" s="394">
        <f t="shared" si="67"/>
        <v>0.552</v>
      </c>
      <c r="Y167" s="394">
        <f t="shared" si="67"/>
        <v>0.552</v>
      </c>
      <c r="Z167" s="394">
        <f t="shared" si="67"/>
        <v>0.552</v>
      </c>
      <c r="AA167" s="394">
        <f t="shared" si="67"/>
        <v>0.552</v>
      </c>
      <c r="AB167" s="394">
        <f t="shared" si="67"/>
        <v>0.552</v>
      </c>
      <c r="AC167" s="394">
        <f t="shared" si="67"/>
        <v>0.552</v>
      </c>
      <c r="AD167" s="394">
        <f t="shared" si="67"/>
        <v>0.552</v>
      </c>
      <c r="AE167" s="394">
        <f t="shared" si="67"/>
        <v>0.552</v>
      </c>
      <c r="AF167" s="394">
        <f t="shared" si="67"/>
        <v>0.552</v>
      </c>
      <c r="AG167" s="394">
        <f t="shared" si="67"/>
        <v>0.552</v>
      </c>
      <c r="AH167" s="394">
        <f t="shared" si="67"/>
        <v>0.552</v>
      </c>
      <c r="AI167" s="394">
        <f t="shared" si="67"/>
        <v>0.552</v>
      </c>
      <c r="AJ167" s="394">
        <f t="shared" si="67"/>
        <v>0.552</v>
      </c>
      <c r="AK167" s="394">
        <f t="shared" si="67"/>
        <v>0.552</v>
      </c>
      <c r="AL167" s="394">
        <f t="shared" si="67"/>
        <v>0.552</v>
      </c>
    </row>
    <row r="168">
      <c r="A168" s="91" t="s">
        <v>743</v>
      </c>
      <c r="B168" s="165">
        <v>500.0</v>
      </c>
      <c r="C168" s="165">
        <v>500.0</v>
      </c>
      <c r="D168" s="165">
        <v>500.0</v>
      </c>
      <c r="E168" s="165">
        <v>500.0</v>
      </c>
      <c r="F168" s="165">
        <v>500.0</v>
      </c>
      <c r="G168" s="165">
        <v>500.0</v>
      </c>
      <c r="H168" s="165">
        <v>500.0</v>
      </c>
      <c r="I168" s="165">
        <v>500.0</v>
      </c>
      <c r="J168" s="165">
        <v>500.0</v>
      </c>
      <c r="K168" s="165">
        <v>500.0</v>
      </c>
      <c r="L168" s="165">
        <v>500.0</v>
      </c>
      <c r="M168" s="165">
        <v>500.0</v>
      </c>
      <c r="N168" s="165">
        <v>500.0</v>
      </c>
      <c r="O168" s="165">
        <v>500.0</v>
      </c>
      <c r="P168" s="165">
        <v>500.0</v>
      </c>
      <c r="Q168" s="165">
        <v>500.0</v>
      </c>
      <c r="R168" s="165">
        <v>500.0</v>
      </c>
      <c r="S168" s="165">
        <v>500.0</v>
      </c>
      <c r="T168" s="165">
        <v>500.0</v>
      </c>
      <c r="U168" s="165">
        <v>500.0</v>
      </c>
      <c r="V168" s="165">
        <v>500.0</v>
      </c>
      <c r="W168" s="165">
        <v>500.0</v>
      </c>
      <c r="X168" s="165">
        <v>500.0</v>
      </c>
      <c r="Y168" s="165">
        <v>500.0</v>
      </c>
      <c r="Z168" s="165">
        <v>500.0</v>
      </c>
      <c r="AA168" s="165">
        <v>500.0</v>
      </c>
      <c r="AB168" s="165">
        <v>500.0</v>
      </c>
      <c r="AC168" s="165">
        <v>500.0</v>
      </c>
      <c r="AD168" s="165">
        <v>500.0</v>
      </c>
      <c r="AE168" s="165">
        <v>500.0</v>
      </c>
      <c r="AF168" s="165">
        <v>500.0</v>
      </c>
      <c r="AG168" s="165">
        <v>500.0</v>
      </c>
      <c r="AH168" s="165">
        <v>500.0</v>
      </c>
      <c r="AI168" s="165">
        <v>500.0</v>
      </c>
      <c r="AJ168" s="165">
        <v>500.0</v>
      </c>
      <c r="AK168" s="165">
        <v>500.0</v>
      </c>
      <c r="AL168" s="165">
        <v>500.0</v>
      </c>
    </row>
    <row r="169">
      <c r="A169" s="91" t="s">
        <v>744</v>
      </c>
      <c r="B169" s="165">
        <v>2000.0</v>
      </c>
      <c r="C169" s="165">
        <v>2000.0</v>
      </c>
      <c r="D169" s="165">
        <v>2000.0</v>
      </c>
      <c r="E169" s="165">
        <v>2000.0</v>
      </c>
      <c r="F169" s="165">
        <v>2000.0</v>
      </c>
      <c r="G169" s="165">
        <v>2000.0</v>
      </c>
      <c r="H169" s="165">
        <v>2000.0</v>
      </c>
      <c r="I169" s="165">
        <v>2000.0</v>
      </c>
      <c r="J169" s="165">
        <v>2000.0</v>
      </c>
      <c r="K169" s="165">
        <v>2000.0</v>
      </c>
      <c r="L169" s="165">
        <v>2000.0</v>
      </c>
      <c r="M169" s="165">
        <v>2000.0</v>
      </c>
      <c r="N169" s="165">
        <v>2000.0</v>
      </c>
      <c r="O169" s="165">
        <v>2000.0</v>
      </c>
      <c r="P169" s="165">
        <v>2000.0</v>
      </c>
      <c r="Q169" s="165">
        <v>2000.0</v>
      </c>
      <c r="R169" s="165">
        <v>2000.0</v>
      </c>
      <c r="S169" s="165">
        <v>2000.0</v>
      </c>
      <c r="T169" s="165">
        <v>2000.0</v>
      </c>
      <c r="U169" s="165">
        <v>2000.0</v>
      </c>
      <c r="V169" s="165">
        <v>2000.0</v>
      </c>
      <c r="W169" s="165">
        <v>2000.0</v>
      </c>
      <c r="X169" s="165">
        <v>2000.0</v>
      </c>
      <c r="Y169" s="165">
        <v>2000.0</v>
      </c>
      <c r="Z169" s="165">
        <v>2000.0</v>
      </c>
      <c r="AA169" s="165">
        <v>2000.0</v>
      </c>
      <c r="AB169" s="165">
        <v>2000.0</v>
      </c>
      <c r="AC169" s="165">
        <v>2000.0</v>
      </c>
      <c r="AD169" s="165">
        <v>2000.0</v>
      </c>
      <c r="AE169" s="165">
        <v>2000.0</v>
      </c>
      <c r="AF169" s="165">
        <v>2000.0</v>
      </c>
      <c r="AG169" s="165">
        <v>2000.0</v>
      </c>
      <c r="AH169" s="165">
        <v>2000.0</v>
      </c>
      <c r="AI169" s="165">
        <v>2000.0</v>
      </c>
      <c r="AJ169" s="165">
        <v>2000.0</v>
      </c>
      <c r="AK169" s="165">
        <v>2000.0</v>
      </c>
      <c r="AL169" s="165">
        <v>2000.0</v>
      </c>
    </row>
    <row r="170">
      <c r="A170" s="91" t="s">
        <v>745</v>
      </c>
      <c r="B170" s="394">
        <f t="shared" ref="B170:AL170" si="68">B168/B164</f>
        <v>1.38</v>
      </c>
      <c r="C170" s="394">
        <f t="shared" si="68"/>
        <v>1.38</v>
      </c>
      <c r="D170" s="394">
        <f t="shared" si="68"/>
        <v>1.38</v>
      </c>
      <c r="E170" s="394">
        <f t="shared" si="68"/>
        <v>1.38</v>
      </c>
      <c r="F170" s="394">
        <f t="shared" si="68"/>
        <v>1.38</v>
      </c>
      <c r="G170" s="394">
        <f t="shared" si="68"/>
        <v>1.38</v>
      </c>
      <c r="H170" s="394">
        <f t="shared" si="68"/>
        <v>1.38</v>
      </c>
      <c r="I170" s="394">
        <f t="shared" si="68"/>
        <v>1.38</v>
      </c>
      <c r="J170" s="394">
        <f t="shared" si="68"/>
        <v>1.38</v>
      </c>
      <c r="K170" s="394">
        <f t="shared" si="68"/>
        <v>1.38</v>
      </c>
      <c r="L170" s="394">
        <f t="shared" si="68"/>
        <v>1.38</v>
      </c>
      <c r="M170" s="394">
        <f t="shared" si="68"/>
        <v>1.38</v>
      </c>
      <c r="N170" s="394">
        <f t="shared" si="68"/>
        <v>1.38</v>
      </c>
      <c r="O170" s="394">
        <f t="shared" si="68"/>
        <v>1.38</v>
      </c>
      <c r="P170" s="394">
        <f t="shared" si="68"/>
        <v>1.38</v>
      </c>
      <c r="Q170" s="394">
        <f t="shared" si="68"/>
        <v>1.38</v>
      </c>
      <c r="R170" s="394">
        <f t="shared" si="68"/>
        <v>1.38</v>
      </c>
      <c r="S170" s="394">
        <f t="shared" si="68"/>
        <v>1.38</v>
      </c>
      <c r="T170" s="394">
        <f t="shared" si="68"/>
        <v>1.38</v>
      </c>
      <c r="U170" s="394">
        <f t="shared" si="68"/>
        <v>1.38</v>
      </c>
      <c r="V170" s="394">
        <f t="shared" si="68"/>
        <v>1.38</v>
      </c>
      <c r="W170" s="394">
        <f t="shared" si="68"/>
        <v>1.38</v>
      </c>
      <c r="X170" s="394">
        <f t="shared" si="68"/>
        <v>1.38</v>
      </c>
      <c r="Y170" s="394">
        <f t="shared" si="68"/>
        <v>1.38</v>
      </c>
      <c r="Z170" s="394">
        <f t="shared" si="68"/>
        <v>1.38</v>
      </c>
      <c r="AA170" s="394">
        <f t="shared" si="68"/>
        <v>1.38</v>
      </c>
      <c r="AB170" s="394">
        <f t="shared" si="68"/>
        <v>1.38</v>
      </c>
      <c r="AC170" s="394">
        <f t="shared" si="68"/>
        <v>1.38</v>
      </c>
      <c r="AD170" s="394">
        <f t="shared" si="68"/>
        <v>1.38</v>
      </c>
      <c r="AE170" s="394">
        <f t="shared" si="68"/>
        <v>1.38</v>
      </c>
      <c r="AF170" s="394">
        <f t="shared" si="68"/>
        <v>1.38</v>
      </c>
      <c r="AG170" s="394">
        <f t="shared" si="68"/>
        <v>1.38</v>
      </c>
      <c r="AH170" s="394">
        <f t="shared" si="68"/>
        <v>1.38</v>
      </c>
      <c r="AI170" s="394">
        <f t="shared" si="68"/>
        <v>1.38</v>
      </c>
      <c r="AJ170" s="394">
        <f t="shared" si="68"/>
        <v>1.38</v>
      </c>
      <c r="AK170" s="394">
        <f t="shared" si="68"/>
        <v>1.38</v>
      </c>
      <c r="AL170" s="394">
        <f t="shared" si="68"/>
        <v>1.38</v>
      </c>
    </row>
    <row r="171">
      <c r="A171" s="91" t="s">
        <v>746</v>
      </c>
      <c r="B171" s="394">
        <f t="shared" ref="B171:AL171" si="69">B169/B164</f>
        <v>5.52</v>
      </c>
      <c r="C171" s="394">
        <f t="shared" si="69"/>
        <v>5.52</v>
      </c>
      <c r="D171" s="394">
        <f t="shared" si="69"/>
        <v>5.52</v>
      </c>
      <c r="E171" s="394">
        <f t="shared" si="69"/>
        <v>5.52</v>
      </c>
      <c r="F171" s="394">
        <f t="shared" si="69"/>
        <v>5.52</v>
      </c>
      <c r="G171" s="394">
        <f t="shared" si="69"/>
        <v>5.52</v>
      </c>
      <c r="H171" s="394">
        <f t="shared" si="69"/>
        <v>5.52</v>
      </c>
      <c r="I171" s="394">
        <f t="shared" si="69"/>
        <v>5.52</v>
      </c>
      <c r="J171" s="394">
        <f t="shared" si="69"/>
        <v>5.52</v>
      </c>
      <c r="K171" s="394">
        <f t="shared" si="69"/>
        <v>5.52</v>
      </c>
      <c r="L171" s="394">
        <f t="shared" si="69"/>
        <v>5.52</v>
      </c>
      <c r="M171" s="394">
        <f t="shared" si="69"/>
        <v>5.52</v>
      </c>
      <c r="N171" s="394">
        <f t="shared" si="69"/>
        <v>5.52</v>
      </c>
      <c r="O171" s="394">
        <f t="shared" si="69"/>
        <v>5.52</v>
      </c>
      <c r="P171" s="394">
        <f t="shared" si="69"/>
        <v>5.52</v>
      </c>
      <c r="Q171" s="394">
        <f t="shared" si="69"/>
        <v>5.52</v>
      </c>
      <c r="R171" s="394">
        <f t="shared" si="69"/>
        <v>5.52</v>
      </c>
      <c r="S171" s="394">
        <f t="shared" si="69"/>
        <v>5.52</v>
      </c>
      <c r="T171" s="394">
        <f t="shared" si="69"/>
        <v>5.52</v>
      </c>
      <c r="U171" s="394">
        <f t="shared" si="69"/>
        <v>5.52</v>
      </c>
      <c r="V171" s="394">
        <f t="shared" si="69"/>
        <v>5.52</v>
      </c>
      <c r="W171" s="394">
        <f t="shared" si="69"/>
        <v>5.52</v>
      </c>
      <c r="X171" s="394">
        <f t="shared" si="69"/>
        <v>5.52</v>
      </c>
      <c r="Y171" s="394">
        <f t="shared" si="69"/>
        <v>5.52</v>
      </c>
      <c r="Z171" s="394">
        <f t="shared" si="69"/>
        <v>5.52</v>
      </c>
      <c r="AA171" s="394">
        <f t="shared" si="69"/>
        <v>5.52</v>
      </c>
      <c r="AB171" s="394">
        <f t="shared" si="69"/>
        <v>5.52</v>
      </c>
      <c r="AC171" s="394">
        <f t="shared" si="69"/>
        <v>5.52</v>
      </c>
      <c r="AD171" s="394">
        <f t="shared" si="69"/>
        <v>5.52</v>
      </c>
      <c r="AE171" s="394">
        <f t="shared" si="69"/>
        <v>5.52</v>
      </c>
      <c r="AF171" s="394">
        <f t="shared" si="69"/>
        <v>5.52</v>
      </c>
      <c r="AG171" s="394">
        <f t="shared" si="69"/>
        <v>5.52</v>
      </c>
      <c r="AH171" s="394">
        <f t="shared" si="69"/>
        <v>5.52</v>
      </c>
      <c r="AI171" s="394">
        <f t="shared" si="69"/>
        <v>5.52</v>
      </c>
      <c r="AJ171" s="394">
        <f t="shared" si="69"/>
        <v>5.52</v>
      </c>
      <c r="AK171" s="394">
        <f t="shared" si="69"/>
        <v>5.52</v>
      </c>
      <c r="AL171" s="394">
        <f t="shared" si="69"/>
        <v>5.52</v>
      </c>
    </row>
    <row r="172">
      <c r="A172" s="91" t="s">
        <v>747</v>
      </c>
      <c r="B172" s="394">
        <f t="shared" ref="B172:AL172" si="70">B170*4+B171</f>
        <v>11.04</v>
      </c>
      <c r="C172" s="394">
        <f t="shared" si="70"/>
        <v>11.04</v>
      </c>
      <c r="D172" s="394">
        <f t="shared" si="70"/>
        <v>11.04</v>
      </c>
      <c r="E172" s="394">
        <f t="shared" si="70"/>
        <v>11.04</v>
      </c>
      <c r="F172" s="394">
        <f t="shared" si="70"/>
        <v>11.04</v>
      </c>
      <c r="G172" s="394">
        <f t="shared" si="70"/>
        <v>11.04</v>
      </c>
      <c r="H172" s="394">
        <f t="shared" si="70"/>
        <v>11.04</v>
      </c>
      <c r="I172" s="394">
        <f t="shared" si="70"/>
        <v>11.04</v>
      </c>
      <c r="J172" s="394">
        <f t="shared" si="70"/>
        <v>11.04</v>
      </c>
      <c r="K172" s="394">
        <f t="shared" si="70"/>
        <v>11.04</v>
      </c>
      <c r="L172" s="394">
        <f t="shared" si="70"/>
        <v>11.04</v>
      </c>
      <c r="M172" s="394">
        <f t="shared" si="70"/>
        <v>11.04</v>
      </c>
      <c r="N172" s="394">
        <f t="shared" si="70"/>
        <v>11.04</v>
      </c>
      <c r="O172" s="394">
        <f t="shared" si="70"/>
        <v>11.04</v>
      </c>
      <c r="P172" s="394">
        <f t="shared" si="70"/>
        <v>11.04</v>
      </c>
      <c r="Q172" s="394">
        <f t="shared" si="70"/>
        <v>11.04</v>
      </c>
      <c r="R172" s="394">
        <f t="shared" si="70"/>
        <v>11.04</v>
      </c>
      <c r="S172" s="394">
        <f t="shared" si="70"/>
        <v>11.04</v>
      </c>
      <c r="T172" s="394">
        <f t="shared" si="70"/>
        <v>11.04</v>
      </c>
      <c r="U172" s="394">
        <f t="shared" si="70"/>
        <v>11.04</v>
      </c>
      <c r="V172" s="394">
        <f t="shared" si="70"/>
        <v>11.04</v>
      </c>
      <c r="W172" s="394">
        <f t="shared" si="70"/>
        <v>11.04</v>
      </c>
      <c r="X172" s="394">
        <f t="shared" si="70"/>
        <v>11.04</v>
      </c>
      <c r="Y172" s="394">
        <f t="shared" si="70"/>
        <v>11.04</v>
      </c>
      <c r="Z172" s="394">
        <f t="shared" si="70"/>
        <v>11.04</v>
      </c>
      <c r="AA172" s="394">
        <f t="shared" si="70"/>
        <v>11.04</v>
      </c>
      <c r="AB172" s="394">
        <f t="shared" si="70"/>
        <v>11.04</v>
      </c>
      <c r="AC172" s="394">
        <f t="shared" si="70"/>
        <v>11.04</v>
      </c>
      <c r="AD172" s="394">
        <f t="shared" si="70"/>
        <v>11.04</v>
      </c>
      <c r="AE172" s="394">
        <f t="shared" si="70"/>
        <v>11.04</v>
      </c>
      <c r="AF172" s="394">
        <f t="shared" si="70"/>
        <v>11.04</v>
      </c>
      <c r="AG172" s="394">
        <f t="shared" si="70"/>
        <v>11.04</v>
      </c>
      <c r="AH172" s="394">
        <f t="shared" si="70"/>
        <v>11.04</v>
      </c>
      <c r="AI172" s="394">
        <f t="shared" si="70"/>
        <v>11.04</v>
      </c>
      <c r="AJ172" s="394">
        <f t="shared" si="70"/>
        <v>11.04</v>
      </c>
      <c r="AK172" s="394">
        <f t="shared" si="70"/>
        <v>11.04</v>
      </c>
      <c r="AL172" s="394">
        <f t="shared" si="70"/>
        <v>11.04</v>
      </c>
    </row>
    <row r="173">
      <c r="A173" s="91" t="s">
        <v>748</v>
      </c>
      <c r="B173" s="394">
        <f t="shared" ref="B173:AL173" si="71">B172-(B167*5)</f>
        <v>8.28</v>
      </c>
      <c r="C173" s="394">
        <f t="shared" si="71"/>
        <v>8.28</v>
      </c>
      <c r="D173" s="394">
        <f t="shared" si="71"/>
        <v>8.28</v>
      </c>
      <c r="E173" s="394">
        <f t="shared" si="71"/>
        <v>8.28</v>
      </c>
      <c r="F173" s="394">
        <f t="shared" si="71"/>
        <v>8.28</v>
      </c>
      <c r="G173" s="394">
        <f t="shared" si="71"/>
        <v>8.28</v>
      </c>
      <c r="H173" s="394">
        <f t="shared" si="71"/>
        <v>8.28</v>
      </c>
      <c r="I173" s="394">
        <f t="shared" si="71"/>
        <v>8.28</v>
      </c>
      <c r="J173" s="394">
        <f t="shared" si="71"/>
        <v>8.28</v>
      </c>
      <c r="K173" s="394">
        <f t="shared" si="71"/>
        <v>8.28</v>
      </c>
      <c r="L173" s="394">
        <f t="shared" si="71"/>
        <v>8.28</v>
      </c>
      <c r="M173" s="394">
        <f t="shared" si="71"/>
        <v>8.28</v>
      </c>
      <c r="N173" s="394">
        <f t="shared" si="71"/>
        <v>8.28</v>
      </c>
      <c r="O173" s="394">
        <f t="shared" si="71"/>
        <v>8.28</v>
      </c>
      <c r="P173" s="394">
        <f t="shared" si="71"/>
        <v>8.28</v>
      </c>
      <c r="Q173" s="394">
        <f t="shared" si="71"/>
        <v>8.28</v>
      </c>
      <c r="R173" s="394">
        <f t="shared" si="71"/>
        <v>8.28</v>
      </c>
      <c r="S173" s="394">
        <f t="shared" si="71"/>
        <v>8.28</v>
      </c>
      <c r="T173" s="394">
        <f t="shared" si="71"/>
        <v>8.28</v>
      </c>
      <c r="U173" s="394">
        <f t="shared" si="71"/>
        <v>8.28</v>
      </c>
      <c r="V173" s="394">
        <f t="shared" si="71"/>
        <v>8.28</v>
      </c>
      <c r="W173" s="394">
        <f t="shared" si="71"/>
        <v>8.28</v>
      </c>
      <c r="X173" s="394">
        <f t="shared" si="71"/>
        <v>8.28</v>
      </c>
      <c r="Y173" s="394">
        <f t="shared" si="71"/>
        <v>8.28</v>
      </c>
      <c r="Z173" s="394">
        <f t="shared" si="71"/>
        <v>8.28</v>
      </c>
      <c r="AA173" s="394">
        <f t="shared" si="71"/>
        <v>8.28</v>
      </c>
      <c r="AB173" s="394">
        <f t="shared" si="71"/>
        <v>8.28</v>
      </c>
      <c r="AC173" s="394">
        <f t="shared" si="71"/>
        <v>8.28</v>
      </c>
      <c r="AD173" s="394">
        <f t="shared" si="71"/>
        <v>8.28</v>
      </c>
      <c r="AE173" s="394">
        <f t="shared" si="71"/>
        <v>8.28</v>
      </c>
      <c r="AF173" s="394">
        <f t="shared" si="71"/>
        <v>8.28</v>
      </c>
      <c r="AG173" s="394">
        <f t="shared" si="71"/>
        <v>8.28</v>
      </c>
      <c r="AH173" s="394">
        <f t="shared" si="71"/>
        <v>8.28</v>
      </c>
      <c r="AI173" s="394">
        <f t="shared" si="71"/>
        <v>8.28</v>
      </c>
      <c r="AJ173" s="394">
        <f t="shared" si="71"/>
        <v>8.28</v>
      </c>
      <c r="AK173" s="394">
        <f t="shared" si="71"/>
        <v>8.28</v>
      </c>
      <c r="AL173" s="394">
        <f t="shared" si="71"/>
        <v>8.28</v>
      </c>
    </row>
    <row r="174">
      <c r="A174" s="91" t="s">
        <v>238</v>
      </c>
      <c r="B174" s="626">
        <f>GiveDirectly!$B8</f>
        <v>4.7</v>
      </c>
      <c r="C174" s="626">
        <f>GiveDirectly!$B8</f>
        <v>4.7</v>
      </c>
      <c r="D174" s="626">
        <f>GiveDirectly!$B8</f>
        <v>4.7</v>
      </c>
      <c r="E174" s="626">
        <f>GiveDirectly!$B8</f>
        <v>4.7</v>
      </c>
      <c r="F174" s="626">
        <f>GiveDirectly!$B8</f>
        <v>4.7</v>
      </c>
      <c r="G174" s="626">
        <f>GiveDirectly!$B8</f>
        <v>4.7</v>
      </c>
      <c r="H174" s="626">
        <f>GiveDirectly!$B8</f>
        <v>4.7</v>
      </c>
      <c r="I174" s="626">
        <f>GiveDirectly!$B8</f>
        <v>4.7</v>
      </c>
      <c r="J174" s="626">
        <f>GiveDirectly!$B8</f>
        <v>4.7</v>
      </c>
      <c r="K174" s="626">
        <f>GiveDirectly!$B8</f>
        <v>4.7</v>
      </c>
      <c r="L174" s="626">
        <f>GiveDirectly!$B8</f>
        <v>4.7</v>
      </c>
      <c r="M174" s="626">
        <f>GiveDirectly!$B8</f>
        <v>4.7</v>
      </c>
      <c r="N174" s="626">
        <f>GiveDirectly!$B8</f>
        <v>4.7</v>
      </c>
      <c r="O174" s="626">
        <f>GiveDirectly!$B8</f>
        <v>4.7</v>
      </c>
      <c r="P174" s="626">
        <f>GiveDirectly!$B8</f>
        <v>4.7</v>
      </c>
      <c r="Q174" s="626">
        <f>GiveDirectly!$B8</f>
        <v>4.7</v>
      </c>
      <c r="R174" s="626">
        <f>GiveDirectly!$B8</f>
        <v>4.7</v>
      </c>
      <c r="S174" s="626">
        <f>GiveDirectly!$B8</f>
        <v>4.7</v>
      </c>
      <c r="T174" s="626">
        <f>GiveDirectly!$B8</f>
        <v>4.7</v>
      </c>
      <c r="U174" s="626">
        <f>GiveDirectly!$B8</f>
        <v>4.7</v>
      </c>
      <c r="V174" s="626">
        <f>GiveDirectly!$B8</f>
        <v>4.7</v>
      </c>
      <c r="W174" s="626">
        <f>GiveDirectly!$B8</f>
        <v>4.7</v>
      </c>
      <c r="X174" s="626">
        <f>GiveDirectly!$B8</f>
        <v>4.7</v>
      </c>
      <c r="Y174" s="626">
        <f>GiveDirectly!$B8</f>
        <v>4.7</v>
      </c>
      <c r="Z174" s="626">
        <f>GiveDirectly!$B8</f>
        <v>4.7</v>
      </c>
      <c r="AA174" s="626">
        <f>GiveDirectly!$B8</f>
        <v>4.7</v>
      </c>
      <c r="AB174" s="626">
        <f>GiveDirectly!$B8</f>
        <v>4.7</v>
      </c>
      <c r="AC174" s="626">
        <f>GiveDirectly!$B8</f>
        <v>4.7</v>
      </c>
      <c r="AD174" s="626">
        <f>GiveDirectly!$B8</f>
        <v>4.7</v>
      </c>
      <c r="AE174" s="626">
        <f>GiveDirectly!$B8</f>
        <v>4.7</v>
      </c>
      <c r="AF174" s="626">
        <f>GiveDirectly!$B8</f>
        <v>4.7</v>
      </c>
      <c r="AG174" s="626">
        <f>GiveDirectly!$B8</f>
        <v>4.7</v>
      </c>
      <c r="AH174" s="626">
        <f>GiveDirectly!$B8</f>
        <v>4.7</v>
      </c>
      <c r="AI174" s="626">
        <f>GiveDirectly!$B8</f>
        <v>4.7</v>
      </c>
      <c r="AJ174" s="626">
        <f>GiveDirectly!$B8</f>
        <v>4.7</v>
      </c>
      <c r="AK174" s="626">
        <f>GiveDirectly!$B8</f>
        <v>4.7</v>
      </c>
      <c r="AL174" s="626">
        <f>GiveDirectly!$B8</f>
        <v>4.7</v>
      </c>
    </row>
    <row r="175">
      <c r="A175" s="91" t="s">
        <v>749</v>
      </c>
      <c r="B175" s="394">
        <f t="shared" ref="B175:AL175" si="72">B173/B174</f>
        <v>1.761702128</v>
      </c>
      <c r="C175" s="394">
        <f t="shared" si="72"/>
        <v>1.761702128</v>
      </c>
      <c r="D175" s="394">
        <f t="shared" si="72"/>
        <v>1.761702128</v>
      </c>
      <c r="E175" s="394">
        <f t="shared" si="72"/>
        <v>1.761702128</v>
      </c>
      <c r="F175" s="394">
        <f t="shared" si="72"/>
        <v>1.761702128</v>
      </c>
      <c r="G175" s="394">
        <f t="shared" si="72"/>
        <v>1.761702128</v>
      </c>
      <c r="H175" s="394">
        <f t="shared" si="72"/>
        <v>1.761702128</v>
      </c>
      <c r="I175" s="394">
        <f t="shared" si="72"/>
        <v>1.761702128</v>
      </c>
      <c r="J175" s="394">
        <f t="shared" si="72"/>
        <v>1.761702128</v>
      </c>
      <c r="K175" s="394">
        <f t="shared" si="72"/>
        <v>1.761702128</v>
      </c>
      <c r="L175" s="394">
        <f t="shared" si="72"/>
        <v>1.761702128</v>
      </c>
      <c r="M175" s="394">
        <f t="shared" si="72"/>
        <v>1.761702128</v>
      </c>
      <c r="N175" s="394">
        <f t="shared" si="72"/>
        <v>1.761702128</v>
      </c>
      <c r="O175" s="394">
        <f t="shared" si="72"/>
        <v>1.761702128</v>
      </c>
      <c r="P175" s="394">
        <f t="shared" si="72"/>
        <v>1.761702128</v>
      </c>
      <c r="Q175" s="394">
        <f t="shared" si="72"/>
        <v>1.761702128</v>
      </c>
      <c r="R175" s="394">
        <f t="shared" si="72"/>
        <v>1.761702128</v>
      </c>
      <c r="S175" s="394">
        <f t="shared" si="72"/>
        <v>1.761702128</v>
      </c>
      <c r="T175" s="394">
        <f t="shared" si="72"/>
        <v>1.761702128</v>
      </c>
      <c r="U175" s="394">
        <f t="shared" si="72"/>
        <v>1.761702128</v>
      </c>
      <c r="V175" s="394">
        <f t="shared" si="72"/>
        <v>1.761702128</v>
      </c>
      <c r="W175" s="394">
        <f t="shared" si="72"/>
        <v>1.761702128</v>
      </c>
      <c r="X175" s="394">
        <f t="shared" si="72"/>
        <v>1.761702128</v>
      </c>
      <c r="Y175" s="394">
        <f t="shared" si="72"/>
        <v>1.761702128</v>
      </c>
      <c r="Z175" s="394">
        <f t="shared" si="72"/>
        <v>1.761702128</v>
      </c>
      <c r="AA175" s="394">
        <f t="shared" si="72"/>
        <v>1.761702128</v>
      </c>
      <c r="AB175" s="394">
        <f t="shared" si="72"/>
        <v>1.761702128</v>
      </c>
      <c r="AC175" s="394">
        <f t="shared" si="72"/>
        <v>1.761702128</v>
      </c>
      <c r="AD175" s="394">
        <f t="shared" si="72"/>
        <v>1.761702128</v>
      </c>
      <c r="AE175" s="394">
        <f t="shared" si="72"/>
        <v>1.761702128</v>
      </c>
      <c r="AF175" s="394">
        <f t="shared" si="72"/>
        <v>1.761702128</v>
      </c>
      <c r="AG175" s="394">
        <f t="shared" si="72"/>
        <v>1.761702128</v>
      </c>
      <c r="AH175" s="394">
        <f t="shared" si="72"/>
        <v>1.761702128</v>
      </c>
      <c r="AI175" s="394">
        <f t="shared" si="72"/>
        <v>1.761702128</v>
      </c>
      <c r="AJ175" s="394">
        <f t="shared" si="72"/>
        <v>1.761702128</v>
      </c>
      <c r="AK175" s="394">
        <f t="shared" si="72"/>
        <v>1.761702128</v>
      </c>
      <c r="AL175" s="394">
        <f t="shared" si="72"/>
        <v>1.761702128</v>
      </c>
    </row>
    <row r="176">
      <c r="A176" s="91" t="s">
        <v>750</v>
      </c>
      <c r="B176" s="612">
        <f t="shared" ref="B176:AL176" si="73">ln(B165+B175)-ln(B165)</f>
        <v>0.006142567588</v>
      </c>
      <c r="C176" s="612">
        <f t="shared" si="73"/>
        <v>0.006142567588</v>
      </c>
      <c r="D176" s="612">
        <f t="shared" si="73"/>
        <v>0.006142567588</v>
      </c>
      <c r="E176" s="612">
        <f t="shared" si="73"/>
        <v>0.006142567588</v>
      </c>
      <c r="F176" s="612">
        <f t="shared" si="73"/>
        <v>0.006142567588</v>
      </c>
      <c r="G176" s="612">
        <f t="shared" si="73"/>
        <v>0.006142567588</v>
      </c>
      <c r="H176" s="612">
        <f t="shared" si="73"/>
        <v>0.006142567588</v>
      </c>
      <c r="I176" s="612">
        <f t="shared" si="73"/>
        <v>0.006142567588</v>
      </c>
      <c r="J176" s="612">
        <f t="shared" si="73"/>
        <v>0.006142567588</v>
      </c>
      <c r="K176" s="612">
        <f t="shared" si="73"/>
        <v>0.006142567588</v>
      </c>
      <c r="L176" s="612">
        <f t="shared" si="73"/>
        <v>0.006142567588</v>
      </c>
      <c r="M176" s="612">
        <f t="shared" si="73"/>
        <v>0.006142567588</v>
      </c>
      <c r="N176" s="612">
        <f t="shared" si="73"/>
        <v>0.006142567588</v>
      </c>
      <c r="O176" s="612">
        <f t="shared" si="73"/>
        <v>0.006142567588</v>
      </c>
      <c r="P176" s="612">
        <f t="shared" si="73"/>
        <v>0.006142567588</v>
      </c>
      <c r="Q176" s="612">
        <f t="shared" si="73"/>
        <v>0.006142567588</v>
      </c>
      <c r="R176" s="612">
        <f t="shared" si="73"/>
        <v>0.006142567588</v>
      </c>
      <c r="S176" s="612">
        <f t="shared" si="73"/>
        <v>0.006142567588</v>
      </c>
      <c r="T176" s="612">
        <f t="shared" si="73"/>
        <v>0.006142567588</v>
      </c>
      <c r="U176" s="612">
        <f t="shared" si="73"/>
        <v>0.006142567588</v>
      </c>
      <c r="V176" s="612">
        <f t="shared" si="73"/>
        <v>0.006142567588</v>
      </c>
      <c r="W176" s="612">
        <f t="shared" si="73"/>
        <v>0.006142567588</v>
      </c>
      <c r="X176" s="612">
        <f t="shared" si="73"/>
        <v>0.006142567588</v>
      </c>
      <c r="Y176" s="612">
        <f t="shared" si="73"/>
        <v>0.006142567588</v>
      </c>
      <c r="Z176" s="612">
        <f t="shared" si="73"/>
        <v>0.006142567588</v>
      </c>
      <c r="AA176" s="612">
        <f t="shared" si="73"/>
        <v>0.006142567588</v>
      </c>
      <c r="AB176" s="612">
        <f t="shared" si="73"/>
        <v>0.006142567588</v>
      </c>
      <c r="AC176" s="612">
        <f t="shared" si="73"/>
        <v>0.006142567588</v>
      </c>
      <c r="AD176" s="612">
        <f t="shared" si="73"/>
        <v>0.006142567588</v>
      </c>
      <c r="AE176" s="612">
        <f t="shared" si="73"/>
        <v>0.006142567588</v>
      </c>
      <c r="AF176" s="612">
        <f t="shared" si="73"/>
        <v>0.006142567588</v>
      </c>
      <c r="AG176" s="612">
        <f t="shared" si="73"/>
        <v>0.006142567588</v>
      </c>
      <c r="AH176" s="612">
        <f t="shared" si="73"/>
        <v>0.006142567588</v>
      </c>
      <c r="AI176" s="612">
        <f t="shared" si="73"/>
        <v>0.006142567588</v>
      </c>
      <c r="AJ176" s="612">
        <f t="shared" si="73"/>
        <v>0.006142567588</v>
      </c>
      <c r="AK176" s="612">
        <f t="shared" si="73"/>
        <v>0.006142567588</v>
      </c>
      <c r="AL176" s="612">
        <f t="shared" si="73"/>
        <v>0.006142567588</v>
      </c>
    </row>
    <row r="177">
      <c r="A177" s="91" t="s">
        <v>260</v>
      </c>
      <c r="B177" s="389">
        <f t="shared" ref="B177:AL177" si="74">B21*B174*B176</f>
        <v>135.7023656</v>
      </c>
      <c r="C177" s="389">
        <f t="shared" si="74"/>
        <v>135.7023656</v>
      </c>
      <c r="D177" s="389">
        <f t="shared" si="74"/>
        <v>135.7023656</v>
      </c>
      <c r="E177" s="389">
        <f t="shared" si="74"/>
        <v>135.7023656</v>
      </c>
      <c r="F177" s="389">
        <f t="shared" si="74"/>
        <v>135.7023656</v>
      </c>
      <c r="G177" s="389">
        <f t="shared" si="74"/>
        <v>135.7023656</v>
      </c>
      <c r="H177" s="389">
        <f t="shared" si="74"/>
        <v>135.7023656</v>
      </c>
      <c r="I177" s="389">
        <f t="shared" si="74"/>
        <v>135.7023656</v>
      </c>
      <c r="J177" s="389">
        <f t="shared" si="74"/>
        <v>135.7023656</v>
      </c>
      <c r="K177" s="389">
        <f t="shared" si="74"/>
        <v>135.7023656</v>
      </c>
      <c r="L177" s="389">
        <f t="shared" si="74"/>
        <v>135.7023656</v>
      </c>
      <c r="M177" s="389">
        <f t="shared" si="74"/>
        <v>135.7023656</v>
      </c>
      <c r="N177" s="389">
        <f t="shared" si="74"/>
        <v>135.7023656</v>
      </c>
      <c r="O177" s="389">
        <f t="shared" si="74"/>
        <v>135.7023656</v>
      </c>
      <c r="P177" s="389">
        <f t="shared" si="74"/>
        <v>135.7023656</v>
      </c>
      <c r="Q177" s="389">
        <f t="shared" si="74"/>
        <v>135.7023656</v>
      </c>
      <c r="R177" s="389">
        <f t="shared" si="74"/>
        <v>135.7023656</v>
      </c>
      <c r="S177" s="389">
        <f t="shared" si="74"/>
        <v>135.7023656</v>
      </c>
      <c r="T177" s="389">
        <f t="shared" si="74"/>
        <v>135.7023656</v>
      </c>
      <c r="U177" s="389">
        <f t="shared" si="74"/>
        <v>135.7023656</v>
      </c>
      <c r="V177" s="389">
        <f t="shared" si="74"/>
        <v>135.7023656</v>
      </c>
      <c r="W177" s="389">
        <f t="shared" si="74"/>
        <v>135.7023656</v>
      </c>
      <c r="X177" s="389">
        <f t="shared" si="74"/>
        <v>135.7023656</v>
      </c>
      <c r="Y177" s="389">
        <f t="shared" si="74"/>
        <v>135.7023656</v>
      </c>
      <c r="Z177" s="389">
        <f t="shared" si="74"/>
        <v>135.7023656</v>
      </c>
      <c r="AA177" s="389">
        <f t="shared" si="74"/>
        <v>135.7023656</v>
      </c>
      <c r="AB177" s="389">
        <f t="shared" si="74"/>
        <v>135.7023656</v>
      </c>
      <c r="AC177" s="389">
        <f t="shared" si="74"/>
        <v>135.7023656</v>
      </c>
      <c r="AD177" s="389">
        <f t="shared" si="74"/>
        <v>135.7023656</v>
      </c>
      <c r="AE177" s="389">
        <f t="shared" si="74"/>
        <v>135.7023656</v>
      </c>
      <c r="AF177" s="389">
        <f t="shared" si="74"/>
        <v>135.7023656</v>
      </c>
      <c r="AG177" s="389">
        <f t="shared" si="74"/>
        <v>135.7023656</v>
      </c>
      <c r="AH177" s="389">
        <f t="shared" si="74"/>
        <v>135.7023656</v>
      </c>
      <c r="AI177" s="389">
        <f t="shared" si="74"/>
        <v>135.7023656</v>
      </c>
      <c r="AJ177" s="389">
        <f t="shared" si="74"/>
        <v>135.7023656</v>
      </c>
      <c r="AK177" s="389">
        <f t="shared" si="74"/>
        <v>135.7023656</v>
      </c>
      <c r="AL177" s="389">
        <f t="shared" si="74"/>
        <v>135.7023656</v>
      </c>
    </row>
    <row r="178">
      <c r="A178" s="225" t="s">
        <v>65</v>
      </c>
      <c r="B178" s="620">
        <f t="array" ref="B178">index('Moral weights and discount rate'!$A$1:$V$39, match($A178, 'Moral weights and discount rate'!$A$1:$A$39,0), match('Moral weights and discount rate'!$A$17, 'Moral weights and discount rate'!$A$1:$X$1,0))</f>
        <v>1.442695041</v>
      </c>
      <c r="C178" s="620">
        <f t="array" ref="C178">index('Moral weights and discount rate'!$A$1:$V$39, match($A178, 'Moral weights and discount rate'!$A$1:$A$39,0), match('Moral weights and discount rate'!$A$17, 'Moral weights and discount rate'!$A$1:$X$1,0))</f>
        <v>1.442695041</v>
      </c>
      <c r="D178" s="620">
        <f t="array" ref="D178">index('Moral weights and discount rate'!$A$1:$V$39, match($A178, 'Moral weights and discount rate'!$A$1:$A$39,0), match('Moral weights and discount rate'!$A$17, 'Moral weights and discount rate'!$A$1:$X$1,0))</f>
        <v>1.442695041</v>
      </c>
      <c r="E178" s="620">
        <f t="array" ref="E178">index('Moral weights and discount rate'!$A$1:$V$39, match($A178, 'Moral weights and discount rate'!$A$1:$A$39,0), match('Moral weights and discount rate'!$A$17, 'Moral weights and discount rate'!$A$1:$X$1,0))</f>
        <v>1.442695041</v>
      </c>
      <c r="F178" s="620">
        <f t="array" ref="F178">index('Moral weights and discount rate'!$A$1:$V$39, match($A178, 'Moral weights and discount rate'!$A$1:$A$39,0), match('Moral weights and discount rate'!$A$17, 'Moral weights and discount rate'!$A$1:$X$1,0))</f>
        <v>1.442695041</v>
      </c>
      <c r="G178" s="620">
        <f t="array" ref="G178">index('Moral weights and discount rate'!$A$1:$V$39, match($A178, 'Moral weights and discount rate'!$A$1:$A$39,0), match('Moral weights and discount rate'!$A$17, 'Moral weights and discount rate'!$A$1:$X$1,0))</f>
        <v>1.442695041</v>
      </c>
      <c r="H178" s="620">
        <f t="array" ref="H178">index('Moral weights and discount rate'!$A$1:$V$39, match($A178, 'Moral weights and discount rate'!$A$1:$A$39,0), match('Moral weights and discount rate'!$A$17, 'Moral weights and discount rate'!$A$1:$X$1,0))</f>
        <v>1.442695041</v>
      </c>
      <c r="I178" s="620">
        <f t="array" ref="I178">index('Moral weights and discount rate'!$A$1:$V$39, match($A178, 'Moral weights and discount rate'!$A$1:$A$39,0), match('Moral weights and discount rate'!$A$17, 'Moral weights and discount rate'!$A$1:$X$1,0))</f>
        <v>1.442695041</v>
      </c>
      <c r="J178" s="620">
        <f t="array" ref="J178">index('Moral weights and discount rate'!$A$1:$V$39, match($A178, 'Moral weights and discount rate'!$A$1:$A$39,0), match('Moral weights and discount rate'!$A$17, 'Moral weights and discount rate'!$A$1:$X$1,0))</f>
        <v>1.442695041</v>
      </c>
      <c r="K178" s="620">
        <f t="array" ref="K178">index('Moral weights and discount rate'!$A$1:$V$39, match($A178, 'Moral weights and discount rate'!$A$1:$A$39,0), match('Moral weights and discount rate'!$A$17, 'Moral weights and discount rate'!$A$1:$X$1,0))</f>
        <v>1.442695041</v>
      </c>
      <c r="L178" s="620">
        <f t="array" ref="L178">index('Moral weights and discount rate'!$A$1:$V$39, match($A178, 'Moral weights and discount rate'!$A$1:$A$39,0), match('Moral weights and discount rate'!$A$17, 'Moral weights and discount rate'!$A$1:$X$1,0))</f>
        <v>1.442695041</v>
      </c>
      <c r="M178" s="620">
        <f t="array" ref="M178">index('Moral weights and discount rate'!$A$1:$V$39, match($A178, 'Moral weights and discount rate'!$A$1:$A$39,0), match('Moral weights and discount rate'!$A$17, 'Moral weights and discount rate'!$A$1:$X$1,0))</f>
        <v>1.442695041</v>
      </c>
      <c r="N178" s="620">
        <f t="array" ref="N178">index('Moral weights and discount rate'!$A$1:$V$39, match($A178, 'Moral weights and discount rate'!$A$1:$A$39,0), match('Moral weights and discount rate'!$A$17, 'Moral weights and discount rate'!$A$1:$X$1,0))</f>
        <v>1.442695041</v>
      </c>
      <c r="O178" s="620">
        <f t="array" ref="O178">index('Moral weights and discount rate'!$A$1:$V$39, match($A178, 'Moral weights and discount rate'!$A$1:$A$39,0), match('Moral weights and discount rate'!$A$17, 'Moral weights and discount rate'!$A$1:$X$1,0))</f>
        <v>1.442695041</v>
      </c>
      <c r="P178" s="620">
        <f t="array" ref="P178">index('Moral weights and discount rate'!$A$1:$V$39, match($A178, 'Moral weights and discount rate'!$A$1:$A$39,0), match('Moral weights and discount rate'!$A$17, 'Moral weights and discount rate'!$A$1:$X$1,0))</f>
        <v>1.442695041</v>
      </c>
      <c r="Q178" s="620">
        <f t="array" ref="Q178">index('Moral weights and discount rate'!$A$1:$V$39, match($A178, 'Moral weights and discount rate'!$A$1:$A$39,0), match('Moral weights and discount rate'!$A$17, 'Moral weights and discount rate'!$A$1:$X$1,0))</f>
        <v>1.442695041</v>
      </c>
      <c r="R178" s="620">
        <f t="array" ref="R178">index('Moral weights and discount rate'!$A$1:$V$39, match($A178, 'Moral weights and discount rate'!$A$1:$A$39,0), match('Moral weights and discount rate'!$A$17, 'Moral weights and discount rate'!$A$1:$X$1,0))</f>
        <v>1.442695041</v>
      </c>
      <c r="S178" s="620">
        <f t="array" ref="S178">index('Moral weights and discount rate'!$A$1:$V$39, match($A178, 'Moral weights and discount rate'!$A$1:$A$39,0), match('Moral weights and discount rate'!$A$17, 'Moral weights and discount rate'!$A$1:$X$1,0))</f>
        <v>1.442695041</v>
      </c>
      <c r="T178" s="620">
        <f t="array" ref="T178">index('Moral weights and discount rate'!$A$1:$V$39, match($A178, 'Moral weights and discount rate'!$A$1:$A$39,0), match('Moral weights and discount rate'!$A$17, 'Moral weights and discount rate'!$A$1:$X$1,0))</f>
        <v>1.442695041</v>
      </c>
      <c r="U178" s="620">
        <f t="array" ref="U178">index('Moral weights and discount rate'!$A$1:$V$39, match($A178, 'Moral weights and discount rate'!$A$1:$A$39,0), match('Moral weights and discount rate'!$A$17, 'Moral weights and discount rate'!$A$1:$X$1,0))</f>
        <v>1.442695041</v>
      </c>
      <c r="V178" s="620">
        <f t="array" ref="V178">index('Moral weights and discount rate'!$A$1:$V$39, match($A178, 'Moral weights and discount rate'!$A$1:$A$39,0), match('Moral weights and discount rate'!$A$17, 'Moral weights and discount rate'!$A$1:$X$1,0))</f>
        <v>1.442695041</v>
      </c>
      <c r="W178" s="620">
        <f t="array" ref="W178">index('Moral weights and discount rate'!$A$1:$V$39, match($A178, 'Moral weights and discount rate'!$A$1:$A$39,0), match('Moral weights and discount rate'!$A$17, 'Moral weights and discount rate'!$A$1:$X$1,0))</f>
        <v>1.442695041</v>
      </c>
      <c r="X178" s="620">
        <f t="array" ref="X178">index('Moral weights and discount rate'!$A$1:$V$39, match($A178, 'Moral weights and discount rate'!$A$1:$A$39,0), match('Moral weights and discount rate'!$A$17, 'Moral weights and discount rate'!$A$1:$X$1,0))</f>
        <v>1.442695041</v>
      </c>
      <c r="Y178" s="620">
        <f t="array" ref="Y178">index('Moral weights and discount rate'!$A$1:$V$39, match($A178, 'Moral weights and discount rate'!$A$1:$A$39,0), match('Moral weights and discount rate'!$A$17, 'Moral weights and discount rate'!$A$1:$X$1,0))</f>
        <v>1.442695041</v>
      </c>
      <c r="Z178" s="620">
        <f t="array" ref="Z178">index('Moral weights and discount rate'!$A$1:$V$39, match($A178, 'Moral weights and discount rate'!$A$1:$A$39,0), match('Moral weights and discount rate'!$A$17, 'Moral weights and discount rate'!$A$1:$X$1,0))</f>
        <v>1.442695041</v>
      </c>
      <c r="AA178" s="620">
        <f t="array" ref="AA178">index('Moral weights and discount rate'!$A$1:$V$39, match($A178, 'Moral weights and discount rate'!$A$1:$A$39,0), match('Moral weights and discount rate'!$A$17, 'Moral weights and discount rate'!$A$1:$X$1,0))</f>
        <v>1.442695041</v>
      </c>
      <c r="AB178" s="620">
        <f t="array" ref="AB178">index('Moral weights and discount rate'!$A$1:$V$39, match($A178, 'Moral weights and discount rate'!$A$1:$A$39,0), match('Moral weights and discount rate'!$A$17, 'Moral weights and discount rate'!$A$1:$X$1,0))</f>
        <v>1.442695041</v>
      </c>
      <c r="AC178" s="620">
        <f t="array" ref="AC178">index('Moral weights and discount rate'!$A$1:$V$39, match($A178, 'Moral weights and discount rate'!$A$1:$A$39,0), match('Moral weights and discount rate'!$A$17, 'Moral weights and discount rate'!$A$1:$X$1,0))</f>
        <v>1.442695041</v>
      </c>
      <c r="AD178" s="620">
        <f t="array" ref="AD178">index('Moral weights and discount rate'!$A$1:$V$39, match($A178, 'Moral weights and discount rate'!$A$1:$A$39,0), match('Moral weights and discount rate'!$A$17, 'Moral weights and discount rate'!$A$1:$X$1,0))</f>
        <v>1.442695041</v>
      </c>
      <c r="AE178" s="620">
        <f t="array" ref="AE178">index('Moral weights and discount rate'!$A$1:$V$39, match($A178, 'Moral weights and discount rate'!$A$1:$A$39,0), match('Moral weights and discount rate'!$A$17, 'Moral weights and discount rate'!$A$1:$X$1,0))</f>
        <v>1.442695041</v>
      </c>
      <c r="AF178" s="620">
        <f t="array" ref="AF178">index('Moral weights and discount rate'!$A$1:$V$39, match($A178, 'Moral weights and discount rate'!$A$1:$A$39,0), match('Moral weights and discount rate'!$A$17, 'Moral weights and discount rate'!$A$1:$X$1,0))</f>
        <v>1.442695041</v>
      </c>
      <c r="AG178" s="620">
        <f t="array" ref="AG178">index('Moral weights and discount rate'!$A$1:$V$39, match($A178, 'Moral weights and discount rate'!$A$1:$A$39,0), match('Moral weights and discount rate'!$A$17, 'Moral weights and discount rate'!$A$1:$X$1,0))</f>
        <v>1.442695041</v>
      </c>
      <c r="AH178" s="620">
        <f t="array" ref="AH178">index('Moral weights and discount rate'!$A$1:$V$39, match($A178, 'Moral weights and discount rate'!$A$1:$A$39,0), match('Moral weights and discount rate'!$A$17, 'Moral weights and discount rate'!$A$1:$X$1,0))</f>
        <v>1.442695041</v>
      </c>
      <c r="AI178" s="620">
        <f t="array" ref="AI178">index('Moral weights and discount rate'!$A$1:$V$39, match($A178, 'Moral weights and discount rate'!$A$1:$A$39,0), match('Moral weights and discount rate'!$A$17, 'Moral weights and discount rate'!$A$1:$X$1,0))</f>
        <v>1.442695041</v>
      </c>
      <c r="AJ178" s="620">
        <f t="array" ref="AJ178">index('Moral weights and discount rate'!$A$1:$V$39, match($A178, 'Moral weights and discount rate'!$A$1:$A$39,0), match('Moral weights and discount rate'!$A$17, 'Moral weights and discount rate'!$A$1:$X$1,0))</f>
        <v>1.442695041</v>
      </c>
      <c r="AK178" s="620">
        <f t="array" ref="AK178">index('Moral weights and discount rate'!$A$1:$V$39, match($A178, 'Moral weights and discount rate'!$A$1:$A$39,0), match('Moral weights and discount rate'!$A$17, 'Moral weights and discount rate'!$A$1:$X$1,0))</f>
        <v>1.442695041</v>
      </c>
      <c r="AL178" s="620">
        <f t="array" ref="AL178">index('Moral weights and discount rate'!$A$1:$V$39, match($A178, 'Moral weights and discount rate'!$A$1:$A$39,0), match('Moral weights and discount rate'!$A$17, 'Moral weights and discount rate'!$A$1:$X$1,0))</f>
        <v>1.442695041</v>
      </c>
    </row>
    <row r="179">
      <c r="A179" s="91" t="s">
        <v>751</v>
      </c>
      <c r="B179" s="576">
        <f t="shared" ref="B179:AL179" si="75">B177*B178</f>
        <v>195.7771298</v>
      </c>
      <c r="C179" s="576">
        <f t="shared" si="75"/>
        <v>195.7771298</v>
      </c>
      <c r="D179" s="576">
        <f t="shared" si="75"/>
        <v>195.7771298</v>
      </c>
      <c r="E179" s="576">
        <f t="shared" si="75"/>
        <v>195.7771298</v>
      </c>
      <c r="F179" s="576">
        <f t="shared" si="75"/>
        <v>195.7771298</v>
      </c>
      <c r="G179" s="576">
        <f t="shared" si="75"/>
        <v>195.7771298</v>
      </c>
      <c r="H179" s="576">
        <f t="shared" si="75"/>
        <v>195.7771298</v>
      </c>
      <c r="I179" s="576">
        <f t="shared" si="75"/>
        <v>195.7771298</v>
      </c>
      <c r="J179" s="576">
        <f t="shared" si="75"/>
        <v>195.7771298</v>
      </c>
      <c r="K179" s="576">
        <f t="shared" si="75"/>
        <v>195.7771298</v>
      </c>
      <c r="L179" s="576">
        <f t="shared" si="75"/>
        <v>195.7771298</v>
      </c>
      <c r="M179" s="576">
        <f t="shared" si="75"/>
        <v>195.7771298</v>
      </c>
      <c r="N179" s="576">
        <f t="shared" si="75"/>
        <v>195.7771298</v>
      </c>
      <c r="O179" s="576">
        <f t="shared" si="75"/>
        <v>195.7771298</v>
      </c>
      <c r="P179" s="576">
        <f t="shared" si="75"/>
        <v>195.7771298</v>
      </c>
      <c r="Q179" s="576">
        <f t="shared" si="75"/>
        <v>195.7771298</v>
      </c>
      <c r="R179" s="576">
        <f t="shared" si="75"/>
        <v>195.7771298</v>
      </c>
      <c r="S179" s="576">
        <f t="shared" si="75"/>
        <v>195.7771298</v>
      </c>
      <c r="T179" s="576">
        <f t="shared" si="75"/>
        <v>195.7771298</v>
      </c>
      <c r="U179" s="576">
        <f t="shared" si="75"/>
        <v>195.7771298</v>
      </c>
      <c r="V179" s="576">
        <f t="shared" si="75"/>
        <v>195.7771298</v>
      </c>
      <c r="W179" s="576">
        <f t="shared" si="75"/>
        <v>195.7771298</v>
      </c>
      <c r="X179" s="576">
        <f t="shared" si="75"/>
        <v>195.7771298</v>
      </c>
      <c r="Y179" s="576">
        <f t="shared" si="75"/>
        <v>195.7771298</v>
      </c>
      <c r="Z179" s="576">
        <f t="shared" si="75"/>
        <v>195.7771298</v>
      </c>
      <c r="AA179" s="576">
        <f t="shared" si="75"/>
        <v>195.7771298</v>
      </c>
      <c r="AB179" s="576">
        <f t="shared" si="75"/>
        <v>195.7771298</v>
      </c>
      <c r="AC179" s="576">
        <f t="shared" si="75"/>
        <v>195.7771298</v>
      </c>
      <c r="AD179" s="576">
        <f t="shared" si="75"/>
        <v>195.7771298</v>
      </c>
      <c r="AE179" s="576">
        <f t="shared" si="75"/>
        <v>195.7771298</v>
      </c>
      <c r="AF179" s="576">
        <f t="shared" si="75"/>
        <v>195.7771298</v>
      </c>
      <c r="AG179" s="576">
        <f t="shared" si="75"/>
        <v>195.7771298</v>
      </c>
      <c r="AH179" s="576">
        <f t="shared" si="75"/>
        <v>195.7771298</v>
      </c>
      <c r="AI179" s="576">
        <f t="shared" si="75"/>
        <v>195.7771298</v>
      </c>
      <c r="AJ179" s="576">
        <f t="shared" si="75"/>
        <v>195.7771298</v>
      </c>
      <c r="AK179" s="576">
        <f t="shared" si="75"/>
        <v>195.7771298</v>
      </c>
      <c r="AL179" s="576">
        <f t="shared" si="75"/>
        <v>195.7771298</v>
      </c>
    </row>
    <row r="180">
      <c r="A180" s="91"/>
      <c r="B180" s="627"/>
      <c r="C180" s="627"/>
      <c r="D180" s="627"/>
      <c r="E180" s="627"/>
      <c r="F180" s="627"/>
      <c r="G180" s="628"/>
      <c r="H180" s="628"/>
      <c r="I180" s="628"/>
      <c r="J180" s="628"/>
      <c r="K180" s="628"/>
      <c r="L180" s="628"/>
      <c r="M180" s="628"/>
      <c r="N180" s="628"/>
      <c r="O180" s="628"/>
      <c r="P180" s="628"/>
      <c r="Q180" s="627"/>
      <c r="R180" s="627"/>
      <c r="S180" s="627"/>
      <c r="T180" s="628"/>
      <c r="U180" s="627"/>
      <c r="V180" s="627"/>
      <c r="W180" s="628"/>
      <c r="X180" s="628"/>
      <c r="Y180" s="627"/>
      <c r="Z180" s="627"/>
      <c r="AA180" s="628"/>
      <c r="AB180" s="628"/>
      <c r="AC180" s="628"/>
      <c r="AD180" s="628"/>
      <c r="AE180" s="628"/>
      <c r="AF180" s="628"/>
      <c r="AG180" s="628"/>
      <c r="AH180" s="628"/>
      <c r="AI180" s="627"/>
      <c r="AJ180" s="627"/>
      <c r="AK180" s="627"/>
      <c r="AL180" s="627"/>
    </row>
    <row r="181">
      <c r="A181" s="160" t="s">
        <v>180</v>
      </c>
      <c r="B181" s="472"/>
      <c r="C181" s="472"/>
      <c r="D181" s="472"/>
      <c r="E181" s="472"/>
      <c r="F181" s="472"/>
      <c r="G181" s="161"/>
      <c r="H181" s="161"/>
      <c r="I181" s="161"/>
      <c r="J181" s="161"/>
      <c r="K181" s="161"/>
      <c r="L181" s="161"/>
      <c r="M181" s="161"/>
      <c r="N181" s="161"/>
      <c r="O181" s="161"/>
      <c r="P181" s="161"/>
      <c r="Q181" s="472"/>
      <c r="R181" s="472"/>
      <c r="S181" s="472"/>
      <c r="T181" s="161"/>
      <c r="U181" s="472"/>
      <c r="V181" s="472"/>
      <c r="W181" s="161"/>
      <c r="X181" s="161"/>
      <c r="Y181" s="472"/>
      <c r="Z181" s="472"/>
      <c r="AA181" s="161"/>
      <c r="AB181" s="161"/>
      <c r="AC181" s="161"/>
      <c r="AD181" s="161"/>
      <c r="AE181" s="161"/>
      <c r="AF181" s="161"/>
      <c r="AG181" s="161"/>
      <c r="AH181" s="161"/>
      <c r="AI181" s="472"/>
      <c r="AJ181" s="472"/>
      <c r="AK181" s="472"/>
      <c r="AL181" s="472"/>
    </row>
    <row r="182">
      <c r="A182" s="77" t="s">
        <v>532</v>
      </c>
      <c r="B182" s="629">
        <f t="shared" ref="B182:AL182" si="76">B26/sum(B99,B119,B135,B151)</f>
        <v>27205.73588</v>
      </c>
      <c r="C182" s="629">
        <f t="shared" si="76"/>
        <v>8826.020214</v>
      </c>
      <c r="D182" s="629">
        <f t="shared" si="76"/>
        <v>31612.74864</v>
      </c>
      <c r="E182" s="629">
        <f t="shared" si="76"/>
        <v>25056.97805</v>
      </c>
      <c r="F182" s="629">
        <f t="shared" si="76"/>
        <v>3384.284294</v>
      </c>
      <c r="G182" s="629">
        <f t="shared" si="76"/>
        <v>17318.83201</v>
      </c>
      <c r="H182" s="629">
        <f t="shared" si="76"/>
        <v>16799.14853</v>
      </c>
      <c r="I182" s="629">
        <f t="shared" si="76"/>
        <v>9482.628691</v>
      </c>
      <c r="J182" s="629">
        <f t="shared" si="76"/>
        <v>47568.14784</v>
      </c>
      <c r="K182" s="629">
        <f t="shared" si="76"/>
        <v>21037.44434</v>
      </c>
      <c r="L182" s="629">
        <f t="shared" si="76"/>
        <v>184081.592</v>
      </c>
      <c r="M182" s="629">
        <f t="shared" si="76"/>
        <v>39209.06143</v>
      </c>
      <c r="N182" s="629">
        <f t="shared" si="76"/>
        <v>74192.53306</v>
      </c>
      <c r="O182" s="629">
        <f t="shared" si="76"/>
        <v>150127.2168</v>
      </c>
      <c r="P182" s="629">
        <f t="shared" si="76"/>
        <v>53094.26626</v>
      </c>
      <c r="Q182" s="629">
        <f t="shared" si="76"/>
        <v>6065.41153</v>
      </c>
      <c r="R182" s="629">
        <f t="shared" si="76"/>
        <v>72694.70916</v>
      </c>
      <c r="S182" s="629">
        <f t="shared" si="76"/>
        <v>3312.57209</v>
      </c>
      <c r="T182" s="629">
        <f t="shared" si="76"/>
        <v>7963.172428</v>
      </c>
      <c r="U182" s="629">
        <f t="shared" si="76"/>
        <v>5679.469808</v>
      </c>
      <c r="V182" s="629">
        <f t="shared" si="76"/>
        <v>3926.121896</v>
      </c>
      <c r="W182" s="629">
        <f t="shared" si="76"/>
        <v>3651.17459</v>
      </c>
      <c r="X182" s="629">
        <f t="shared" si="76"/>
        <v>24558.546</v>
      </c>
      <c r="Y182" s="629">
        <f t="shared" si="76"/>
        <v>19698.14035</v>
      </c>
      <c r="Z182" s="629">
        <f t="shared" si="76"/>
        <v>87148.40856</v>
      </c>
      <c r="AA182" s="629">
        <f t="shared" si="76"/>
        <v>13423.60109</v>
      </c>
      <c r="AB182" s="629">
        <f t="shared" si="76"/>
        <v>8624.687201</v>
      </c>
      <c r="AC182" s="629">
        <f t="shared" si="76"/>
        <v>17242.06899</v>
      </c>
      <c r="AD182" s="629">
        <f t="shared" si="76"/>
        <v>19524.7929</v>
      </c>
      <c r="AE182" s="629">
        <f t="shared" si="76"/>
        <v>68930.23533</v>
      </c>
      <c r="AF182" s="629">
        <f t="shared" si="76"/>
        <v>29059.77284</v>
      </c>
      <c r="AG182" s="629">
        <f t="shared" si="76"/>
        <v>20396.94515</v>
      </c>
      <c r="AH182" s="629">
        <f t="shared" si="76"/>
        <v>35798.13012</v>
      </c>
      <c r="AI182" s="629">
        <f t="shared" si="76"/>
        <v>2161.550188</v>
      </c>
      <c r="AJ182" s="629">
        <f t="shared" si="76"/>
        <v>7652.34319</v>
      </c>
      <c r="AK182" s="629">
        <f t="shared" si="76"/>
        <v>8508.059796</v>
      </c>
      <c r="AL182" s="629">
        <f t="shared" si="76"/>
        <v>2597.211343</v>
      </c>
    </row>
    <row r="183">
      <c r="A183" s="77" t="s">
        <v>182</v>
      </c>
      <c r="B183" s="575">
        <f t="shared" ref="B183:AL183" si="77">sum(B101,B121,B137,B153,B161,B179)</f>
        <v>730.7211765</v>
      </c>
      <c r="C183" s="575">
        <f t="shared" si="77"/>
        <v>2028.448239</v>
      </c>
      <c r="D183" s="575">
        <f t="shared" si="77"/>
        <v>690.2040807</v>
      </c>
      <c r="E183" s="575">
        <f t="shared" si="77"/>
        <v>843.6843161</v>
      </c>
      <c r="F183" s="575">
        <f t="shared" si="77"/>
        <v>6271.654121</v>
      </c>
      <c r="G183" s="575">
        <f t="shared" si="77"/>
        <v>1129.616867</v>
      </c>
      <c r="H183" s="575">
        <f t="shared" si="77"/>
        <v>1132.622819</v>
      </c>
      <c r="I183" s="575">
        <f t="shared" si="77"/>
        <v>2416.401896</v>
      </c>
      <c r="J183" s="575">
        <f t="shared" si="77"/>
        <v>482.3319195</v>
      </c>
      <c r="K183" s="575">
        <f t="shared" si="77"/>
        <v>972.2631963</v>
      </c>
      <c r="L183" s="575">
        <f t="shared" si="77"/>
        <v>263.3077353</v>
      </c>
      <c r="M183" s="575">
        <f t="shared" si="77"/>
        <v>571.4411634</v>
      </c>
      <c r="N183" s="575">
        <f t="shared" si="77"/>
        <v>383.0202225</v>
      </c>
      <c r="O183" s="575">
        <f t="shared" si="77"/>
        <v>287.6331497</v>
      </c>
      <c r="P183" s="575">
        <f t="shared" si="77"/>
        <v>467.1549618</v>
      </c>
      <c r="Q183" s="575">
        <f t="shared" si="77"/>
        <v>3211.809502</v>
      </c>
      <c r="R183" s="575">
        <f t="shared" si="77"/>
        <v>394.7003313</v>
      </c>
      <c r="S183" s="575">
        <f t="shared" si="77"/>
        <v>5851.942957</v>
      </c>
      <c r="T183" s="575">
        <f t="shared" si="77"/>
        <v>2535.896594</v>
      </c>
      <c r="U183" s="575">
        <f t="shared" si="77"/>
        <v>3814.924824</v>
      </c>
      <c r="V183" s="575">
        <f t="shared" si="77"/>
        <v>5540.018846</v>
      </c>
      <c r="W183" s="575">
        <f t="shared" si="77"/>
        <v>6043.144901</v>
      </c>
      <c r="X183" s="575">
        <f t="shared" si="77"/>
        <v>850.1803476</v>
      </c>
      <c r="Y183" s="575">
        <f t="shared" si="77"/>
        <v>1175.960344</v>
      </c>
      <c r="Z183" s="575">
        <f t="shared" si="77"/>
        <v>381.0780234</v>
      </c>
      <c r="AA183" s="575">
        <f t="shared" si="77"/>
        <v>1501.670245</v>
      </c>
      <c r="AB183" s="575">
        <f t="shared" si="77"/>
        <v>2436.817779</v>
      </c>
      <c r="AC183" s="575">
        <f t="shared" si="77"/>
        <v>1336.587823</v>
      </c>
      <c r="AD183" s="575">
        <f t="shared" si="77"/>
        <v>1118.636898</v>
      </c>
      <c r="AE183" s="575">
        <f t="shared" si="77"/>
        <v>430.441537</v>
      </c>
      <c r="AF183" s="575">
        <f t="shared" si="77"/>
        <v>881.9035325</v>
      </c>
      <c r="AG183" s="575">
        <f t="shared" si="77"/>
        <v>979.1827537</v>
      </c>
      <c r="AH183" s="575">
        <f t="shared" si="77"/>
        <v>603.7916923</v>
      </c>
      <c r="AI183" s="575">
        <f t="shared" si="77"/>
        <v>13445.21894</v>
      </c>
      <c r="AJ183" s="575">
        <f t="shared" si="77"/>
        <v>2406.246915</v>
      </c>
      <c r="AK183" s="575">
        <f t="shared" si="77"/>
        <v>1942.294436</v>
      </c>
      <c r="AL183" s="575">
        <f t="shared" si="77"/>
        <v>8306.101267</v>
      </c>
    </row>
    <row r="184">
      <c r="A184" s="202" t="s">
        <v>183</v>
      </c>
      <c r="B184" s="630">
        <f t="shared" ref="B184:AL184" si="78">B183/B26</f>
        <v>0.006269367101</v>
      </c>
      <c r="C184" s="630">
        <f t="shared" si="78"/>
        <v>0.01470009225</v>
      </c>
      <c r="D184" s="630">
        <f t="shared" si="78"/>
        <v>0.005666442699</v>
      </c>
      <c r="E184" s="630">
        <f t="shared" si="78"/>
        <v>0.00666229813</v>
      </c>
      <c r="F184" s="630">
        <f t="shared" si="78"/>
        <v>0.03327886461</v>
      </c>
      <c r="G184" s="630">
        <f t="shared" si="78"/>
        <v>0.00861160665</v>
      </c>
      <c r="H184" s="630">
        <f t="shared" si="78"/>
        <v>0.008625252802</v>
      </c>
      <c r="I184" s="630">
        <f t="shared" si="78"/>
        <v>0.01342027385</v>
      </c>
      <c r="J184" s="630">
        <f t="shared" si="78"/>
        <v>0.004335674511</v>
      </c>
      <c r="K184" s="630">
        <f t="shared" si="78"/>
        <v>0.007552917534</v>
      </c>
      <c r="L184" s="630">
        <f t="shared" si="78"/>
        <v>0.0025811288</v>
      </c>
      <c r="M184" s="630">
        <f t="shared" si="78"/>
        <v>0.005002895695</v>
      </c>
      <c r="N184" s="630">
        <f t="shared" si="78"/>
        <v>0.003561781339</v>
      </c>
      <c r="O184" s="630">
        <f t="shared" si="78"/>
        <v>0.002744678978</v>
      </c>
      <c r="P184" s="630">
        <f t="shared" si="78"/>
        <v>0.004225940662</v>
      </c>
      <c r="Q184" s="630">
        <f t="shared" si="78"/>
        <v>0.02004525367</v>
      </c>
      <c r="R184" s="630">
        <f t="shared" si="78"/>
        <v>0.003601268627</v>
      </c>
      <c r="S184" s="630">
        <f t="shared" si="78"/>
        <v>0.03420764509</v>
      </c>
      <c r="T184" s="630">
        <f t="shared" si="78"/>
        <v>0.01630874569</v>
      </c>
      <c r="U184" s="630">
        <f t="shared" si="78"/>
        <v>0.02142636065</v>
      </c>
      <c r="V184" s="630">
        <f t="shared" si="78"/>
        <v>0.02898477234</v>
      </c>
      <c r="W184" s="630">
        <f t="shared" si="78"/>
        <v>0.03076844998</v>
      </c>
      <c r="X184" s="630">
        <f t="shared" si="78"/>
        <v>0.006720294753</v>
      </c>
      <c r="Y184" s="630">
        <f t="shared" si="78"/>
        <v>0.007822303086</v>
      </c>
      <c r="Z184" s="630">
        <f t="shared" si="78"/>
        <v>0.003423138821</v>
      </c>
      <c r="AA184" s="630">
        <f t="shared" si="78"/>
        <v>0.01047703013</v>
      </c>
      <c r="AB184" s="630">
        <f t="shared" si="78"/>
        <v>0.01459075736</v>
      </c>
      <c r="AC184" s="630">
        <f t="shared" si="78"/>
        <v>0.008603705152</v>
      </c>
      <c r="AD184" s="630">
        <f t="shared" si="78"/>
        <v>0.007953360021</v>
      </c>
      <c r="AE184" s="630">
        <f t="shared" si="78"/>
        <v>0.003732237835</v>
      </c>
      <c r="AF184" s="630">
        <f t="shared" si="78"/>
        <v>0.006244984093</v>
      </c>
      <c r="AG184" s="630">
        <f t="shared" si="78"/>
        <v>0.007553267112</v>
      </c>
      <c r="AH184" s="630">
        <f t="shared" si="78"/>
        <v>0.005244907452</v>
      </c>
      <c r="AI184" s="630">
        <f t="shared" si="78"/>
        <v>0.05068763752</v>
      </c>
      <c r="AJ184" s="630">
        <f t="shared" si="78"/>
        <v>0.01654761959</v>
      </c>
      <c r="AK184" s="630">
        <f t="shared" si="78"/>
        <v>0.01413934956</v>
      </c>
      <c r="AL184" s="630">
        <f t="shared" si="78"/>
        <v>0.04255724293</v>
      </c>
    </row>
    <row r="185">
      <c r="A185" s="204"/>
      <c r="B185" s="623"/>
      <c r="C185" s="623"/>
      <c r="D185" s="623"/>
      <c r="E185" s="623"/>
      <c r="F185" s="623"/>
      <c r="G185" s="623"/>
      <c r="H185" s="623"/>
      <c r="I185" s="623"/>
      <c r="J185" s="623"/>
      <c r="K185" s="623"/>
      <c r="L185" s="623"/>
      <c r="M185" s="623"/>
      <c r="N185" s="623"/>
      <c r="O185" s="623"/>
      <c r="P185" s="623"/>
      <c r="Q185" s="623"/>
      <c r="R185" s="623"/>
      <c r="S185" s="623"/>
      <c r="T185" s="623"/>
      <c r="U185" s="623"/>
      <c r="V185" s="623"/>
      <c r="W185" s="623"/>
      <c r="X185" s="623"/>
      <c r="Y185" s="623"/>
      <c r="Z185" s="623"/>
      <c r="AA185" s="623"/>
      <c r="AB185" s="623"/>
      <c r="AC185" s="623"/>
      <c r="AD185" s="623"/>
      <c r="AE185" s="623"/>
      <c r="AF185" s="623"/>
      <c r="AG185" s="623"/>
      <c r="AH185" s="623"/>
      <c r="AI185" s="623"/>
      <c r="AJ185" s="623"/>
      <c r="AK185" s="623"/>
      <c r="AL185" s="623"/>
    </row>
    <row r="186">
      <c r="A186" s="204" t="s">
        <v>184</v>
      </c>
      <c r="B186" s="631">
        <f t="array" ref="B186">B184/index(GiveDirectly!$B:$B,match("Units of value generated per philanthropic dollar spent, after accounting for all adjustments",GiveDirectly!$A:$A,0))</f>
        <v>1.868923437</v>
      </c>
      <c r="C186" s="631">
        <f t="array" ref="C186">C184/index(GiveDirectly!$B:$B,match("Units of value generated per philanthropic dollar spent, after accounting for all adjustments",GiveDirectly!$A:$A,0))</f>
        <v>4.382156365</v>
      </c>
      <c r="D186" s="631">
        <f t="array" ref="D186">D184/index(GiveDirectly!$B:$B,match("Units of value generated per philanthropic dollar spent, after accounting for all adjustments",GiveDirectly!$A:$A,0))</f>
        <v>1.689189259</v>
      </c>
      <c r="E186" s="631">
        <f t="array" ref="E186">E184/index(GiveDirectly!$B:$B,match("Units of value generated per philanthropic dollar spent, after accounting for all adjustments",GiveDirectly!$A:$A,0))</f>
        <v>1.98605775</v>
      </c>
      <c r="F186" s="631">
        <f t="array" ref="F186">F184/index(GiveDirectly!$B:$B,match("Units of value generated per philanthropic dollar spent, after accounting for all adjustments",GiveDirectly!$A:$A,0))</f>
        <v>9.920562798</v>
      </c>
      <c r="G186" s="631">
        <f t="array" ref="G186">G184/index(GiveDirectly!$B:$B,match("Units of value generated per philanthropic dollar spent, after accounting for all adjustments",GiveDirectly!$A:$A,0))</f>
        <v>2.567154426</v>
      </c>
      <c r="H186" s="631">
        <f t="array" ref="H186">H184/index(GiveDirectly!$B:$B,match("Units of value generated per philanthropic dollar spent, after accounting for all adjustments",GiveDirectly!$A:$A,0))</f>
        <v>2.571222398</v>
      </c>
      <c r="I186" s="631">
        <f t="array" ref="I186">I184/index(GiveDirectly!$B:$B,match("Units of value generated per philanthropic dollar spent, after accounting for all adjustments",GiveDirectly!$A:$A,0))</f>
        <v>4.000637373</v>
      </c>
      <c r="J186" s="631">
        <f t="array" ref="J186">J184/index(GiveDirectly!$B:$B,match("Units of value generated per philanthropic dollar spent, after accounting for all adjustments",GiveDirectly!$A:$A,0))</f>
        <v>1.292481933</v>
      </c>
      <c r="K186" s="631">
        <f t="array" ref="K186">K184/index(GiveDirectly!$B:$B,match("Units of value generated per philanthropic dollar spent, after accounting for all adjustments",GiveDirectly!$A:$A,0))</f>
        <v>2.251554961</v>
      </c>
      <c r="L186" s="631">
        <f t="array" ref="L186">L184/index(GiveDirectly!$B:$B,match("Units of value generated per philanthropic dollar spent, after accounting for all adjustments",GiveDirectly!$A:$A,0))</f>
        <v>0.7694448309</v>
      </c>
      <c r="M186" s="631">
        <f t="array" ref="M186">M184/index(GiveDirectly!$B:$B,match("Units of value generated per philanthropic dollar spent, after accounting for all adjustments",GiveDirectly!$A:$A,0))</f>
        <v>1.49138324</v>
      </c>
      <c r="N186" s="631">
        <f t="array" ref="N186">N184/index(GiveDirectly!$B:$B,match("Units of value generated per philanthropic dollar spent, after accounting for all adjustments",GiveDirectly!$A:$A,0))</f>
        <v>1.06178128</v>
      </c>
      <c r="O186" s="631">
        <f t="array" ref="O186">O184/index(GiveDirectly!$B:$B,match("Units of value generated per philanthropic dollar spent, after accounting for all adjustments",GiveDirectly!$A:$A,0))</f>
        <v>0.8181997937</v>
      </c>
      <c r="P186" s="631">
        <f t="array" ref="P186">P184/index(GiveDirectly!$B:$B,match("Units of value generated per philanthropic dollar spent, after accounting for all adjustments",GiveDirectly!$A:$A,0))</f>
        <v>1.259769833</v>
      </c>
      <c r="Q186" s="631">
        <f t="array" ref="Q186">Q184/index(GiveDirectly!$B:$B,match("Units of value generated per philanthropic dollar spent, after accounting for all adjustments",GiveDirectly!$A:$A,0))</f>
        <v>5.975570387</v>
      </c>
      <c r="R186" s="631">
        <f t="array" ref="R186">R184/index(GiveDirectly!$B:$B,match("Units of value generated per philanthropic dollar spent, after accounting for all adjustments",GiveDirectly!$A:$A,0))</f>
        <v>1.073552598</v>
      </c>
      <c r="S186" s="631">
        <f t="array" ref="S186">S184/index(GiveDirectly!$B:$B,match("Units of value generated per philanthropic dollar spent, after accounting for all adjustments",GiveDirectly!$A:$A,0))</f>
        <v>10.19743598</v>
      </c>
      <c r="T186" s="631">
        <f t="array" ref="T186">T184/index(GiveDirectly!$B:$B,match("Units of value generated per philanthropic dollar spent, after accounting for all adjustments",GiveDirectly!$A:$A,0))</f>
        <v>4.861702396</v>
      </c>
      <c r="U186" s="631">
        <f t="array" ref="U186">U184/index(GiveDirectly!$B:$B,match("Units of value generated per philanthropic dollar spent, after accounting for all adjustments",GiveDirectly!$A:$A,0))</f>
        <v>6.387283907</v>
      </c>
      <c r="V186" s="631">
        <f t="array" ref="V186">V184/index(GiveDirectly!$B:$B,match("Units of value generated per philanthropic dollar spent, after accounting for all adjustments",GiveDirectly!$A:$A,0))</f>
        <v>8.640476699</v>
      </c>
      <c r="W186" s="631">
        <f t="array" ref="W186">W184/index(GiveDirectly!$B:$B,match("Units of value generated per philanthropic dollar spent, after accounting for all adjustments",GiveDirectly!$A:$A,0))</f>
        <v>9.172198144</v>
      </c>
      <c r="X186" s="631">
        <f t="array" ref="X186">X184/index(GiveDirectly!$B:$B,match("Units of value generated per philanthropic dollar spent, after accounting for all adjustments",GiveDirectly!$A:$A,0))</f>
        <v>2.003346776</v>
      </c>
      <c r="Y186" s="631">
        <f t="array" ref="Y186">Y184/index(GiveDirectly!$B:$B,match("Units of value generated per philanthropic dollar spent, after accounting for all adjustments",GiveDirectly!$A:$A,0))</f>
        <v>2.331859873</v>
      </c>
      <c r="Z186" s="631">
        <f t="array" ref="Z186">Z184/index(GiveDirectly!$B:$B,match("Units of value generated per philanthropic dollar spent, after accounting for all adjustments",GiveDirectly!$A:$A,0))</f>
        <v>1.02045139</v>
      </c>
      <c r="AA186" s="631">
        <f t="array" ref="AA186">AA184/index(GiveDirectly!$B:$B,match("Units of value generated per philanthropic dollar spent, after accounting for all adjustments",GiveDirectly!$A:$A,0))</f>
        <v>3.123244635</v>
      </c>
      <c r="AB186" s="631">
        <f t="array" ref="AB186">AB184/index(GiveDirectly!$B:$B,match("Units of value generated per philanthropic dollar spent, after accounting for all adjustments",GiveDirectly!$A:$A,0))</f>
        <v>4.349563195</v>
      </c>
      <c r="AC186" s="631">
        <f t="array" ref="AC186">AC184/index(GiveDirectly!$B:$B,match("Units of value generated per philanthropic dollar spent, after accounting for all adjustments",GiveDirectly!$A:$A,0))</f>
        <v>2.564798957</v>
      </c>
      <c r="AD186" s="631">
        <f t="array" ref="AD186">AD184/index(GiveDirectly!$B:$B,match("Units of value generated per philanthropic dollar spent, after accounting for all adjustments",GiveDirectly!$A:$A,0))</f>
        <v>2.37092847</v>
      </c>
      <c r="AE186" s="631">
        <f t="array" ref="AE186">AE184/index(GiveDirectly!$B:$B,match("Units of value generated per philanthropic dollar spent, after accounting for all adjustments",GiveDirectly!$A:$A,0))</f>
        <v>1.112595044</v>
      </c>
      <c r="AF186" s="631">
        <f t="array" ref="AF186">AF184/index(GiveDirectly!$B:$B,match("Units of value generated per philanthropic dollar spent, after accounting for all adjustments",GiveDirectly!$A:$A,0))</f>
        <v>1.861654765</v>
      </c>
      <c r="AG186" s="631">
        <f t="array" ref="AG186">AG184/index(GiveDirectly!$B:$B,match("Units of value generated per philanthropic dollar spent, after accounting for all adjustments",GiveDirectly!$A:$A,0))</f>
        <v>2.251659172</v>
      </c>
      <c r="AH186" s="631">
        <f t="array" ref="AH186">AH184/index(GiveDirectly!$B:$B,match("Units of value generated per philanthropic dollar spent, after accounting for all adjustments",GiveDirectly!$A:$A,0))</f>
        <v>1.563527914</v>
      </c>
      <c r="AI186" s="631">
        <f t="array" ref="AI186">AI184/index(GiveDirectly!$B:$B,match("Units of value generated per philanthropic dollar spent, after accounting for all adjustments",GiveDirectly!$A:$A,0))</f>
        <v>15.11018771</v>
      </c>
      <c r="AJ186" s="631">
        <f t="array" ref="AJ186">AJ184/index(GiveDirectly!$B:$B,match("Units of value generated per philanthropic dollar spent, after accounting for all adjustments",GiveDirectly!$A:$A,0))</f>
        <v>4.932911662</v>
      </c>
      <c r="AK186" s="631">
        <f t="array" ref="AK186">AK184/index(GiveDirectly!$B:$B,match("Units of value generated per philanthropic dollar spent, after accounting for all adjustments",GiveDirectly!$A:$A,0))</f>
        <v>4.214996721</v>
      </c>
      <c r="AL186" s="631">
        <f t="array" ref="AL186">AL184/index(GiveDirectly!$B:$B,match("Units of value generated per philanthropic dollar spent, after accounting for all adjustments",GiveDirectly!$A:$A,0))</f>
        <v>12.68648453</v>
      </c>
    </row>
    <row r="187">
      <c r="A187" s="91"/>
      <c r="B187" s="623"/>
      <c r="C187" s="623"/>
      <c r="D187" s="623"/>
      <c r="E187" s="623"/>
      <c r="F187" s="623"/>
      <c r="G187" s="623"/>
      <c r="H187" s="623"/>
      <c r="I187" s="623"/>
      <c r="J187" s="623"/>
      <c r="K187" s="623"/>
      <c r="L187" s="623"/>
      <c r="M187" s="623"/>
      <c r="N187" s="623"/>
      <c r="O187" s="623"/>
      <c r="P187" s="623"/>
      <c r="Q187" s="623"/>
      <c r="R187" s="623"/>
      <c r="S187" s="623"/>
      <c r="T187" s="623"/>
      <c r="U187" s="623"/>
      <c r="V187" s="623"/>
      <c r="W187" s="623"/>
      <c r="X187" s="623"/>
      <c r="Y187" s="623"/>
      <c r="Z187" s="623"/>
      <c r="AA187" s="623"/>
      <c r="AB187" s="623"/>
      <c r="AC187" s="623"/>
      <c r="AD187" s="623"/>
      <c r="AE187" s="623"/>
      <c r="AF187" s="623"/>
      <c r="AG187" s="623"/>
      <c r="AH187" s="623"/>
      <c r="AI187" s="623"/>
      <c r="AJ187" s="623"/>
      <c r="AK187" s="623"/>
      <c r="AL187" s="623"/>
    </row>
    <row r="188">
      <c r="A188" s="91" t="s">
        <v>752</v>
      </c>
      <c r="B188" s="617">
        <f t="shared" ref="B188:AL188" si="79">B101/B183</f>
        <v>0.5014590033</v>
      </c>
      <c r="C188" s="617">
        <f t="shared" si="79"/>
        <v>0.6281003559</v>
      </c>
      <c r="D188" s="617">
        <f t="shared" si="79"/>
        <v>0.3969961912</v>
      </c>
      <c r="E188" s="617">
        <f t="shared" si="79"/>
        <v>0.446005137</v>
      </c>
      <c r="F188" s="617">
        <f t="shared" si="79"/>
        <v>0.6403076284</v>
      </c>
      <c r="G188" s="617">
        <f t="shared" si="79"/>
        <v>0.5186661467</v>
      </c>
      <c r="H188" s="617">
        <f t="shared" si="79"/>
        <v>0.4599633378</v>
      </c>
      <c r="I188" s="617">
        <f t="shared" si="79"/>
        <v>0.4578866074</v>
      </c>
      <c r="J188" s="617">
        <f t="shared" si="79"/>
        <v>0.3272216606</v>
      </c>
      <c r="K188" s="617">
        <f t="shared" si="79"/>
        <v>0.4872884376</v>
      </c>
      <c r="L188" s="617">
        <f t="shared" si="79"/>
        <v>0.164518273</v>
      </c>
      <c r="M188" s="617">
        <f t="shared" si="79"/>
        <v>0.4151839561</v>
      </c>
      <c r="N188" s="617">
        <f t="shared" si="79"/>
        <v>0.2999512344</v>
      </c>
      <c r="O188" s="617">
        <f t="shared" si="79"/>
        <v>0.1527123746</v>
      </c>
      <c r="P188" s="617">
        <f t="shared" si="79"/>
        <v>0.3572722319</v>
      </c>
      <c r="Q188" s="617">
        <f t="shared" si="79"/>
        <v>0.624987133</v>
      </c>
      <c r="R188" s="617">
        <f t="shared" si="79"/>
        <v>0.2693281165</v>
      </c>
      <c r="S188" s="617">
        <f t="shared" si="79"/>
        <v>0.6582960255</v>
      </c>
      <c r="T188" s="617">
        <f t="shared" si="79"/>
        <v>0.6371908984</v>
      </c>
      <c r="U188" s="617">
        <f t="shared" si="79"/>
        <v>0.6180299397</v>
      </c>
      <c r="V188" s="617">
        <f t="shared" si="79"/>
        <v>0.6124430718</v>
      </c>
      <c r="W188" s="617">
        <f t="shared" si="79"/>
        <v>0.6123223242</v>
      </c>
      <c r="X188" s="617">
        <f t="shared" si="79"/>
        <v>0.4422022319</v>
      </c>
      <c r="Y188" s="617">
        <f t="shared" si="79"/>
        <v>0.3784642895</v>
      </c>
      <c r="Z188" s="617">
        <f t="shared" si="79"/>
        <v>0.2320314025</v>
      </c>
      <c r="AA188" s="617">
        <f t="shared" si="79"/>
        <v>0.5083031952</v>
      </c>
      <c r="AB188" s="617">
        <f t="shared" si="79"/>
        <v>0.5039943963</v>
      </c>
      <c r="AC188" s="617">
        <f t="shared" si="79"/>
        <v>0.3943078586</v>
      </c>
      <c r="AD188" s="617">
        <f t="shared" si="79"/>
        <v>0.4456157233</v>
      </c>
      <c r="AE188" s="617">
        <f t="shared" si="79"/>
        <v>0.2306009817</v>
      </c>
      <c r="AF188" s="617">
        <f t="shared" si="79"/>
        <v>0.3585697922</v>
      </c>
      <c r="AG188" s="617">
        <f t="shared" si="79"/>
        <v>0.4245835408</v>
      </c>
      <c r="AH188" s="617">
        <f t="shared" si="79"/>
        <v>0.422680593</v>
      </c>
      <c r="AI188" s="617">
        <f t="shared" si="79"/>
        <v>0.6419597097</v>
      </c>
      <c r="AJ188" s="617">
        <f t="shared" si="79"/>
        <v>0.6182571753</v>
      </c>
      <c r="AK188" s="617">
        <f t="shared" si="79"/>
        <v>0.4919110402</v>
      </c>
      <c r="AL188" s="617">
        <f t="shared" si="79"/>
        <v>0.6589257476</v>
      </c>
    </row>
    <row r="189">
      <c r="A189" s="91" t="s">
        <v>753</v>
      </c>
      <c r="B189" s="617">
        <f t="shared" ref="B189:AL189" si="80">sum(B121,B137,B153)/B183</f>
        <v>0.1114779846</v>
      </c>
      <c r="C189" s="617">
        <f t="shared" si="80"/>
        <v>0.1768939977</v>
      </c>
      <c r="D189" s="617">
        <f t="shared" si="80"/>
        <v>0.1532069632</v>
      </c>
      <c r="E189" s="617">
        <f t="shared" si="80"/>
        <v>0.1559159839</v>
      </c>
      <c r="F189" s="617">
        <f t="shared" si="80"/>
        <v>0.2543019609</v>
      </c>
      <c r="G189" s="617">
        <f t="shared" si="80"/>
        <v>0.1628906686</v>
      </c>
      <c r="H189" s="617">
        <f t="shared" si="80"/>
        <v>0.2217840518</v>
      </c>
      <c r="I189" s="617">
        <f t="shared" si="80"/>
        <v>0.2868623702</v>
      </c>
      <c r="J189" s="617">
        <f t="shared" si="80"/>
        <v>0.1442500567</v>
      </c>
      <c r="K189" s="617">
        <f t="shared" si="80"/>
        <v>0.1559660848</v>
      </c>
      <c r="L189" s="617">
        <f t="shared" si="80"/>
        <v>0.05175438458</v>
      </c>
      <c r="M189" s="617">
        <f t="shared" si="80"/>
        <v>0.1113280542</v>
      </c>
      <c r="N189" s="617">
        <f t="shared" si="80"/>
        <v>0.08543522156</v>
      </c>
      <c r="O189" s="617">
        <f t="shared" si="80"/>
        <v>0.07893909229</v>
      </c>
      <c r="P189" s="617">
        <f t="shared" si="80"/>
        <v>0.1049386855</v>
      </c>
      <c r="Q189" s="617">
        <f t="shared" si="80"/>
        <v>0.2154412741</v>
      </c>
      <c r="R189" s="617">
        <f t="shared" si="80"/>
        <v>0.1067427043</v>
      </c>
      <c r="S189" s="617">
        <f t="shared" si="80"/>
        <v>0.2443793897</v>
      </c>
      <c r="T189" s="617">
        <f t="shared" si="80"/>
        <v>0.1705248429</v>
      </c>
      <c r="U189" s="617">
        <f t="shared" si="80"/>
        <v>0.2230600714</v>
      </c>
      <c r="V189" s="617">
        <f t="shared" si="80"/>
        <v>0.2657062069</v>
      </c>
      <c r="W189" s="617">
        <f t="shared" si="80"/>
        <v>0.2713840967</v>
      </c>
      <c r="X189" s="617">
        <f t="shared" si="80"/>
        <v>0.1635414352</v>
      </c>
      <c r="Y189" s="617">
        <f t="shared" si="80"/>
        <v>0.2299551152</v>
      </c>
      <c r="Z189" s="617">
        <f t="shared" si="80"/>
        <v>0.09794723478</v>
      </c>
      <c r="AA189" s="617">
        <f t="shared" si="80"/>
        <v>0.2095797874</v>
      </c>
      <c r="AB189" s="617">
        <f t="shared" si="80"/>
        <v>0.2710459193</v>
      </c>
      <c r="AC189" s="617">
        <f t="shared" si="80"/>
        <v>0.2414346937</v>
      </c>
      <c r="AD189" s="617">
        <f t="shared" si="80"/>
        <v>0.1882673985</v>
      </c>
      <c r="AE189" s="617">
        <f t="shared" si="80"/>
        <v>0.127266251</v>
      </c>
      <c r="AF189" s="617">
        <f t="shared" si="80"/>
        <v>0.1736460322</v>
      </c>
      <c r="AG189" s="617">
        <f t="shared" si="80"/>
        <v>0.2163038137</v>
      </c>
      <c r="AH189" s="617">
        <f t="shared" si="80"/>
        <v>0.12138305</v>
      </c>
      <c r="AI189" s="617">
        <f t="shared" si="80"/>
        <v>0.2788408204</v>
      </c>
      <c r="AJ189" s="617">
        <f t="shared" si="80"/>
        <v>0.2011275659</v>
      </c>
      <c r="AK189" s="617">
        <f t="shared" si="80"/>
        <v>0.3061143599</v>
      </c>
      <c r="AL189" s="617">
        <f t="shared" si="80"/>
        <v>0.2572445707</v>
      </c>
    </row>
    <row r="190">
      <c r="A190" s="91" t="s">
        <v>187</v>
      </c>
      <c r="B190" s="617">
        <f t="shared" ref="B190:AL190" si="81">B161/B183</f>
        <v>0.1191398479</v>
      </c>
      <c r="C190" s="617">
        <f t="shared" si="81"/>
        <v>0.09848993247</v>
      </c>
      <c r="D190" s="617">
        <f t="shared" si="81"/>
        <v>0.1661457701</v>
      </c>
      <c r="E190" s="617">
        <f t="shared" si="81"/>
        <v>0.1660286606</v>
      </c>
      <c r="F190" s="617">
        <f t="shared" si="81"/>
        <v>0.07417422348</v>
      </c>
      <c r="G190" s="617">
        <f t="shared" si="81"/>
        <v>0.1451303248</v>
      </c>
      <c r="H190" s="617">
        <f t="shared" si="81"/>
        <v>0.1453997184</v>
      </c>
      <c r="I190" s="617">
        <f t="shared" si="81"/>
        <v>0.1742309197</v>
      </c>
      <c r="J190" s="617">
        <f t="shared" si="81"/>
        <v>0.1226311775</v>
      </c>
      <c r="K190" s="617">
        <f t="shared" si="81"/>
        <v>0.1553832019</v>
      </c>
      <c r="L190" s="617">
        <f t="shared" si="81"/>
        <v>0.04019761057</v>
      </c>
      <c r="M190" s="617">
        <f t="shared" si="81"/>
        <v>0.130885562</v>
      </c>
      <c r="N190" s="617">
        <f t="shared" si="81"/>
        <v>0.1034730916</v>
      </c>
      <c r="O190" s="617">
        <f t="shared" si="81"/>
        <v>0.08769983161</v>
      </c>
      <c r="P190" s="617">
        <f t="shared" si="81"/>
        <v>0.1187051686</v>
      </c>
      <c r="Q190" s="617">
        <f t="shared" si="81"/>
        <v>0.09861619386</v>
      </c>
      <c r="R190" s="617">
        <f t="shared" si="81"/>
        <v>0.1279145718</v>
      </c>
      <c r="S190" s="617">
        <f t="shared" si="81"/>
        <v>0.06386952025</v>
      </c>
      <c r="T190" s="617">
        <f t="shared" si="81"/>
        <v>0.1150819271</v>
      </c>
      <c r="U190" s="617">
        <f t="shared" si="81"/>
        <v>0.1075912502</v>
      </c>
      <c r="V190" s="617">
        <f t="shared" si="81"/>
        <v>0.08651200937</v>
      </c>
      <c r="W190" s="617">
        <f t="shared" si="81"/>
        <v>0.08389701517</v>
      </c>
      <c r="X190" s="617">
        <f t="shared" si="81"/>
        <v>0.1639791565</v>
      </c>
      <c r="Y190" s="617">
        <f t="shared" si="81"/>
        <v>0.2250978301</v>
      </c>
      <c r="Z190" s="617">
        <f t="shared" si="81"/>
        <v>0.1562758361</v>
      </c>
      <c r="AA190" s="617">
        <f t="shared" si="81"/>
        <v>0.1517441007</v>
      </c>
      <c r="AB190" s="617">
        <f t="shared" si="81"/>
        <v>0.1446183755</v>
      </c>
      <c r="AC190" s="617">
        <f t="shared" si="81"/>
        <v>0.2177821271</v>
      </c>
      <c r="AD190" s="617">
        <f t="shared" si="81"/>
        <v>0.1911028677</v>
      </c>
      <c r="AE190" s="617">
        <f t="shared" si="81"/>
        <v>0.1873041484</v>
      </c>
      <c r="AF190" s="617">
        <f t="shared" si="81"/>
        <v>0.2457903604</v>
      </c>
      <c r="AG190" s="617">
        <f t="shared" si="81"/>
        <v>0.1591733297</v>
      </c>
      <c r="AH190" s="617">
        <f t="shared" si="81"/>
        <v>0.1316902099</v>
      </c>
      <c r="AI190" s="617">
        <f t="shared" si="81"/>
        <v>0.06463837348</v>
      </c>
      <c r="AJ190" s="617">
        <f t="shared" si="81"/>
        <v>0.0992532304</v>
      </c>
      <c r="AK190" s="617">
        <f t="shared" si="81"/>
        <v>0.1011777659</v>
      </c>
      <c r="AL190" s="617">
        <f t="shared" si="81"/>
        <v>0.06025940204</v>
      </c>
    </row>
    <row r="191">
      <c r="A191" s="91" t="s">
        <v>754</v>
      </c>
      <c r="B191" s="617">
        <f t="shared" ref="B191:AL191" si="82">B179/B183</f>
        <v>0.2679231643</v>
      </c>
      <c r="C191" s="617">
        <f t="shared" si="82"/>
        <v>0.09651571385</v>
      </c>
      <c r="D191" s="617">
        <f t="shared" si="82"/>
        <v>0.2836510755</v>
      </c>
      <c r="E191" s="617">
        <f t="shared" si="82"/>
        <v>0.2320502184</v>
      </c>
      <c r="F191" s="617">
        <f t="shared" si="82"/>
        <v>0.03121618732</v>
      </c>
      <c r="G191" s="617">
        <f t="shared" si="82"/>
        <v>0.1733128599</v>
      </c>
      <c r="H191" s="617">
        <f t="shared" si="82"/>
        <v>0.172852892</v>
      </c>
      <c r="I191" s="617">
        <f t="shared" si="82"/>
        <v>0.08102010271</v>
      </c>
      <c r="J191" s="617">
        <f t="shared" si="82"/>
        <v>0.4058971051</v>
      </c>
      <c r="K191" s="617">
        <f t="shared" si="82"/>
        <v>0.2013622757</v>
      </c>
      <c r="L191" s="617">
        <f t="shared" si="82"/>
        <v>0.7435297319</v>
      </c>
      <c r="M191" s="617">
        <f t="shared" si="82"/>
        <v>0.3426024276</v>
      </c>
      <c r="N191" s="617">
        <f t="shared" si="82"/>
        <v>0.5111404525</v>
      </c>
      <c r="O191" s="617">
        <f t="shared" si="82"/>
        <v>0.6806487015</v>
      </c>
      <c r="P191" s="617">
        <f t="shared" si="82"/>
        <v>0.419083914</v>
      </c>
      <c r="Q191" s="617">
        <f t="shared" si="82"/>
        <v>0.06095539904</v>
      </c>
      <c r="R191" s="617">
        <f t="shared" si="82"/>
        <v>0.4960146074</v>
      </c>
      <c r="S191" s="617">
        <f t="shared" si="82"/>
        <v>0.03345506463</v>
      </c>
      <c r="T191" s="617">
        <f t="shared" si="82"/>
        <v>0.07720233164</v>
      </c>
      <c r="U191" s="617">
        <f t="shared" si="82"/>
        <v>0.05131873861</v>
      </c>
      <c r="V191" s="617">
        <f t="shared" si="82"/>
        <v>0.03533871188</v>
      </c>
      <c r="W191" s="617">
        <f t="shared" si="82"/>
        <v>0.03239656388</v>
      </c>
      <c r="X191" s="617">
        <f t="shared" si="82"/>
        <v>0.2302771763</v>
      </c>
      <c r="Y191" s="617">
        <f t="shared" si="82"/>
        <v>0.1664827652</v>
      </c>
      <c r="Z191" s="617">
        <f t="shared" si="82"/>
        <v>0.5137455266</v>
      </c>
      <c r="AA191" s="617">
        <f t="shared" si="82"/>
        <v>0.1303729168</v>
      </c>
      <c r="AB191" s="617">
        <f t="shared" si="82"/>
        <v>0.08034130888</v>
      </c>
      <c r="AC191" s="617">
        <f t="shared" si="82"/>
        <v>0.1464753206</v>
      </c>
      <c r="AD191" s="617">
        <f t="shared" si="82"/>
        <v>0.1750140106</v>
      </c>
      <c r="AE191" s="617">
        <f t="shared" si="82"/>
        <v>0.454828619</v>
      </c>
      <c r="AF191" s="617">
        <f t="shared" si="82"/>
        <v>0.2219938152</v>
      </c>
      <c r="AG191" s="617">
        <f t="shared" si="82"/>
        <v>0.1999393158</v>
      </c>
      <c r="AH191" s="617">
        <f t="shared" si="82"/>
        <v>0.324246147</v>
      </c>
      <c r="AI191" s="617">
        <f t="shared" si="82"/>
        <v>0.01456109645</v>
      </c>
      <c r="AJ191" s="617">
        <f t="shared" si="82"/>
        <v>0.08136202841</v>
      </c>
      <c r="AK191" s="617">
        <f t="shared" si="82"/>
        <v>0.100796834</v>
      </c>
      <c r="AL191" s="617">
        <f t="shared" si="82"/>
        <v>0.02357027967</v>
      </c>
    </row>
    <row r="192">
      <c r="A192" s="91"/>
      <c r="B192" s="623"/>
      <c r="C192" s="623"/>
      <c r="D192" s="623"/>
      <c r="E192" s="623"/>
      <c r="F192" s="623"/>
      <c r="G192" s="623"/>
      <c r="H192" s="623"/>
      <c r="I192" s="623"/>
      <c r="J192" s="623"/>
      <c r="K192" s="623"/>
      <c r="L192" s="623"/>
      <c r="M192" s="623"/>
      <c r="N192" s="623"/>
      <c r="O192" s="623"/>
      <c r="P192" s="623"/>
      <c r="Q192" s="623"/>
      <c r="R192" s="623"/>
      <c r="S192" s="623"/>
      <c r="T192" s="623"/>
      <c r="U192" s="623"/>
      <c r="V192" s="623"/>
      <c r="W192" s="623"/>
      <c r="X192" s="623"/>
      <c r="Y192" s="623"/>
      <c r="Z192" s="623"/>
      <c r="AA192" s="623"/>
      <c r="AB192" s="623"/>
      <c r="AC192" s="623"/>
      <c r="AD192" s="623"/>
      <c r="AE192" s="623"/>
      <c r="AF192" s="623"/>
      <c r="AG192" s="623"/>
      <c r="AH192" s="623"/>
      <c r="AI192" s="623"/>
      <c r="AJ192" s="623"/>
      <c r="AK192" s="623"/>
      <c r="AL192" s="623"/>
    </row>
    <row r="193">
      <c r="A193" s="160" t="s">
        <v>755</v>
      </c>
      <c r="B193" s="208"/>
      <c r="C193" s="208"/>
      <c r="D193" s="208"/>
      <c r="E193" s="208"/>
      <c r="F193" s="208"/>
      <c r="G193" s="26"/>
      <c r="H193" s="26"/>
      <c r="I193" s="26"/>
      <c r="J193" s="26"/>
      <c r="K193" s="26"/>
      <c r="L193" s="26"/>
      <c r="M193" s="26"/>
      <c r="N193" s="26"/>
      <c r="O193" s="26"/>
      <c r="P193" s="26"/>
      <c r="Q193" s="208"/>
      <c r="R193" s="208"/>
      <c r="S193" s="208"/>
      <c r="T193" s="26"/>
      <c r="U193" s="208"/>
      <c r="V193" s="208"/>
      <c r="W193" s="26"/>
      <c r="X193" s="26"/>
      <c r="Y193" s="208"/>
      <c r="Z193" s="208"/>
      <c r="AA193" s="26"/>
      <c r="AB193" s="26"/>
      <c r="AC193" s="26"/>
      <c r="AD193" s="26"/>
      <c r="AE193" s="26"/>
      <c r="AF193" s="26"/>
      <c r="AG193" s="26"/>
      <c r="AH193" s="26"/>
      <c r="AI193" s="208"/>
      <c r="AJ193" s="208"/>
      <c r="AK193" s="208"/>
      <c r="AL193" s="208"/>
    </row>
    <row r="194">
      <c r="A194" s="209"/>
      <c r="G194" s="151"/>
      <c r="H194" s="151"/>
      <c r="I194" s="151"/>
      <c r="J194" s="151"/>
      <c r="K194" s="151"/>
      <c r="L194" s="151"/>
      <c r="M194" s="151"/>
      <c r="N194" s="151"/>
      <c r="O194" s="151"/>
      <c r="P194" s="151"/>
      <c r="T194" s="151"/>
      <c r="W194" s="151"/>
      <c r="X194" s="151"/>
      <c r="AA194" s="151"/>
      <c r="AB194" s="151"/>
      <c r="AC194" s="151"/>
      <c r="AD194" s="151"/>
      <c r="AE194" s="151"/>
      <c r="AF194" s="151"/>
      <c r="AG194" s="151"/>
      <c r="AH194" s="151"/>
    </row>
    <row r="195">
      <c r="A195" s="178" t="s">
        <v>189</v>
      </c>
      <c r="B195" s="210"/>
      <c r="C195" s="210"/>
      <c r="D195" s="210"/>
      <c r="E195" s="210"/>
      <c r="F195" s="210"/>
      <c r="G195" s="172"/>
      <c r="H195" s="172"/>
      <c r="I195" s="172"/>
      <c r="J195" s="172"/>
      <c r="K195" s="172"/>
      <c r="L195" s="172"/>
      <c r="M195" s="172"/>
      <c r="N195" s="172"/>
      <c r="O195" s="172"/>
      <c r="P195" s="172"/>
      <c r="Q195" s="210"/>
      <c r="R195" s="210"/>
      <c r="S195" s="210"/>
      <c r="T195" s="172"/>
      <c r="U195" s="210"/>
      <c r="V195" s="210"/>
      <c r="W195" s="172"/>
      <c r="X195" s="172"/>
      <c r="Y195" s="210"/>
      <c r="Z195" s="210"/>
      <c r="AA195" s="172"/>
      <c r="AB195" s="172"/>
      <c r="AC195" s="172"/>
      <c r="AD195" s="172"/>
      <c r="AE195" s="172"/>
      <c r="AF195" s="172"/>
      <c r="AG195" s="172"/>
      <c r="AH195" s="172"/>
      <c r="AI195" s="210"/>
      <c r="AJ195" s="210"/>
      <c r="AK195" s="210"/>
      <c r="AL195" s="210"/>
    </row>
    <row r="196">
      <c r="A196" s="176" t="s">
        <v>190</v>
      </c>
      <c r="B196" s="632">
        <v>0.0</v>
      </c>
      <c r="C196" s="632">
        <v>0.0</v>
      </c>
      <c r="D196" s="632">
        <v>0.0</v>
      </c>
      <c r="E196" s="632">
        <v>0.0</v>
      </c>
      <c r="F196" s="632">
        <v>0.0</v>
      </c>
      <c r="G196" s="632">
        <v>0.0</v>
      </c>
      <c r="H196" s="632">
        <v>0.0</v>
      </c>
      <c r="I196" s="632">
        <v>0.0</v>
      </c>
      <c r="J196" s="632">
        <v>0.0</v>
      </c>
      <c r="K196" s="632">
        <v>0.0</v>
      </c>
      <c r="L196" s="632">
        <v>0.0</v>
      </c>
      <c r="M196" s="632">
        <v>0.0</v>
      </c>
      <c r="N196" s="632">
        <v>0.0</v>
      </c>
      <c r="O196" s="632">
        <v>0.0</v>
      </c>
      <c r="P196" s="632">
        <v>0.0</v>
      </c>
      <c r="Q196" s="632">
        <v>0.0</v>
      </c>
      <c r="R196" s="632">
        <v>0.0</v>
      </c>
      <c r="S196" s="632">
        <v>0.0</v>
      </c>
      <c r="T196" s="632">
        <v>0.0</v>
      </c>
      <c r="U196" s="632">
        <v>0.0</v>
      </c>
      <c r="V196" s="632">
        <v>0.0</v>
      </c>
      <c r="W196" s="632">
        <v>0.0</v>
      </c>
      <c r="X196" s="632">
        <v>0.0</v>
      </c>
      <c r="Y196" s="632">
        <v>0.0</v>
      </c>
      <c r="Z196" s="632">
        <v>0.0</v>
      </c>
      <c r="AA196" s="632">
        <v>0.0</v>
      </c>
      <c r="AB196" s="632">
        <v>0.0</v>
      </c>
      <c r="AC196" s="632">
        <v>0.0</v>
      </c>
      <c r="AD196" s="632">
        <v>0.0</v>
      </c>
      <c r="AE196" s="632">
        <v>0.0</v>
      </c>
      <c r="AF196" s="632">
        <v>0.0</v>
      </c>
      <c r="AG196" s="632">
        <v>0.0</v>
      </c>
      <c r="AH196" s="632">
        <v>0.0</v>
      </c>
      <c r="AI196" s="632">
        <v>0.0</v>
      </c>
      <c r="AJ196" s="632">
        <v>0.0</v>
      </c>
      <c r="AK196" s="632">
        <v>0.0</v>
      </c>
      <c r="AL196" s="632">
        <v>0.0</v>
      </c>
    </row>
    <row r="197">
      <c r="A197" s="176" t="s">
        <v>191</v>
      </c>
      <c r="B197" s="632">
        <v>0.0</v>
      </c>
      <c r="C197" s="632">
        <v>0.0</v>
      </c>
      <c r="D197" s="632">
        <v>0.0</v>
      </c>
      <c r="E197" s="632">
        <v>0.0</v>
      </c>
      <c r="F197" s="632">
        <v>0.0</v>
      </c>
      <c r="G197" s="632">
        <v>0.0</v>
      </c>
      <c r="H197" s="632">
        <v>0.0</v>
      </c>
      <c r="I197" s="632">
        <v>0.0</v>
      </c>
      <c r="J197" s="632">
        <v>0.0</v>
      </c>
      <c r="K197" s="632">
        <v>0.0</v>
      </c>
      <c r="L197" s="632">
        <v>0.0</v>
      </c>
      <c r="M197" s="632">
        <v>0.0</v>
      </c>
      <c r="N197" s="632">
        <v>0.0</v>
      </c>
      <c r="O197" s="632">
        <v>0.0</v>
      </c>
      <c r="P197" s="632">
        <v>0.0</v>
      </c>
      <c r="Q197" s="632">
        <v>0.0</v>
      </c>
      <c r="R197" s="632">
        <v>0.0</v>
      </c>
      <c r="S197" s="632">
        <v>0.0</v>
      </c>
      <c r="T197" s="632">
        <v>0.0</v>
      </c>
      <c r="U197" s="632">
        <v>0.0</v>
      </c>
      <c r="V197" s="632">
        <v>0.0</v>
      </c>
      <c r="W197" s="632">
        <v>0.0</v>
      </c>
      <c r="X197" s="632">
        <v>0.0</v>
      </c>
      <c r="Y197" s="632">
        <v>0.0</v>
      </c>
      <c r="Z197" s="632">
        <v>0.0</v>
      </c>
      <c r="AA197" s="632">
        <v>0.0</v>
      </c>
      <c r="AB197" s="632">
        <v>0.0</v>
      </c>
      <c r="AC197" s="632">
        <v>0.0</v>
      </c>
      <c r="AD197" s="632">
        <v>0.0</v>
      </c>
      <c r="AE197" s="632">
        <v>0.0</v>
      </c>
      <c r="AF197" s="632">
        <v>0.0</v>
      </c>
      <c r="AG197" s="632">
        <v>0.0</v>
      </c>
      <c r="AH197" s="632">
        <v>0.0</v>
      </c>
      <c r="AI197" s="632">
        <v>0.0</v>
      </c>
      <c r="AJ197" s="632">
        <v>0.0</v>
      </c>
      <c r="AK197" s="632">
        <v>0.0</v>
      </c>
      <c r="AL197" s="632">
        <v>0.0</v>
      </c>
    </row>
    <row r="198">
      <c r="A198" s="176" t="s">
        <v>192</v>
      </c>
      <c r="B198" s="632">
        <v>0.0</v>
      </c>
      <c r="C198" s="632">
        <v>0.0</v>
      </c>
      <c r="D198" s="632">
        <v>0.0</v>
      </c>
      <c r="E198" s="632">
        <v>0.0</v>
      </c>
      <c r="F198" s="632">
        <v>0.0</v>
      </c>
      <c r="G198" s="632">
        <v>0.0</v>
      </c>
      <c r="H198" s="632">
        <v>0.0</v>
      </c>
      <c r="I198" s="632">
        <v>0.0</v>
      </c>
      <c r="J198" s="632">
        <v>0.0</v>
      </c>
      <c r="K198" s="632">
        <v>0.0</v>
      </c>
      <c r="L198" s="632">
        <v>0.0</v>
      </c>
      <c r="M198" s="632">
        <v>0.0</v>
      </c>
      <c r="N198" s="632">
        <v>0.0</v>
      </c>
      <c r="O198" s="632">
        <v>0.0</v>
      </c>
      <c r="P198" s="632">
        <v>0.0</v>
      </c>
      <c r="Q198" s="632">
        <v>0.0</v>
      </c>
      <c r="R198" s="632">
        <v>0.0</v>
      </c>
      <c r="S198" s="632">
        <v>0.0</v>
      </c>
      <c r="T198" s="632">
        <v>0.0</v>
      </c>
      <c r="U198" s="632">
        <v>0.0</v>
      </c>
      <c r="V198" s="632">
        <v>0.0</v>
      </c>
      <c r="W198" s="632">
        <v>0.0</v>
      </c>
      <c r="X198" s="632">
        <v>0.0</v>
      </c>
      <c r="Y198" s="632">
        <v>0.0</v>
      </c>
      <c r="Z198" s="632">
        <v>0.0</v>
      </c>
      <c r="AA198" s="632">
        <v>0.0</v>
      </c>
      <c r="AB198" s="632">
        <v>0.0</v>
      </c>
      <c r="AC198" s="632">
        <v>0.0</v>
      </c>
      <c r="AD198" s="632">
        <v>0.0</v>
      </c>
      <c r="AE198" s="632">
        <v>0.0</v>
      </c>
      <c r="AF198" s="632">
        <v>0.0</v>
      </c>
      <c r="AG198" s="632">
        <v>0.0</v>
      </c>
      <c r="AH198" s="632">
        <v>0.0</v>
      </c>
      <c r="AI198" s="632">
        <v>0.0</v>
      </c>
      <c r="AJ198" s="632">
        <v>0.0</v>
      </c>
      <c r="AK198" s="632">
        <v>0.0</v>
      </c>
      <c r="AL198" s="632">
        <v>0.0</v>
      </c>
    </row>
    <row r="199" outlineLevel="1">
      <c r="A199" s="215" t="s">
        <v>193</v>
      </c>
      <c r="B199" s="633">
        <f t="shared" ref="B199:AL199" si="83">SUM(B196:B198)</f>
        <v>0</v>
      </c>
      <c r="C199" s="633">
        <f t="shared" si="83"/>
        <v>0</v>
      </c>
      <c r="D199" s="633">
        <f t="shared" si="83"/>
        <v>0</v>
      </c>
      <c r="E199" s="633">
        <f t="shared" si="83"/>
        <v>0</v>
      </c>
      <c r="F199" s="633">
        <f t="shared" si="83"/>
        <v>0</v>
      </c>
      <c r="G199" s="633">
        <f t="shared" si="83"/>
        <v>0</v>
      </c>
      <c r="H199" s="633">
        <f t="shared" si="83"/>
        <v>0</v>
      </c>
      <c r="I199" s="633">
        <f t="shared" si="83"/>
        <v>0</v>
      </c>
      <c r="J199" s="633">
        <f t="shared" si="83"/>
        <v>0</v>
      </c>
      <c r="K199" s="633">
        <f t="shared" si="83"/>
        <v>0</v>
      </c>
      <c r="L199" s="633">
        <f t="shared" si="83"/>
        <v>0</v>
      </c>
      <c r="M199" s="633">
        <f t="shared" si="83"/>
        <v>0</v>
      </c>
      <c r="N199" s="633">
        <f t="shared" si="83"/>
        <v>0</v>
      </c>
      <c r="O199" s="633">
        <f t="shared" si="83"/>
        <v>0</v>
      </c>
      <c r="P199" s="633">
        <f t="shared" si="83"/>
        <v>0</v>
      </c>
      <c r="Q199" s="633">
        <f t="shared" si="83"/>
        <v>0</v>
      </c>
      <c r="R199" s="633">
        <f t="shared" si="83"/>
        <v>0</v>
      </c>
      <c r="S199" s="633">
        <f t="shared" si="83"/>
        <v>0</v>
      </c>
      <c r="T199" s="633">
        <f t="shared" si="83"/>
        <v>0</v>
      </c>
      <c r="U199" s="633">
        <f t="shared" si="83"/>
        <v>0</v>
      </c>
      <c r="V199" s="633">
        <f t="shared" si="83"/>
        <v>0</v>
      </c>
      <c r="W199" s="633">
        <f t="shared" si="83"/>
        <v>0</v>
      </c>
      <c r="X199" s="633">
        <f t="shared" si="83"/>
        <v>0</v>
      </c>
      <c r="Y199" s="633">
        <f t="shared" si="83"/>
        <v>0</v>
      </c>
      <c r="Z199" s="633">
        <f t="shared" si="83"/>
        <v>0</v>
      </c>
      <c r="AA199" s="633">
        <f t="shared" si="83"/>
        <v>0</v>
      </c>
      <c r="AB199" s="633">
        <f t="shared" si="83"/>
        <v>0</v>
      </c>
      <c r="AC199" s="633">
        <f t="shared" si="83"/>
        <v>0</v>
      </c>
      <c r="AD199" s="633">
        <f t="shared" si="83"/>
        <v>0</v>
      </c>
      <c r="AE199" s="633">
        <f t="shared" si="83"/>
        <v>0</v>
      </c>
      <c r="AF199" s="633">
        <f t="shared" si="83"/>
        <v>0</v>
      </c>
      <c r="AG199" s="633">
        <f t="shared" si="83"/>
        <v>0</v>
      </c>
      <c r="AH199" s="633">
        <f t="shared" si="83"/>
        <v>0</v>
      </c>
      <c r="AI199" s="633">
        <f t="shared" si="83"/>
        <v>0</v>
      </c>
      <c r="AJ199" s="633">
        <f t="shared" si="83"/>
        <v>0</v>
      </c>
      <c r="AK199" s="633">
        <f t="shared" si="83"/>
        <v>0</v>
      </c>
      <c r="AL199" s="633">
        <f t="shared" si="83"/>
        <v>0</v>
      </c>
    </row>
    <row r="200" outlineLevel="1">
      <c r="A200" s="176"/>
      <c r="B200" s="210"/>
      <c r="C200" s="210"/>
      <c r="D200" s="210"/>
      <c r="E200" s="210"/>
      <c r="F200" s="210"/>
      <c r="G200" s="210"/>
      <c r="H200" s="210"/>
      <c r="I200" s="210"/>
      <c r="J200" s="210"/>
      <c r="K200" s="210"/>
      <c r="L200" s="210"/>
      <c r="M200" s="210"/>
      <c r="N200" s="210"/>
      <c r="O200" s="210"/>
      <c r="P200" s="210"/>
      <c r="Q200" s="210"/>
      <c r="R200" s="210"/>
      <c r="S200" s="210"/>
      <c r="T200" s="210"/>
      <c r="U200" s="210"/>
      <c r="V200" s="210"/>
      <c r="W200" s="210"/>
      <c r="X200" s="210"/>
      <c r="Y200" s="210"/>
      <c r="Z200" s="210"/>
      <c r="AA200" s="210"/>
      <c r="AB200" s="210"/>
      <c r="AC200" s="210"/>
      <c r="AD200" s="210"/>
      <c r="AE200" s="210"/>
      <c r="AF200" s="210"/>
      <c r="AG200" s="210"/>
      <c r="AH200" s="210"/>
      <c r="AI200" s="210"/>
      <c r="AJ200" s="210"/>
      <c r="AK200" s="210"/>
      <c r="AL200" s="210"/>
    </row>
    <row r="201" outlineLevel="1">
      <c r="A201" s="178" t="s">
        <v>194</v>
      </c>
      <c r="B201" s="634"/>
      <c r="C201" s="634"/>
      <c r="D201" s="634"/>
      <c r="E201" s="634"/>
      <c r="F201" s="634"/>
      <c r="G201" s="634"/>
      <c r="H201" s="634"/>
      <c r="I201" s="634"/>
      <c r="J201" s="634"/>
      <c r="K201" s="634"/>
      <c r="L201" s="634"/>
      <c r="M201" s="634"/>
      <c r="N201" s="634"/>
      <c r="O201" s="634"/>
      <c r="P201" s="634"/>
      <c r="Q201" s="634"/>
      <c r="R201" s="634"/>
      <c r="S201" s="634"/>
      <c r="T201" s="634"/>
      <c r="U201" s="634"/>
      <c r="V201" s="634"/>
      <c r="W201" s="634"/>
      <c r="X201" s="634"/>
      <c r="Y201" s="634"/>
      <c r="Z201" s="634"/>
      <c r="AA201" s="634"/>
      <c r="AB201" s="634"/>
      <c r="AC201" s="634"/>
      <c r="AD201" s="634"/>
      <c r="AE201" s="634"/>
      <c r="AF201" s="634"/>
      <c r="AG201" s="634"/>
      <c r="AH201" s="634"/>
      <c r="AI201" s="634"/>
      <c r="AJ201" s="634"/>
      <c r="AK201" s="634"/>
      <c r="AL201" s="634"/>
    </row>
    <row r="202" outlineLevel="1">
      <c r="A202" s="176" t="s">
        <v>195</v>
      </c>
      <c r="B202" s="632">
        <v>0.0</v>
      </c>
      <c r="C202" s="632">
        <v>0.0</v>
      </c>
      <c r="D202" s="632">
        <v>0.0</v>
      </c>
      <c r="E202" s="632">
        <v>0.0</v>
      </c>
      <c r="F202" s="632">
        <v>0.0</v>
      </c>
      <c r="G202" s="632">
        <v>0.0</v>
      </c>
      <c r="H202" s="632">
        <v>0.0</v>
      </c>
      <c r="I202" s="632">
        <v>0.0</v>
      </c>
      <c r="J202" s="632">
        <v>0.0</v>
      </c>
      <c r="K202" s="632">
        <v>0.0</v>
      </c>
      <c r="L202" s="632">
        <v>0.0</v>
      </c>
      <c r="M202" s="632">
        <v>0.0</v>
      </c>
      <c r="N202" s="632">
        <v>0.0</v>
      </c>
      <c r="O202" s="632">
        <v>0.0</v>
      </c>
      <c r="P202" s="632">
        <v>0.0</v>
      </c>
      <c r="Q202" s="632">
        <v>0.0</v>
      </c>
      <c r="R202" s="632">
        <v>0.0</v>
      </c>
      <c r="S202" s="632">
        <v>0.0</v>
      </c>
      <c r="T202" s="632">
        <v>0.0</v>
      </c>
      <c r="U202" s="632">
        <v>0.0</v>
      </c>
      <c r="V202" s="632">
        <v>0.0</v>
      </c>
      <c r="W202" s="632">
        <v>0.0</v>
      </c>
      <c r="X202" s="632">
        <v>0.0</v>
      </c>
      <c r="Y202" s="632">
        <v>0.0</v>
      </c>
      <c r="Z202" s="632">
        <v>0.0</v>
      </c>
      <c r="AA202" s="632">
        <v>0.0</v>
      </c>
      <c r="AB202" s="632">
        <v>0.0</v>
      </c>
      <c r="AC202" s="632">
        <v>0.0</v>
      </c>
      <c r="AD202" s="632">
        <v>0.0</v>
      </c>
      <c r="AE202" s="632">
        <v>0.0</v>
      </c>
      <c r="AF202" s="632">
        <v>0.0</v>
      </c>
      <c r="AG202" s="632">
        <v>0.0</v>
      </c>
      <c r="AH202" s="632">
        <v>0.0</v>
      </c>
      <c r="AI202" s="632">
        <v>0.0</v>
      </c>
      <c r="AJ202" s="632">
        <v>0.0</v>
      </c>
      <c r="AK202" s="632">
        <v>0.0</v>
      </c>
      <c r="AL202" s="632">
        <v>0.0</v>
      </c>
    </row>
    <row r="203" outlineLevel="1">
      <c r="A203" s="176" t="s">
        <v>196</v>
      </c>
      <c r="B203" s="632">
        <v>0.02</v>
      </c>
      <c r="C203" s="632">
        <v>0.02</v>
      </c>
      <c r="D203" s="632">
        <v>0.02</v>
      </c>
      <c r="E203" s="632">
        <v>0.02</v>
      </c>
      <c r="F203" s="632">
        <v>0.02</v>
      </c>
      <c r="G203" s="632">
        <v>0.02</v>
      </c>
      <c r="H203" s="632">
        <v>0.02</v>
      </c>
      <c r="I203" s="632">
        <v>0.02</v>
      </c>
      <c r="J203" s="632">
        <v>0.02</v>
      </c>
      <c r="K203" s="632">
        <v>0.02</v>
      </c>
      <c r="L203" s="632">
        <v>0.02</v>
      </c>
      <c r="M203" s="632">
        <v>0.02</v>
      </c>
      <c r="N203" s="632">
        <v>0.02</v>
      </c>
      <c r="O203" s="632">
        <v>0.02</v>
      </c>
      <c r="P203" s="632">
        <v>0.02</v>
      </c>
      <c r="Q203" s="632">
        <v>0.02</v>
      </c>
      <c r="R203" s="632">
        <v>0.02</v>
      </c>
      <c r="S203" s="632">
        <v>0.02</v>
      </c>
      <c r="T203" s="632">
        <v>0.02</v>
      </c>
      <c r="U203" s="632">
        <v>0.02</v>
      </c>
      <c r="V203" s="632">
        <v>0.02</v>
      </c>
      <c r="W203" s="632">
        <v>0.02</v>
      </c>
      <c r="X203" s="632">
        <v>0.02</v>
      </c>
      <c r="Y203" s="632">
        <v>0.02</v>
      </c>
      <c r="Z203" s="632">
        <v>0.02</v>
      </c>
      <c r="AA203" s="632">
        <v>0.02</v>
      </c>
      <c r="AB203" s="632">
        <v>0.02</v>
      </c>
      <c r="AC203" s="632">
        <v>0.02</v>
      </c>
      <c r="AD203" s="632">
        <v>0.02</v>
      </c>
      <c r="AE203" s="632">
        <v>0.02</v>
      </c>
      <c r="AF203" s="632">
        <v>0.02</v>
      </c>
      <c r="AG203" s="632">
        <v>0.02</v>
      </c>
      <c r="AH203" s="632">
        <v>0.02</v>
      </c>
      <c r="AI203" s="632">
        <v>0.02</v>
      </c>
      <c r="AJ203" s="632">
        <v>0.02</v>
      </c>
      <c r="AK203" s="632">
        <v>0.02</v>
      </c>
      <c r="AL203" s="632">
        <v>0.02</v>
      </c>
    </row>
    <row r="204" outlineLevel="1">
      <c r="A204" s="215" t="s">
        <v>197</v>
      </c>
      <c r="B204" s="633">
        <f t="shared" ref="B204:AL204" si="84">sum(B202:B203)</f>
        <v>0.02</v>
      </c>
      <c r="C204" s="633">
        <f t="shared" si="84"/>
        <v>0.02</v>
      </c>
      <c r="D204" s="633">
        <f t="shared" si="84"/>
        <v>0.02</v>
      </c>
      <c r="E204" s="633">
        <f t="shared" si="84"/>
        <v>0.02</v>
      </c>
      <c r="F204" s="633">
        <f t="shared" si="84"/>
        <v>0.02</v>
      </c>
      <c r="G204" s="633">
        <f t="shared" si="84"/>
        <v>0.02</v>
      </c>
      <c r="H204" s="633">
        <f t="shared" si="84"/>
        <v>0.02</v>
      </c>
      <c r="I204" s="633">
        <f t="shared" si="84"/>
        <v>0.02</v>
      </c>
      <c r="J204" s="633">
        <f t="shared" si="84"/>
        <v>0.02</v>
      </c>
      <c r="K204" s="633">
        <f t="shared" si="84"/>
        <v>0.02</v>
      </c>
      <c r="L204" s="633">
        <f t="shared" si="84"/>
        <v>0.02</v>
      </c>
      <c r="M204" s="633">
        <f t="shared" si="84"/>
        <v>0.02</v>
      </c>
      <c r="N204" s="633">
        <f t="shared" si="84"/>
        <v>0.02</v>
      </c>
      <c r="O204" s="633">
        <f t="shared" si="84"/>
        <v>0.02</v>
      </c>
      <c r="P204" s="633">
        <f t="shared" si="84"/>
        <v>0.02</v>
      </c>
      <c r="Q204" s="633">
        <f t="shared" si="84"/>
        <v>0.02</v>
      </c>
      <c r="R204" s="633">
        <f t="shared" si="84"/>
        <v>0.02</v>
      </c>
      <c r="S204" s="633">
        <f t="shared" si="84"/>
        <v>0.02</v>
      </c>
      <c r="T204" s="633">
        <f t="shared" si="84"/>
        <v>0.02</v>
      </c>
      <c r="U204" s="633">
        <f t="shared" si="84"/>
        <v>0.02</v>
      </c>
      <c r="V204" s="633">
        <f t="shared" si="84"/>
        <v>0.02</v>
      </c>
      <c r="W204" s="633">
        <f t="shared" si="84"/>
        <v>0.02</v>
      </c>
      <c r="X204" s="633">
        <f t="shared" si="84"/>
        <v>0.02</v>
      </c>
      <c r="Y204" s="633">
        <f t="shared" si="84"/>
        <v>0.02</v>
      </c>
      <c r="Z204" s="633">
        <f t="shared" si="84"/>
        <v>0.02</v>
      </c>
      <c r="AA204" s="633">
        <f t="shared" si="84"/>
        <v>0.02</v>
      </c>
      <c r="AB204" s="633">
        <f t="shared" si="84"/>
        <v>0.02</v>
      </c>
      <c r="AC204" s="633">
        <f t="shared" si="84"/>
        <v>0.02</v>
      </c>
      <c r="AD204" s="633">
        <f t="shared" si="84"/>
        <v>0.02</v>
      </c>
      <c r="AE204" s="633">
        <f t="shared" si="84"/>
        <v>0.02</v>
      </c>
      <c r="AF204" s="633">
        <f t="shared" si="84"/>
        <v>0.02</v>
      </c>
      <c r="AG204" s="633">
        <f t="shared" si="84"/>
        <v>0.02</v>
      </c>
      <c r="AH204" s="633">
        <f t="shared" si="84"/>
        <v>0.02</v>
      </c>
      <c r="AI204" s="633">
        <f t="shared" si="84"/>
        <v>0.02</v>
      </c>
      <c r="AJ204" s="633">
        <f t="shared" si="84"/>
        <v>0.02</v>
      </c>
      <c r="AK204" s="633">
        <f t="shared" si="84"/>
        <v>0.02</v>
      </c>
      <c r="AL204" s="633">
        <f t="shared" si="84"/>
        <v>0.02</v>
      </c>
    </row>
    <row r="205" outlineLevel="1">
      <c r="A205" s="176"/>
      <c r="B205" s="210"/>
      <c r="C205" s="210"/>
      <c r="D205" s="210"/>
      <c r="E205" s="210"/>
      <c r="F205" s="210"/>
      <c r="G205" s="210"/>
      <c r="H205" s="210"/>
      <c r="I205" s="210"/>
      <c r="J205" s="210"/>
      <c r="K205" s="210"/>
      <c r="L205" s="210"/>
      <c r="M205" s="210"/>
      <c r="N205" s="210"/>
      <c r="O205" s="210"/>
      <c r="P205" s="210"/>
      <c r="Q205" s="210"/>
      <c r="R205" s="210"/>
      <c r="S205" s="210"/>
      <c r="T205" s="210"/>
      <c r="U205" s="210"/>
      <c r="V205" s="210"/>
      <c r="W205" s="210"/>
      <c r="X205" s="210"/>
      <c r="Y205" s="210"/>
      <c r="Z205" s="210"/>
      <c r="AA205" s="210"/>
      <c r="AB205" s="210"/>
      <c r="AC205" s="210"/>
      <c r="AD205" s="210"/>
      <c r="AE205" s="210"/>
      <c r="AF205" s="210"/>
      <c r="AG205" s="210"/>
      <c r="AH205" s="210"/>
      <c r="AI205" s="210"/>
      <c r="AJ205" s="210"/>
      <c r="AK205" s="210"/>
      <c r="AL205" s="210"/>
    </row>
    <row r="206" outlineLevel="1">
      <c r="A206" s="178" t="s">
        <v>198</v>
      </c>
      <c r="B206" s="210"/>
      <c r="C206" s="210"/>
      <c r="D206" s="210"/>
      <c r="E206" s="210"/>
      <c r="F206" s="210"/>
      <c r="G206" s="210"/>
      <c r="H206" s="210"/>
      <c r="I206" s="210"/>
      <c r="J206" s="210"/>
      <c r="K206" s="210"/>
      <c r="L206" s="210"/>
      <c r="M206" s="210"/>
      <c r="N206" s="210"/>
      <c r="O206" s="210"/>
      <c r="P206" s="210"/>
      <c r="Q206" s="210"/>
      <c r="R206" s="210"/>
      <c r="S206" s="210"/>
      <c r="T206" s="210"/>
      <c r="U206" s="210"/>
      <c r="V206" s="210"/>
      <c r="W206" s="210"/>
      <c r="X206" s="210"/>
      <c r="Y206" s="210"/>
      <c r="Z206" s="210"/>
      <c r="AA206" s="210"/>
      <c r="AB206" s="210"/>
      <c r="AC206" s="210"/>
      <c r="AD206" s="210"/>
      <c r="AE206" s="210"/>
      <c r="AF206" s="210"/>
      <c r="AG206" s="210"/>
      <c r="AH206" s="210"/>
      <c r="AI206" s="210"/>
      <c r="AJ206" s="210"/>
      <c r="AK206" s="210"/>
      <c r="AL206" s="210"/>
    </row>
    <row r="207" outlineLevel="1">
      <c r="A207" s="176" t="s">
        <v>199</v>
      </c>
      <c r="B207" s="632">
        <v>0.0</v>
      </c>
      <c r="C207" s="632">
        <v>0.0</v>
      </c>
      <c r="D207" s="632">
        <v>0.0</v>
      </c>
      <c r="E207" s="632">
        <v>0.0</v>
      </c>
      <c r="F207" s="632">
        <v>0.0</v>
      </c>
      <c r="G207" s="632">
        <v>0.0</v>
      </c>
      <c r="H207" s="632">
        <v>0.0</v>
      </c>
      <c r="I207" s="632">
        <v>0.0</v>
      </c>
      <c r="J207" s="632">
        <v>0.0</v>
      </c>
      <c r="K207" s="632">
        <v>0.0</v>
      </c>
      <c r="L207" s="632">
        <v>0.0</v>
      </c>
      <c r="M207" s="632">
        <v>0.0</v>
      </c>
      <c r="N207" s="632">
        <v>0.0</v>
      </c>
      <c r="O207" s="632">
        <v>0.0</v>
      </c>
      <c r="P207" s="632">
        <v>0.0</v>
      </c>
      <c r="Q207" s="632">
        <v>0.0</v>
      </c>
      <c r="R207" s="632">
        <v>0.0</v>
      </c>
      <c r="S207" s="632">
        <v>0.0</v>
      </c>
      <c r="T207" s="632">
        <v>0.0</v>
      </c>
      <c r="U207" s="632">
        <v>0.0</v>
      </c>
      <c r="V207" s="632">
        <v>0.0</v>
      </c>
      <c r="W207" s="632">
        <v>0.0</v>
      </c>
      <c r="X207" s="632">
        <v>0.0</v>
      </c>
      <c r="Y207" s="632">
        <v>0.0</v>
      </c>
      <c r="Z207" s="632">
        <v>0.0</v>
      </c>
      <c r="AA207" s="632">
        <v>0.0</v>
      </c>
      <c r="AB207" s="632">
        <v>0.0</v>
      </c>
      <c r="AC207" s="632">
        <v>0.0</v>
      </c>
      <c r="AD207" s="632">
        <v>0.0</v>
      </c>
      <c r="AE207" s="632">
        <v>0.0</v>
      </c>
      <c r="AF207" s="632">
        <v>0.0</v>
      </c>
      <c r="AG207" s="632">
        <v>0.0</v>
      </c>
      <c r="AH207" s="632">
        <v>0.0</v>
      </c>
      <c r="AI207" s="632">
        <v>0.0</v>
      </c>
      <c r="AJ207" s="632">
        <v>0.0</v>
      </c>
      <c r="AK207" s="632">
        <v>0.0</v>
      </c>
      <c r="AL207" s="632">
        <v>0.0</v>
      </c>
    </row>
    <row r="208" outlineLevel="1">
      <c r="A208" s="176" t="s">
        <v>200</v>
      </c>
      <c r="B208" s="632">
        <v>0.05</v>
      </c>
      <c r="C208" s="632">
        <v>0.05</v>
      </c>
      <c r="D208" s="632">
        <v>0.05</v>
      </c>
      <c r="E208" s="632">
        <v>0.05</v>
      </c>
      <c r="F208" s="632">
        <v>0.05</v>
      </c>
      <c r="G208" s="632">
        <v>0.05</v>
      </c>
      <c r="H208" s="632">
        <v>0.05</v>
      </c>
      <c r="I208" s="632">
        <v>0.05</v>
      </c>
      <c r="J208" s="632">
        <v>0.05</v>
      </c>
      <c r="K208" s="632">
        <v>0.05</v>
      </c>
      <c r="L208" s="632">
        <v>0.05</v>
      </c>
      <c r="M208" s="632">
        <v>0.05</v>
      </c>
      <c r="N208" s="632">
        <v>0.05</v>
      </c>
      <c r="O208" s="632">
        <v>0.05</v>
      </c>
      <c r="P208" s="632">
        <v>0.05</v>
      </c>
      <c r="Q208" s="632">
        <v>0.05</v>
      </c>
      <c r="R208" s="632">
        <v>0.05</v>
      </c>
      <c r="S208" s="632">
        <v>0.05</v>
      </c>
      <c r="T208" s="632">
        <v>0.05</v>
      </c>
      <c r="U208" s="632">
        <v>0.05</v>
      </c>
      <c r="V208" s="632">
        <v>0.05</v>
      </c>
      <c r="W208" s="632">
        <v>0.05</v>
      </c>
      <c r="X208" s="632">
        <v>0.05</v>
      </c>
      <c r="Y208" s="632">
        <v>0.05</v>
      </c>
      <c r="Z208" s="632">
        <v>0.05</v>
      </c>
      <c r="AA208" s="632">
        <v>0.05</v>
      </c>
      <c r="AB208" s="632">
        <v>0.05</v>
      </c>
      <c r="AC208" s="632">
        <v>0.05</v>
      </c>
      <c r="AD208" s="632">
        <v>0.05</v>
      </c>
      <c r="AE208" s="632">
        <v>0.05</v>
      </c>
      <c r="AF208" s="632">
        <v>0.05</v>
      </c>
      <c r="AG208" s="632">
        <v>0.05</v>
      </c>
      <c r="AH208" s="632">
        <v>0.05</v>
      </c>
      <c r="AI208" s="632">
        <v>0.05</v>
      </c>
      <c r="AJ208" s="632">
        <v>0.05</v>
      </c>
      <c r="AK208" s="632">
        <v>0.05</v>
      </c>
      <c r="AL208" s="632">
        <v>0.05</v>
      </c>
    </row>
    <row r="209" outlineLevel="1">
      <c r="A209" s="176" t="s">
        <v>201</v>
      </c>
      <c r="B209" s="632">
        <v>0.0</v>
      </c>
      <c r="C209" s="632">
        <v>0.0</v>
      </c>
      <c r="D209" s="632">
        <v>0.0</v>
      </c>
      <c r="E209" s="632">
        <v>0.0</v>
      </c>
      <c r="F209" s="632">
        <v>0.0</v>
      </c>
      <c r="G209" s="632">
        <v>0.0</v>
      </c>
      <c r="H209" s="632">
        <v>0.0</v>
      </c>
      <c r="I209" s="632">
        <v>0.0</v>
      </c>
      <c r="J209" s="632">
        <v>0.0</v>
      </c>
      <c r="K209" s="632">
        <v>0.0</v>
      </c>
      <c r="L209" s="632">
        <v>0.0</v>
      </c>
      <c r="M209" s="632">
        <v>0.0</v>
      </c>
      <c r="N209" s="632">
        <v>0.0</v>
      </c>
      <c r="O209" s="632">
        <v>0.0</v>
      </c>
      <c r="P209" s="632">
        <v>0.0</v>
      </c>
      <c r="Q209" s="632">
        <v>0.0</v>
      </c>
      <c r="R209" s="632">
        <v>0.0</v>
      </c>
      <c r="S209" s="632">
        <v>0.0</v>
      </c>
      <c r="T209" s="632">
        <v>0.0</v>
      </c>
      <c r="U209" s="632">
        <v>0.0</v>
      </c>
      <c r="V209" s="632">
        <v>0.0</v>
      </c>
      <c r="W209" s="632">
        <v>0.0</v>
      </c>
      <c r="X209" s="632">
        <v>0.0</v>
      </c>
      <c r="Y209" s="632">
        <v>0.0</v>
      </c>
      <c r="Z209" s="632">
        <v>0.0</v>
      </c>
      <c r="AA209" s="632">
        <v>0.0</v>
      </c>
      <c r="AB209" s="632">
        <v>0.0</v>
      </c>
      <c r="AC209" s="632">
        <v>0.0</v>
      </c>
      <c r="AD209" s="632">
        <v>0.0</v>
      </c>
      <c r="AE209" s="632">
        <v>0.0</v>
      </c>
      <c r="AF209" s="632">
        <v>0.0</v>
      </c>
      <c r="AG209" s="632">
        <v>0.0</v>
      </c>
      <c r="AH209" s="632">
        <v>0.0</v>
      </c>
      <c r="AI209" s="632">
        <v>0.0</v>
      </c>
      <c r="AJ209" s="632">
        <v>0.0</v>
      </c>
      <c r="AK209" s="632">
        <v>0.0</v>
      </c>
      <c r="AL209" s="632">
        <v>0.0</v>
      </c>
    </row>
    <row r="210" outlineLevel="1">
      <c r="A210" s="219" t="s">
        <v>202</v>
      </c>
      <c r="B210" s="633">
        <f t="shared" ref="B210:AL210" si="85">sum(B207:B209)</f>
        <v>0.05</v>
      </c>
      <c r="C210" s="633">
        <f t="shared" si="85"/>
        <v>0.05</v>
      </c>
      <c r="D210" s="633">
        <f t="shared" si="85"/>
        <v>0.05</v>
      </c>
      <c r="E210" s="633">
        <f t="shared" si="85"/>
        <v>0.05</v>
      </c>
      <c r="F210" s="633">
        <f t="shared" si="85"/>
        <v>0.05</v>
      </c>
      <c r="G210" s="633">
        <f t="shared" si="85"/>
        <v>0.05</v>
      </c>
      <c r="H210" s="633">
        <f t="shared" si="85"/>
        <v>0.05</v>
      </c>
      <c r="I210" s="633">
        <f t="shared" si="85"/>
        <v>0.05</v>
      </c>
      <c r="J210" s="633">
        <f t="shared" si="85"/>
        <v>0.05</v>
      </c>
      <c r="K210" s="633">
        <f t="shared" si="85"/>
        <v>0.05</v>
      </c>
      <c r="L210" s="633">
        <f t="shared" si="85"/>
        <v>0.05</v>
      </c>
      <c r="M210" s="633">
        <f t="shared" si="85"/>
        <v>0.05</v>
      </c>
      <c r="N210" s="633">
        <f t="shared" si="85"/>
        <v>0.05</v>
      </c>
      <c r="O210" s="633">
        <f t="shared" si="85"/>
        <v>0.05</v>
      </c>
      <c r="P210" s="633">
        <f t="shared" si="85"/>
        <v>0.05</v>
      </c>
      <c r="Q210" s="633">
        <f t="shared" si="85"/>
        <v>0.05</v>
      </c>
      <c r="R210" s="633">
        <f t="shared" si="85"/>
        <v>0.05</v>
      </c>
      <c r="S210" s="633">
        <f t="shared" si="85"/>
        <v>0.05</v>
      </c>
      <c r="T210" s="633">
        <f t="shared" si="85"/>
        <v>0.05</v>
      </c>
      <c r="U210" s="633">
        <f t="shared" si="85"/>
        <v>0.05</v>
      </c>
      <c r="V210" s="633">
        <f t="shared" si="85"/>
        <v>0.05</v>
      </c>
      <c r="W210" s="633">
        <f t="shared" si="85"/>
        <v>0.05</v>
      </c>
      <c r="X210" s="633">
        <f t="shared" si="85"/>
        <v>0.05</v>
      </c>
      <c r="Y210" s="633">
        <f t="shared" si="85"/>
        <v>0.05</v>
      </c>
      <c r="Z210" s="633">
        <f t="shared" si="85"/>
        <v>0.05</v>
      </c>
      <c r="AA210" s="633">
        <f t="shared" si="85"/>
        <v>0.05</v>
      </c>
      <c r="AB210" s="633">
        <f t="shared" si="85"/>
        <v>0.05</v>
      </c>
      <c r="AC210" s="633">
        <f t="shared" si="85"/>
        <v>0.05</v>
      </c>
      <c r="AD210" s="633">
        <f t="shared" si="85"/>
        <v>0.05</v>
      </c>
      <c r="AE210" s="633">
        <f t="shared" si="85"/>
        <v>0.05</v>
      </c>
      <c r="AF210" s="633">
        <f t="shared" si="85"/>
        <v>0.05</v>
      </c>
      <c r="AG210" s="633">
        <f t="shared" si="85"/>
        <v>0.05</v>
      </c>
      <c r="AH210" s="633">
        <f t="shared" si="85"/>
        <v>0.05</v>
      </c>
      <c r="AI210" s="633">
        <f t="shared" si="85"/>
        <v>0.05</v>
      </c>
      <c r="AJ210" s="633">
        <f t="shared" si="85"/>
        <v>0.05</v>
      </c>
      <c r="AK210" s="633">
        <f t="shared" si="85"/>
        <v>0.05</v>
      </c>
      <c r="AL210" s="633">
        <f t="shared" si="85"/>
        <v>0.05</v>
      </c>
    </row>
    <row r="211" outlineLevel="1">
      <c r="A211" s="176"/>
      <c r="B211" s="210"/>
      <c r="C211" s="210"/>
      <c r="D211" s="210"/>
      <c r="E211" s="210"/>
      <c r="F211" s="210"/>
      <c r="G211" s="210"/>
      <c r="H211" s="210"/>
      <c r="I211" s="210"/>
      <c r="J211" s="210"/>
      <c r="K211" s="210"/>
      <c r="L211" s="210"/>
      <c r="M211" s="210"/>
      <c r="N211" s="210"/>
      <c r="O211" s="210"/>
      <c r="P211" s="210"/>
      <c r="Q211" s="210"/>
      <c r="R211" s="210"/>
      <c r="S211" s="210"/>
      <c r="T211" s="210"/>
      <c r="U211" s="210"/>
      <c r="V211" s="210"/>
      <c r="W211" s="210"/>
      <c r="X211" s="210"/>
      <c r="Y211" s="210"/>
      <c r="Z211" s="210"/>
      <c r="AA211" s="210"/>
      <c r="AB211" s="210"/>
      <c r="AC211" s="210"/>
      <c r="AD211" s="210"/>
      <c r="AE211" s="210"/>
      <c r="AF211" s="210"/>
      <c r="AG211" s="210"/>
      <c r="AH211" s="210"/>
      <c r="AI211" s="210"/>
      <c r="AJ211" s="210"/>
      <c r="AK211" s="210"/>
      <c r="AL211" s="210"/>
    </row>
    <row r="212" outlineLevel="1">
      <c r="A212" s="71" t="s">
        <v>203</v>
      </c>
      <c r="B212" s="635">
        <f t="shared" ref="B212:AL212" si="86">1-sum(B199,B204,B210)</f>
        <v>0.93</v>
      </c>
      <c r="C212" s="635">
        <f t="shared" si="86"/>
        <v>0.93</v>
      </c>
      <c r="D212" s="635">
        <f t="shared" si="86"/>
        <v>0.93</v>
      </c>
      <c r="E212" s="635">
        <f t="shared" si="86"/>
        <v>0.93</v>
      </c>
      <c r="F212" s="635">
        <f t="shared" si="86"/>
        <v>0.93</v>
      </c>
      <c r="G212" s="635">
        <f t="shared" si="86"/>
        <v>0.93</v>
      </c>
      <c r="H212" s="635">
        <f t="shared" si="86"/>
        <v>0.93</v>
      </c>
      <c r="I212" s="635">
        <f t="shared" si="86"/>
        <v>0.93</v>
      </c>
      <c r="J212" s="635">
        <f t="shared" si="86"/>
        <v>0.93</v>
      </c>
      <c r="K212" s="635">
        <f t="shared" si="86"/>
        <v>0.93</v>
      </c>
      <c r="L212" s="635">
        <f t="shared" si="86"/>
        <v>0.93</v>
      </c>
      <c r="M212" s="635">
        <f t="shared" si="86"/>
        <v>0.93</v>
      </c>
      <c r="N212" s="635">
        <f t="shared" si="86"/>
        <v>0.93</v>
      </c>
      <c r="O212" s="635">
        <f t="shared" si="86"/>
        <v>0.93</v>
      </c>
      <c r="P212" s="635">
        <f t="shared" si="86"/>
        <v>0.93</v>
      </c>
      <c r="Q212" s="635">
        <f t="shared" si="86"/>
        <v>0.93</v>
      </c>
      <c r="R212" s="635">
        <f t="shared" si="86"/>
        <v>0.93</v>
      </c>
      <c r="S212" s="635">
        <f t="shared" si="86"/>
        <v>0.93</v>
      </c>
      <c r="T212" s="635">
        <f t="shared" si="86"/>
        <v>0.93</v>
      </c>
      <c r="U212" s="635">
        <f t="shared" si="86"/>
        <v>0.93</v>
      </c>
      <c r="V212" s="635">
        <f t="shared" si="86"/>
        <v>0.93</v>
      </c>
      <c r="W212" s="635">
        <f t="shared" si="86"/>
        <v>0.93</v>
      </c>
      <c r="X212" s="635">
        <f t="shared" si="86"/>
        <v>0.93</v>
      </c>
      <c r="Y212" s="635">
        <f t="shared" si="86"/>
        <v>0.93</v>
      </c>
      <c r="Z212" s="635">
        <f t="shared" si="86"/>
        <v>0.93</v>
      </c>
      <c r="AA212" s="635">
        <f t="shared" si="86"/>
        <v>0.93</v>
      </c>
      <c r="AB212" s="635">
        <f t="shared" si="86"/>
        <v>0.93</v>
      </c>
      <c r="AC212" s="635">
        <f t="shared" si="86"/>
        <v>0.93</v>
      </c>
      <c r="AD212" s="635">
        <f t="shared" si="86"/>
        <v>0.93</v>
      </c>
      <c r="AE212" s="635">
        <f t="shared" si="86"/>
        <v>0.93</v>
      </c>
      <c r="AF212" s="635">
        <f t="shared" si="86"/>
        <v>0.93</v>
      </c>
      <c r="AG212" s="635">
        <f t="shared" si="86"/>
        <v>0.93</v>
      </c>
      <c r="AH212" s="635">
        <f t="shared" si="86"/>
        <v>0.93</v>
      </c>
      <c r="AI212" s="635">
        <f t="shared" si="86"/>
        <v>0.93</v>
      </c>
      <c r="AJ212" s="635">
        <f t="shared" si="86"/>
        <v>0.93</v>
      </c>
      <c r="AK212" s="635">
        <f t="shared" si="86"/>
        <v>0.93</v>
      </c>
      <c r="AL212" s="635">
        <f t="shared" si="86"/>
        <v>0.93</v>
      </c>
    </row>
    <row r="213" outlineLevel="1">
      <c r="A213" s="494"/>
      <c r="B213" s="634"/>
      <c r="C213" s="634"/>
      <c r="D213" s="634"/>
      <c r="E213" s="634"/>
      <c r="F213" s="634"/>
      <c r="G213" s="151"/>
      <c r="H213" s="151"/>
      <c r="I213" s="151"/>
      <c r="J213" s="151"/>
      <c r="K213" s="151"/>
      <c r="L213" s="151"/>
      <c r="M213" s="151"/>
      <c r="N213" s="151"/>
      <c r="O213" s="151"/>
      <c r="P213" s="151"/>
      <c r="Q213" s="634"/>
      <c r="R213" s="634"/>
      <c r="S213" s="634"/>
      <c r="T213" s="151"/>
      <c r="U213" s="634"/>
      <c r="V213" s="634"/>
      <c r="W213" s="151"/>
      <c r="X213" s="151"/>
      <c r="Y213" s="634"/>
      <c r="Z213" s="634"/>
      <c r="AA213" s="151"/>
      <c r="AB213" s="151"/>
      <c r="AC213" s="151"/>
      <c r="AD213" s="151"/>
      <c r="AE213" s="151"/>
      <c r="AF213" s="151"/>
      <c r="AG213" s="151"/>
      <c r="AH213" s="151"/>
      <c r="AI213" s="634"/>
      <c r="AJ213" s="634"/>
      <c r="AK213" s="634"/>
      <c r="AL213" s="634"/>
    </row>
    <row r="214" outlineLevel="1">
      <c r="A214" s="160" t="s">
        <v>204</v>
      </c>
      <c r="B214" s="472"/>
      <c r="C214" s="472"/>
      <c r="D214" s="472"/>
      <c r="E214" s="472"/>
      <c r="F214" s="472"/>
      <c r="G214" s="161"/>
      <c r="H214" s="161"/>
      <c r="I214" s="161"/>
      <c r="J214" s="161"/>
      <c r="K214" s="161"/>
      <c r="L214" s="161"/>
      <c r="M214" s="161"/>
      <c r="N214" s="161"/>
      <c r="O214" s="161"/>
      <c r="P214" s="161"/>
      <c r="Q214" s="472"/>
      <c r="R214" s="472"/>
      <c r="S214" s="472"/>
      <c r="T214" s="161"/>
      <c r="U214" s="472"/>
      <c r="V214" s="472"/>
      <c r="W214" s="161"/>
      <c r="X214" s="161"/>
      <c r="Y214" s="472"/>
      <c r="Z214" s="472"/>
      <c r="AA214" s="161"/>
      <c r="AB214" s="161"/>
      <c r="AC214" s="161"/>
      <c r="AD214" s="161"/>
      <c r="AE214" s="161"/>
      <c r="AF214" s="161"/>
      <c r="AG214" s="161"/>
      <c r="AH214" s="161"/>
      <c r="AI214" s="472"/>
      <c r="AJ214" s="472"/>
      <c r="AK214" s="472"/>
      <c r="AL214" s="472"/>
    </row>
    <row r="215" outlineLevel="1">
      <c r="A215" s="91" t="s">
        <v>598</v>
      </c>
      <c r="B215" s="636">
        <f t="shared" ref="B215:AL215" si="87">sum(B99,B119,B135,B151)*(B212)</f>
        <v>3.984285619</v>
      </c>
      <c r="C215" s="636">
        <f t="shared" si="87"/>
        <v>14.5399161</v>
      </c>
      <c r="D215" s="636">
        <f t="shared" si="87"/>
        <v>3.583337476</v>
      </c>
      <c r="E215" s="636">
        <f t="shared" si="87"/>
        <v>4.700133232</v>
      </c>
      <c r="F215" s="636">
        <f t="shared" si="87"/>
        <v>51.78806786</v>
      </c>
      <c r="G215" s="636">
        <f t="shared" si="87"/>
        <v>7.04387001</v>
      </c>
      <c r="H215" s="636">
        <f t="shared" si="87"/>
        <v>7.269577201</v>
      </c>
      <c r="I215" s="636">
        <f t="shared" si="87"/>
        <v>17.65883274</v>
      </c>
      <c r="J215" s="636">
        <f t="shared" si="87"/>
        <v>2.174983863</v>
      </c>
      <c r="K215" s="636">
        <f t="shared" si="87"/>
        <v>5.690613268</v>
      </c>
      <c r="L215" s="636">
        <f t="shared" si="87"/>
        <v>0.5153787739</v>
      </c>
      <c r="M215" s="636">
        <f t="shared" si="87"/>
        <v>2.709234361</v>
      </c>
      <c r="N215" s="636">
        <f t="shared" si="87"/>
        <v>1.347960604</v>
      </c>
      <c r="O215" s="636">
        <f t="shared" si="87"/>
        <v>0.6491886172</v>
      </c>
      <c r="P215" s="636">
        <f t="shared" si="87"/>
        <v>1.936301119</v>
      </c>
      <c r="Q215" s="636">
        <f t="shared" si="87"/>
        <v>24.56749623</v>
      </c>
      <c r="R215" s="636">
        <f t="shared" si="87"/>
        <v>1.402142387</v>
      </c>
      <c r="S215" s="636">
        <f t="shared" si="87"/>
        <v>48.02800162</v>
      </c>
      <c r="T215" s="636">
        <f t="shared" si="87"/>
        <v>18.15966399</v>
      </c>
      <c r="U215" s="636">
        <f t="shared" si="87"/>
        <v>29.1549786</v>
      </c>
      <c r="V215" s="636">
        <f t="shared" si="87"/>
        <v>45.27521463</v>
      </c>
      <c r="W215" s="636">
        <f t="shared" si="87"/>
        <v>50.02737756</v>
      </c>
      <c r="X215" s="636">
        <f t="shared" si="87"/>
        <v>4.790744813</v>
      </c>
      <c r="Y215" s="636">
        <f t="shared" si="87"/>
        <v>7.097669264</v>
      </c>
      <c r="Z215" s="636">
        <f t="shared" si="87"/>
        <v>1.18799026</v>
      </c>
      <c r="AA215" s="636">
        <f t="shared" si="87"/>
        <v>9.930023894</v>
      </c>
      <c r="AB215" s="636">
        <f t="shared" si="87"/>
        <v>18.00880165</v>
      </c>
      <c r="AC215" s="636">
        <f t="shared" si="87"/>
        <v>8.379257782</v>
      </c>
      <c r="AD215" s="636">
        <f t="shared" si="87"/>
        <v>6.699386146</v>
      </c>
      <c r="AE215" s="636">
        <f t="shared" si="87"/>
        <v>1.5560303</v>
      </c>
      <c r="AF215" s="636">
        <f t="shared" si="87"/>
        <v>4.519396855</v>
      </c>
      <c r="AG215" s="636">
        <f t="shared" si="87"/>
        <v>5.910806373</v>
      </c>
      <c r="AH215" s="636">
        <f t="shared" si="87"/>
        <v>2.990693522</v>
      </c>
      <c r="AI215" s="636">
        <f t="shared" si="87"/>
        <v>114.1256999</v>
      </c>
      <c r="AJ215" s="636">
        <f t="shared" si="87"/>
        <v>17.6723039</v>
      </c>
      <c r="AK215" s="636">
        <f t="shared" si="87"/>
        <v>15.01543954</v>
      </c>
      <c r="AL215" s="636">
        <f t="shared" si="87"/>
        <v>69.88748221</v>
      </c>
    </row>
    <row r="216" outlineLevel="1">
      <c r="A216" s="91" t="s">
        <v>537</v>
      </c>
      <c r="B216" s="557">
        <f t="shared" ref="B216:AL216" si="88">B26/B215</f>
        <v>29253.47945</v>
      </c>
      <c r="C216" s="557">
        <f t="shared" si="88"/>
        <v>9490.344316</v>
      </c>
      <c r="D216" s="557">
        <f t="shared" si="88"/>
        <v>33992.20284</v>
      </c>
      <c r="E216" s="557">
        <f t="shared" si="88"/>
        <v>26942.98715</v>
      </c>
      <c r="F216" s="557">
        <f t="shared" si="88"/>
        <v>3639.01537</v>
      </c>
      <c r="G216" s="557">
        <f t="shared" si="88"/>
        <v>18622.40001</v>
      </c>
      <c r="H216" s="557">
        <f t="shared" si="88"/>
        <v>18063.60057</v>
      </c>
      <c r="I216" s="557">
        <f t="shared" si="88"/>
        <v>10196.37494</v>
      </c>
      <c r="J216" s="557">
        <f t="shared" si="88"/>
        <v>51148.54607</v>
      </c>
      <c r="K216" s="557">
        <f t="shared" si="88"/>
        <v>22620.90789</v>
      </c>
      <c r="L216" s="557">
        <f t="shared" si="88"/>
        <v>197937.1957</v>
      </c>
      <c r="M216" s="557">
        <f t="shared" si="88"/>
        <v>42160.2811</v>
      </c>
      <c r="N216" s="557">
        <f t="shared" si="88"/>
        <v>79776.91727</v>
      </c>
      <c r="O216" s="557">
        <f t="shared" si="88"/>
        <v>161427.1148</v>
      </c>
      <c r="P216" s="557">
        <f t="shared" si="88"/>
        <v>57090.60888</v>
      </c>
      <c r="Q216" s="557">
        <f t="shared" si="88"/>
        <v>6521.947882</v>
      </c>
      <c r="R216" s="557">
        <f t="shared" si="88"/>
        <v>78166.35394</v>
      </c>
      <c r="S216" s="557">
        <f t="shared" si="88"/>
        <v>3561.905473</v>
      </c>
      <c r="T216" s="557">
        <f t="shared" si="88"/>
        <v>8562.550998</v>
      </c>
      <c r="U216" s="557">
        <f t="shared" si="88"/>
        <v>6106.956783</v>
      </c>
      <c r="V216" s="557">
        <f t="shared" si="88"/>
        <v>4221.636448</v>
      </c>
      <c r="W216" s="557">
        <f t="shared" si="88"/>
        <v>3925.994183</v>
      </c>
      <c r="X216" s="557">
        <f t="shared" si="88"/>
        <v>26407.03871</v>
      </c>
      <c r="Y216" s="557">
        <f t="shared" si="88"/>
        <v>21180.79608</v>
      </c>
      <c r="Z216" s="557">
        <f t="shared" si="88"/>
        <v>93707.9662</v>
      </c>
      <c r="AA216" s="557">
        <f t="shared" si="88"/>
        <v>14433.97966</v>
      </c>
      <c r="AB216" s="557">
        <f t="shared" si="88"/>
        <v>9273.857205</v>
      </c>
      <c r="AC216" s="557">
        <f t="shared" si="88"/>
        <v>18539.85913</v>
      </c>
      <c r="AD216" s="557">
        <f t="shared" si="88"/>
        <v>20994.40097</v>
      </c>
      <c r="AE216" s="557">
        <f t="shared" si="88"/>
        <v>74118.53261</v>
      </c>
      <c r="AF216" s="557">
        <f t="shared" si="88"/>
        <v>31247.06758</v>
      </c>
      <c r="AG216" s="557">
        <f t="shared" si="88"/>
        <v>21932.19909</v>
      </c>
      <c r="AH216" s="557">
        <f t="shared" si="88"/>
        <v>38492.61304</v>
      </c>
      <c r="AI216" s="557">
        <f t="shared" si="88"/>
        <v>2324.247514</v>
      </c>
      <c r="AJ216" s="557">
        <f t="shared" si="88"/>
        <v>8228.326011</v>
      </c>
      <c r="AK216" s="557">
        <f t="shared" si="88"/>
        <v>9148.451394</v>
      </c>
      <c r="AL216" s="557">
        <f t="shared" si="88"/>
        <v>2792.700369</v>
      </c>
    </row>
    <row r="217">
      <c r="A217" s="91"/>
      <c r="B217" s="623"/>
      <c r="C217" s="623"/>
      <c r="D217" s="623"/>
      <c r="E217" s="623"/>
      <c r="F217" s="623"/>
      <c r="G217" s="623"/>
      <c r="H217" s="623"/>
      <c r="I217" s="623"/>
      <c r="J217" s="623"/>
      <c r="K217" s="623"/>
      <c r="L217" s="623"/>
      <c r="M217" s="623"/>
      <c r="N217" s="623"/>
      <c r="O217" s="623"/>
      <c r="P217" s="623"/>
      <c r="Q217" s="623"/>
      <c r="R217" s="623"/>
      <c r="S217" s="623"/>
      <c r="T217" s="623"/>
      <c r="U217" s="623"/>
      <c r="V217" s="623"/>
      <c r="W217" s="623"/>
      <c r="X217" s="623"/>
      <c r="Y217" s="623"/>
      <c r="Z217" s="623"/>
      <c r="AA217" s="623"/>
      <c r="AB217" s="623"/>
      <c r="AC217" s="623"/>
      <c r="AD217" s="623"/>
      <c r="AE217" s="623"/>
      <c r="AF217" s="623"/>
      <c r="AG217" s="623"/>
      <c r="AH217" s="623"/>
      <c r="AI217" s="623"/>
      <c r="AJ217" s="623"/>
      <c r="AK217" s="623"/>
      <c r="AL217" s="623"/>
    </row>
    <row r="218">
      <c r="A218" s="55" t="s">
        <v>213</v>
      </c>
      <c r="B218" s="637">
        <f t="shared" ref="B218:AL218" si="89">B183*(B212)</f>
        <v>679.5706942</v>
      </c>
      <c r="C218" s="637">
        <f t="shared" si="89"/>
        <v>1886.456863</v>
      </c>
      <c r="D218" s="637">
        <f t="shared" si="89"/>
        <v>641.8897951</v>
      </c>
      <c r="E218" s="637">
        <f t="shared" si="89"/>
        <v>784.626414</v>
      </c>
      <c r="F218" s="637">
        <f t="shared" si="89"/>
        <v>5832.638332</v>
      </c>
      <c r="G218" s="637">
        <f t="shared" si="89"/>
        <v>1050.543686</v>
      </c>
      <c r="H218" s="637">
        <f t="shared" si="89"/>
        <v>1053.339222</v>
      </c>
      <c r="I218" s="637">
        <f t="shared" si="89"/>
        <v>2247.253764</v>
      </c>
      <c r="J218" s="637">
        <f t="shared" si="89"/>
        <v>448.5686851</v>
      </c>
      <c r="K218" s="637">
        <f t="shared" si="89"/>
        <v>904.2047726</v>
      </c>
      <c r="L218" s="637">
        <f t="shared" si="89"/>
        <v>244.8761938</v>
      </c>
      <c r="M218" s="637">
        <f t="shared" si="89"/>
        <v>531.440282</v>
      </c>
      <c r="N218" s="637">
        <f t="shared" si="89"/>
        <v>356.2088069</v>
      </c>
      <c r="O218" s="637">
        <f t="shared" si="89"/>
        <v>267.4988292</v>
      </c>
      <c r="P218" s="637">
        <f t="shared" si="89"/>
        <v>434.4541145</v>
      </c>
      <c r="Q218" s="637">
        <f t="shared" si="89"/>
        <v>2986.982837</v>
      </c>
      <c r="R218" s="637">
        <f t="shared" si="89"/>
        <v>367.0713081</v>
      </c>
      <c r="S218" s="637">
        <f t="shared" si="89"/>
        <v>5442.30695</v>
      </c>
      <c r="T218" s="637">
        <f t="shared" si="89"/>
        <v>2358.383832</v>
      </c>
      <c r="U218" s="637">
        <f t="shared" si="89"/>
        <v>3547.880086</v>
      </c>
      <c r="V218" s="637">
        <f t="shared" si="89"/>
        <v>5152.217527</v>
      </c>
      <c r="W218" s="637">
        <f t="shared" si="89"/>
        <v>5620.124758</v>
      </c>
      <c r="X218" s="637">
        <f t="shared" si="89"/>
        <v>790.6677233</v>
      </c>
      <c r="Y218" s="637">
        <f t="shared" si="89"/>
        <v>1093.64312</v>
      </c>
      <c r="Z218" s="637">
        <f t="shared" si="89"/>
        <v>354.4025618</v>
      </c>
      <c r="AA218" s="637">
        <f t="shared" si="89"/>
        <v>1396.553328</v>
      </c>
      <c r="AB218" s="637">
        <f t="shared" si="89"/>
        <v>2266.240534</v>
      </c>
      <c r="AC218" s="637">
        <f t="shared" si="89"/>
        <v>1243.026675</v>
      </c>
      <c r="AD218" s="637">
        <f t="shared" si="89"/>
        <v>1040.332315</v>
      </c>
      <c r="AE218" s="637">
        <f t="shared" si="89"/>
        <v>400.3106294</v>
      </c>
      <c r="AF218" s="637">
        <f t="shared" si="89"/>
        <v>820.1702852</v>
      </c>
      <c r="AG218" s="637">
        <f t="shared" si="89"/>
        <v>910.6399609</v>
      </c>
      <c r="AH218" s="637">
        <f t="shared" si="89"/>
        <v>561.5262738</v>
      </c>
      <c r="AI218" s="637">
        <f t="shared" si="89"/>
        <v>12504.05362</v>
      </c>
      <c r="AJ218" s="637">
        <f t="shared" si="89"/>
        <v>2237.809631</v>
      </c>
      <c r="AK218" s="637">
        <f t="shared" si="89"/>
        <v>1806.333826</v>
      </c>
      <c r="AL218" s="637">
        <f t="shared" si="89"/>
        <v>7724.674178</v>
      </c>
    </row>
    <row r="219">
      <c r="A219" s="223" t="s">
        <v>183</v>
      </c>
      <c r="B219" s="638">
        <f t="shared" ref="B219:AL219" si="90">B218/B26</f>
        <v>0.005830511404</v>
      </c>
      <c r="C219" s="638">
        <f t="shared" si="90"/>
        <v>0.0136710858</v>
      </c>
      <c r="D219" s="638">
        <f t="shared" si="90"/>
        <v>0.00526979171</v>
      </c>
      <c r="E219" s="638">
        <f t="shared" si="90"/>
        <v>0.006195937261</v>
      </c>
      <c r="F219" s="638">
        <f t="shared" si="90"/>
        <v>0.03094934408</v>
      </c>
      <c r="G219" s="638">
        <f t="shared" si="90"/>
        <v>0.008008794185</v>
      </c>
      <c r="H219" s="638">
        <f t="shared" si="90"/>
        <v>0.008021485106</v>
      </c>
      <c r="I219" s="638">
        <f t="shared" si="90"/>
        <v>0.01248085468</v>
      </c>
      <c r="J219" s="638">
        <f t="shared" si="90"/>
        <v>0.004032177295</v>
      </c>
      <c r="K219" s="638">
        <f t="shared" si="90"/>
        <v>0.007024213306</v>
      </c>
      <c r="L219" s="638">
        <f t="shared" si="90"/>
        <v>0.002400449784</v>
      </c>
      <c r="M219" s="638">
        <f t="shared" si="90"/>
        <v>0.004652692996</v>
      </c>
      <c r="N219" s="638">
        <f t="shared" si="90"/>
        <v>0.003312456646</v>
      </c>
      <c r="O219" s="638">
        <f t="shared" si="90"/>
        <v>0.002552551449</v>
      </c>
      <c r="P219" s="638">
        <f t="shared" si="90"/>
        <v>0.003930124815</v>
      </c>
      <c r="Q219" s="638">
        <f t="shared" si="90"/>
        <v>0.01864208592</v>
      </c>
      <c r="R219" s="638">
        <f t="shared" si="90"/>
        <v>0.003349179824</v>
      </c>
      <c r="S219" s="638">
        <f t="shared" si="90"/>
        <v>0.03181310993</v>
      </c>
      <c r="T219" s="638">
        <f t="shared" si="90"/>
        <v>0.0151671335</v>
      </c>
      <c r="U219" s="638">
        <f t="shared" si="90"/>
        <v>0.0199265154</v>
      </c>
      <c r="V219" s="638">
        <f t="shared" si="90"/>
        <v>0.02695583828</v>
      </c>
      <c r="W219" s="638">
        <f t="shared" si="90"/>
        <v>0.02861465848</v>
      </c>
      <c r="X219" s="638">
        <f t="shared" si="90"/>
        <v>0.006249874121</v>
      </c>
      <c r="Y219" s="638">
        <f t="shared" si="90"/>
        <v>0.00727474187</v>
      </c>
      <c r="Z219" s="638">
        <f t="shared" si="90"/>
        <v>0.003183519103</v>
      </c>
      <c r="AA219" s="638">
        <f t="shared" si="90"/>
        <v>0.009743638021</v>
      </c>
      <c r="AB219" s="638">
        <f t="shared" si="90"/>
        <v>0.01356940434</v>
      </c>
      <c r="AC219" s="638">
        <f t="shared" si="90"/>
        <v>0.008001445791</v>
      </c>
      <c r="AD219" s="638">
        <f t="shared" si="90"/>
        <v>0.00739662482</v>
      </c>
      <c r="AE219" s="638">
        <f t="shared" si="90"/>
        <v>0.003470981187</v>
      </c>
      <c r="AF219" s="638">
        <f t="shared" si="90"/>
        <v>0.005807835206</v>
      </c>
      <c r="AG219" s="638">
        <f t="shared" si="90"/>
        <v>0.007024538414</v>
      </c>
      <c r="AH219" s="638">
        <f t="shared" si="90"/>
        <v>0.004877763931</v>
      </c>
      <c r="AI219" s="638">
        <f t="shared" si="90"/>
        <v>0.0471395029</v>
      </c>
      <c r="AJ219" s="638">
        <f t="shared" si="90"/>
        <v>0.01538928622</v>
      </c>
      <c r="AK219" s="638">
        <f t="shared" si="90"/>
        <v>0.01314959509</v>
      </c>
      <c r="AL219" s="638">
        <f t="shared" si="90"/>
        <v>0.03957823593</v>
      </c>
    </row>
    <row r="220">
      <c r="A220" s="221" t="s">
        <v>209</v>
      </c>
      <c r="B220" s="639">
        <f t="array" ref="B220">B219/index(GiveDirectly!$B:$B,match("Units of value generated per philanthropic dollar spent, after accounting for all adjustments",GiveDirectly!$A:$A,0))</f>
        <v>1.738098797</v>
      </c>
      <c r="C220" s="639">
        <f t="array" ref="C220">C219/index(GiveDirectly!$B:$B,match("Units of value generated per philanthropic dollar spent, after accounting for all adjustments",GiveDirectly!$A:$A,0))</f>
        <v>4.075405419</v>
      </c>
      <c r="D220" s="639">
        <f t="array" ref="D220">D219/index(GiveDirectly!$B:$B,match("Units of value generated per philanthropic dollar spent, after accounting for all adjustments",GiveDirectly!$A:$A,0))</f>
        <v>1.570946011</v>
      </c>
      <c r="E220" s="639">
        <f t="array" ref="E220">E219/index(GiveDirectly!$B:$B,match("Units of value generated per philanthropic dollar spent, after accounting for all adjustments",GiveDirectly!$A:$A,0))</f>
        <v>1.847033708</v>
      </c>
      <c r="F220" s="639">
        <f t="array" ref="F220">F219/index(GiveDirectly!$B:$B,match("Units of value generated per philanthropic dollar spent, after accounting for all adjustments",GiveDirectly!$A:$A,0))</f>
        <v>9.226123402</v>
      </c>
      <c r="G220" s="639">
        <f t="array" ref="G220">G219/index(GiveDirectly!$B:$B,match("Units of value generated per philanthropic dollar spent, after accounting for all adjustments",GiveDirectly!$A:$A,0))</f>
        <v>2.387453616</v>
      </c>
      <c r="H220" s="639">
        <f t="array" ref="H220">H219/index(GiveDirectly!$B:$B,match("Units of value generated per philanthropic dollar spent, after accounting for all adjustments",GiveDirectly!$A:$A,0))</f>
        <v>2.39123683</v>
      </c>
      <c r="I220" s="639">
        <f t="array" ref="I220">I219/index(GiveDirectly!$B:$B,match("Units of value generated per philanthropic dollar spent, after accounting for all adjustments",GiveDirectly!$A:$A,0))</f>
        <v>3.720592757</v>
      </c>
      <c r="J220" s="639">
        <f t="array" ref="J220">J219/index(GiveDirectly!$B:$B,match("Units of value generated per philanthropic dollar spent, after accounting for all adjustments",GiveDirectly!$A:$A,0))</f>
        <v>1.202008198</v>
      </c>
      <c r="K220" s="639">
        <f t="array" ref="K220">K219/index(GiveDirectly!$B:$B,match("Units of value generated per philanthropic dollar spent, after accounting for all adjustments",GiveDirectly!$A:$A,0))</f>
        <v>2.093946114</v>
      </c>
      <c r="L220" s="639">
        <f t="array" ref="L220">L219/index(GiveDirectly!$B:$B,match("Units of value generated per philanthropic dollar spent, after accounting for all adjustments",GiveDirectly!$A:$A,0))</f>
        <v>0.7155836927</v>
      </c>
      <c r="M220" s="639">
        <f t="array" ref="M220">M219/index(GiveDirectly!$B:$B,match("Units of value generated per philanthropic dollar spent, after accounting for all adjustments",GiveDirectly!$A:$A,0))</f>
        <v>1.386986413</v>
      </c>
      <c r="N220" s="639">
        <f t="array" ref="N220">N219/index(GiveDirectly!$B:$B,match("Units of value generated per philanthropic dollar spent, after accounting for all adjustments",GiveDirectly!$A:$A,0))</f>
        <v>0.9874565901</v>
      </c>
      <c r="O220" s="639">
        <f t="array" ref="O220">O219/index(GiveDirectly!$B:$B,match("Units of value generated per philanthropic dollar spent, after accounting for all adjustments",GiveDirectly!$A:$A,0))</f>
        <v>0.7609258082</v>
      </c>
      <c r="P220" s="639">
        <f t="array" ref="P220">P219/index(GiveDirectly!$B:$B,match("Units of value generated per philanthropic dollar spent, after accounting for all adjustments",GiveDirectly!$A:$A,0))</f>
        <v>1.171585945</v>
      </c>
      <c r="Q220" s="639">
        <f t="array" ref="Q220">Q219/index(GiveDirectly!$B:$B,match("Units of value generated per philanthropic dollar spent, after accounting for all adjustments",GiveDirectly!$A:$A,0))</f>
        <v>5.55728046</v>
      </c>
      <c r="R220" s="639">
        <f t="array" ref="R220">R219/index(GiveDirectly!$B:$B,match("Units of value generated per philanthropic dollar spent, after accounting for all adjustments",GiveDirectly!$A:$A,0))</f>
        <v>0.9984039165</v>
      </c>
      <c r="S220" s="639">
        <f t="array" ref="S220">S219/index(GiveDirectly!$B:$B,match("Units of value generated per philanthropic dollar spent, after accounting for all adjustments",GiveDirectly!$A:$A,0))</f>
        <v>9.483615459</v>
      </c>
      <c r="T220" s="639">
        <f t="array" ref="T220">T219/index(GiveDirectly!$B:$B,match("Units of value generated per philanthropic dollar spent, after accounting for all adjustments",GiveDirectly!$A:$A,0))</f>
        <v>4.521383229</v>
      </c>
      <c r="U220" s="639">
        <f t="array" ref="U220">U219/index(GiveDirectly!$B:$B,match("Units of value generated per philanthropic dollar spent, after accounting for all adjustments",GiveDirectly!$A:$A,0))</f>
        <v>5.940174033</v>
      </c>
      <c r="V220" s="639">
        <f t="array" ref="V220">V219/index(GiveDirectly!$B:$B,match("Units of value generated per philanthropic dollar spent, after accounting for all adjustments",GiveDirectly!$A:$A,0))</f>
        <v>8.03564333</v>
      </c>
      <c r="W220" s="639">
        <f t="array" ref="W220">W219/index(GiveDirectly!$B:$B,match("Units of value generated per philanthropic dollar spent, after accounting for all adjustments",GiveDirectly!$A:$A,0))</f>
        <v>8.530144274</v>
      </c>
      <c r="X220" s="639">
        <f t="array" ref="X220">X219/index(GiveDirectly!$B:$B,match("Units of value generated per philanthropic dollar spent, after accounting for all adjustments",GiveDirectly!$A:$A,0))</f>
        <v>1.863112502</v>
      </c>
      <c r="Y220" s="639">
        <f t="array" ref="Y220">Y219/index(GiveDirectly!$B:$B,match("Units of value generated per philanthropic dollar spent, after accounting for all adjustments",GiveDirectly!$A:$A,0))</f>
        <v>2.168629682</v>
      </c>
      <c r="Z220" s="639">
        <f t="array" ref="Z220">Z219/index(GiveDirectly!$B:$B,match("Units of value generated per philanthropic dollar spent, after accounting for all adjustments",GiveDirectly!$A:$A,0))</f>
        <v>0.9490197925</v>
      </c>
      <c r="AA220" s="639">
        <f t="array" ref="AA220">AA219/index(GiveDirectly!$B:$B,match("Units of value generated per philanthropic dollar spent, after accounting for all adjustments",GiveDirectly!$A:$A,0))</f>
        <v>2.90461751</v>
      </c>
      <c r="AB220" s="639">
        <f t="array" ref="AB220">AB219/index(GiveDirectly!$B:$B,match("Units of value generated per philanthropic dollar spent, after accounting for all adjustments",GiveDirectly!$A:$A,0))</f>
        <v>4.045093771</v>
      </c>
      <c r="AC220" s="639">
        <f t="array" ref="AC220">AC219/index(GiveDirectly!$B:$B,match("Units of value generated per philanthropic dollar spent, after accounting for all adjustments",GiveDirectly!$A:$A,0))</f>
        <v>2.38526303</v>
      </c>
      <c r="AD220" s="639">
        <f t="array" ref="AD220">AD219/index(GiveDirectly!$B:$B,match("Units of value generated per philanthropic dollar spent, after accounting for all adjustments",GiveDirectly!$A:$A,0))</f>
        <v>2.204963477</v>
      </c>
      <c r="AE220" s="639">
        <f t="array" ref="AE220">AE219/index(GiveDirectly!$B:$B,match("Units of value generated per philanthropic dollar spent, after accounting for all adjustments",GiveDirectly!$A:$A,0))</f>
        <v>1.034713391</v>
      </c>
      <c r="AF220" s="639">
        <f t="array" ref="AF220">AF219/index(GiveDirectly!$B:$B,match("Units of value generated per philanthropic dollar spent, after accounting for all adjustments",GiveDirectly!$A:$A,0))</f>
        <v>1.731338931</v>
      </c>
      <c r="AG220" s="639">
        <f t="array" ref="AG220">AG219/index(GiveDirectly!$B:$B,match("Units of value generated per philanthropic dollar spent, after accounting for all adjustments",GiveDirectly!$A:$A,0))</f>
        <v>2.09404303</v>
      </c>
      <c r="AH220" s="639">
        <f t="array" ref="AH220">AH219/index(GiveDirectly!$B:$B,match("Units of value generated per philanthropic dollar spent, after accounting for all adjustments",GiveDirectly!$A:$A,0))</f>
        <v>1.45408096</v>
      </c>
      <c r="AI220" s="639">
        <f t="array" ref="AI220">AI219/index(GiveDirectly!$B:$B,match("Units of value generated per philanthropic dollar spent, after accounting for all adjustments",GiveDirectly!$A:$A,0))</f>
        <v>14.05247457</v>
      </c>
      <c r="AJ220" s="639">
        <f t="array" ref="AJ220">AJ219/index(GiveDirectly!$B:$B,match("Units of value generated per philanthropic dollar spent, after accounting for all adjustments",GiveDirectly!$A:$A,0))</f>
        <v>4.587607845</v>
      </c>
      <c r="AK220" s="639">
        <f t="array" ref="AK220">AK219/index(GiveDirectly!$B:$B,match("Units of value generated per philanthropic dollar spent, after accounting for all adjustments",GiveDirectly!$A:$A,0))</f>
        <v>3.919946951</v>
      </c>
      <c r="AL220" s="639">
        <f t="array" ref="AL220">AL219/index(GiveDirectly!$B:$B,match("Units of value generated per philanthropic dollar spent, after accounting for all adjustments",GiveDirectly!$A:$A,0))</f>
        <v>11.79843061</v>
      </c>
    </row>
    <row r="221">
      <c r="A221" s="91"/>
      <c r="B221" s="623"/>
      <c r="C221" s="623"/>
      <c r="D221" s="623"/>
      <c r="E221" s="623"/>
      <c r="F221" s="623"/>
      <c r="G221" s="89"/>
      <c r="H221" s="89"/>
      <c r="I221" s="89"/>
      <c r="J221" s="89"/>
      <c r="K221" s="89"/>
      <c r="L221" s="89"/>
      <c r="M221" s="89"/>
      <c r="N221" s="89"/>
      <c r="O221" s="89"/>
      <c r="P221" s="89"/>
      <c r="Q221" s="623"/>
      <c r="R221" s="623"/>
      <c r="S221" s="623"/>
      <c r="T221" s="89"/>
      <c r="U221" s="623"/>
      <c r="V221" s="623"/>
      <c r="W221" s="89"/>
      <c r="X221" s="89"/>
      <c r="Y221" s="623"/>
      <c r="Z221" s="623"/>
      <c r="AA221" s="89"/>
      <c r="AB221" s="89"/>
      <c r="AC221" s="89"/>
      <c r="AD221" s="89"/>
      <c r="AE221" s="89"/>
      <c r="AF221" s="89"/>
      <c r="AG221" s="89"/>
      <c r="AH221" s="89"/>
      <c r="AI221" s="623"/>
      <c r="AJ221" s="623"/>
      <c r="AK221" s="623"/>
      <c r="AL221" s="623"/>
    </row>
    <row r="222">
      <c r="A222" s="160" t="s">
        <v>756</v>
      </c>
      <c r="B222" s="640"/>
      <c r="C222" s="640"/>
      <c r="D222" s="640"/>
      <c r="E222" s="640"/>
      <c r="F222" s="640"/>
      <c r="G222" s="26"/>
      <c r="H222" s="26"/>
      <c r="I222" s="26"/>
      <c r="J222" s="26"/>
      <c r="K222" s="26"/>
      <c r="L222" s="26"/>
      <c r="M222" s="26"/>
      <c r="N222" s="26"/>
      <c r="O222" s="26"/>
      <c r="P222" s="26"/>
      <c r="Q222" s="640"/>
      <c r="R222" s="640"/>
      <c r="S222" s="640"/>
      <c r="T222" s="26"/>
      <c r="U222" s="640"/>
      <c r="V222" s="640"/>
      <c r="W222" s="26"/>
      <c r="X222" s="26"/>
      <c r="Y222" s="640"/>
      <c r="Z222" s="640"/>
      <c r="AA222" s="26"/>
      <c r="AB222" s="26"/>
      <c r="AC222" s="26"/>
      <c r="AD222" s="26"/>
      <c r="AE222" s="26"/>
      <c r="AF222" s="26"/>
      <c r="AG222" s="26"/>
      <c r="AH222" s="26"/>
      <c r="AI222" s="640"/>
      <c r="AJ222" s="640"/>
      <c r="AK222" s="640"/>
      <c r="AL222" s="640"/>
    </row>
    <row r="223">
      <c r="A223" s="209" t="s">
        <v>211</v>
      </c>
      <c r="B223" s="641"/>
      <c r="C223" s="641"/>
      <c r="D223" s="641"/>
      <c r="E223" s="641"/>
      <c r="F223" s="641"/>
      <c r="G223" s="84"/>
      <c r="H223" s="84"/>
      <c r="I223" s="84"/>
      <c r="J223" s="84"/>
      <c r="K223" s="84"/>
      <c r="L223" s="84"/>
      <c r="M223" s="84"/>
      <c r="N223" s="84"/>
      <c r="O223" s="84"/>
      <c r="P223" s="84"/>
      <c r="Q223" s="641"/>
      <c r="R223" s="641"/>
      <c r="S223" s="641"/>
      <c r="T223" s="84"/>
      <c r="U223" s="641"/>
      <c r="V223" s="641"/>
      <c r="W223" s="84"/>
      <c r="X223" s="84"/>
      <c r="Y223" s="641"/>
      <c r="Z223" s="641"/>
      <c r="AA223" s="84"/>
      <c r="AB223" s="84"/>
      <c r="AC223" s="84"/>
      <c r="AD223" s="84"/>
      <c r="AE223" s="84"/>
      <c r="AF223" s="84"/>
      <c r="AG223" s="84"/>
      <c r="AH223" s="84"/>
      <c r="AI223" s="641"/>
      <c r="AJ223" s="641"/>
      <c r="AK223" s="641"/>
      <c r="AL223" s="641"/>
    </row>
    <row r="224">
      <c r="A224" s="77" t="str">
        <f>IFERROR(__xludf.DUMMYFUNCTION("filter('Supplemental intervention-level'!C:C,'Supplemental intervention-level'!A:A=""NI"",'Supplemental intervention-level'!D:D=""Explicitly modeled"")"),"Vaccine-preventable disease mortality for individuals under 5")</f>
        <v>Vaccine-preventable disease mortality for individuals under 5</v>
      </c>
      <c r="B224" s="641"/>
      <c r="C224" s="641"/>
      <c r="D224" s="641"/>
      <c r="E224" s="641"/>
      <c r="F224" s="641"/>
      <c r="G224" s="84"/>
      <c r="H224" s="84"/>
      <c r="I224" s="84"/>
      <c r="J224" s="84"/>
      <c r="K224" s="84"/>
      <c r="L224" s="84"/>
      <c r="M224" s="84"/>
      <c r="N224" s="84"/>
      <c r="O224" s="84"/>
      <c r="P224" s="84"/>
      <c r="Q224" s="641"/>
      <c r="R224" s="641"/>
      <c r="S224" s="641"/>
      <c r="T224" s="84"/>
      <c r="U224" s="641"/>
      <c r="V224" s="641"/>
      <c r="W224" s="84"/>
      <c r="X224" s="84"/>
      <c r="Y224" s="641"/>
      <c r="Z224" s="641"/>
      <c r="AA224" s="84"/>
      <c r="AB224" s="84"/>
      <c r="AC224" s="84"/>
      <c r="AD224" s="84"/>
      <c r="AE224" s="84"/>
      <c r="AF224" s="84"/>
      <c r="AG224" s="84"/>
      <c r="AH224" s="84"/>
      <c r="AI224" s="641"/>
      <c r="AJ224" s="641"/>
      <c r="AK224" s="641"/>
      <c r="AL224" s="641"/>
    </row>
    <row r="225">
      <c r="A225" s="71" t="str">
        <f>IFERROR(__xludf.DUMMYFUNCTION("""COMPUTED_VALUE"""),"Vaccine-preventable disease mortality for individuals 5 and older")</f>
        <v>Vaccine-preventable disease mortality for individuals 5 and older</v>
      </c>
      <c r="B225" s="641"/>
      <c r="C225" s="641"/>
      <c r="D225" s="641"/>
      <c r="E225" s="641"/>
      <c r="F225" s="641"/>
      <c r="G225" s="84"/>
      <c r="H225" s="84"/>
      <c r="I225" s="84"/>
      <c r="J225" s="84"/>
      <c r="K225" s="84"/>
      <c r="L225" s="84"/>
      <c r="M225" s="84"/>
      <c r="N225" s="84"/>
      <c r="O225" s="84"/>
      <c r="P225" s="84"/>
      <c r="Q225" s="641"/>
      <c r="R225" s="641"/>
      <c r="S225" s="641"/>
      <c r="T225" s="84"/>
      <c r="U225" s="641"/>
      <c r="V225" s="641"/>
      <c r="W225" s="84"/>
      <c r="X225" s="84"/>
      <c r="Y225" s="641"/>
      <c r="Z225" s="641"/>
      <c r="AA225" s="84"/>
      <c r="AB225" s="84"/>
      <c r="AC225" s="84"/>
      <c r="AD225" s="84"/>
      <c r="AE225" s="84"/>
      <c r="AF225" s="84"/>
      <c r="AG225" s="84"/>
      <c r="AH225" s="84"/>
      <c r="AI225" s="641"/>
      <c r="AJ225" s="641"/>
      <c r="AK225" s="641"/>
      <c r="AL225" s="641"/>
    </row>
    <row r="226">
      <c r="A226" s="225" t="str">
        <f>IFERROR(__xludf.DUMMYFUNCTION("""COMPUTED_VALUE"""),"Developmental effects")</f>
        <v>Developmental effects</v>
      </c>
      <c r="B226" s="641"/>
      <c r="C226" s="641"/>
      <c r="D226" s="641"/>
      <c r="E226" s="641"/>
      <c r="F226" s="641"/>
      <c r="G226" s="84"/>
      <c r="H226" s="84"/>
      <c r="I226" s="84"/>
      <c r="J226" s="84"/>
      <c r="K226" s="84"/>
      <c r="L226" s="84"/>
      <c r="M226" s="84"/>
      <c r="N226" s="84"/>
      <c r="O226" s="84"/>
      <c r="P226" s="84"/>
      <c r="Q226" s="641"/>
      <c r="R226" s="641"/>
      <c r="S226" s="641"/>
      <c r="T226" s="84"/>
      <c r="U226" s="641"/>
      <c r="V226" s="641"/>
      <c r="W226" s="84"/>
      <c r="X226" s="84"/>
      <c r="Y226" s="641"/>
      <c r="Z226" s="641"/>
      <c r="AA226" s="84"/>
      <c r="AB226" s="84"/>
      <c r="AC226" s="84"/>
      <c r="AD226" s="84"/>
      <c r="AE226" s="84"/>
      <c r="AF226" s="84"/>
      <c r="AG226" s="84"/>
      <c r="AH226" s="84"/>
      <c r="AI226" s="641"/>
      <c r="AJ226" s="641"/>
      <c r="AK226" s="641"/>
      <c r="AL226" s="641"/>
    </row>
    <row r="227">
      <c r="A227" s="225" t="str">
        <f>IFERROR(__xludf.DUMMYFUNCTION("""COMPUTED_VALUE"""),"Consumption benefits")</f>
        <v>Consumption benefits</v>
      </c>
      <c r="B227" s="641"/>
      <c r="C227" s="641"/>
      <c r="D227" s="641"/>
      <c r="E227" s="641"/>
      <c r="F227" s="641"/>
      <c r="G227" s="84"/>
      <c r="H227" s="84"/>
      <c r="I227" s="84"/>
      <c r="J227" s="84"/>
      <c r="K227" s="84"/>
      <c r="L227" s="84"/>
      <c r="M227" s="84"/>
      <c r="N227" s="84"/>
      <c r="O227" s="84"/>
      <c r="P227" s="84"/>
      <c r="Q227" s="641"/>
      <c r="R227" s="641"/>
      <c r="S227" s="641"/>
      <c r="T227" s="84"/>
      <c r="U227" s="641"/>
      <c r="V227" s="641"/>
      <c r="W227" s="84"/>
      <c r="X227" s="84"/>
      <c r="Y227" s="641"/>
      <c r="Z227" s="641"/>
      <c r="AA227" s="84"/>
      <c r="AB227" s="84"/>
      <c r="AC227" s="84"/>
      <c r="AD227" s="84"/>
      <c r="AE227" s="84"/>
      <c r="AF227" s="84"/>
      <c r="AG227" s="84"/>
      <c r="AH227" s="84"/>
      <c r="AI227" s="641"/>
      <c r="AJ227" s="641"/>
      <c r="AK227" s="641"/>
      <c r="AL227" s="641"/>
    </row>
    <row r="228" outlineLevel="1">
      <c r="A228" s="209"/>
      <c r="B228" s="641"/>
      <c r="C228" s="641"/>
      <c r="D228" s="641"/>
      <c r="E228" s="641"/>
      <c r="F228" s="641"/>
      <c r="G228" s="84"/>
      <c r="H228" s="84"/>
      <c r="I228" s="84"/>
      <c r="J228" s="84"/>
      <c r="K228" s="84"/>
      <c r="L228" s="84"/>
      <c r="M228" s="84"/>
      <c r="N228" s="84"/>
      <c r="O228" s="84"/>
      <c r="P228" s="84"/>
      <c r="Q228" s="641"/>
      <c r="R228" s="641"/>
      <c r="S228" s="641"/>
      <c r="T228" s="84"/>
      <c r="U228" s="641"/>
      <c r="V228" s="641"/>
      <c r="W228" s="84"/>
      <c r="X228" s="84"/>
      <c r="Y228" s="641"/>
      <c r="Z228" s="641"/>
      <c r="AA228" s="84"/>
      <c r="AB228" s="84"/>
      <c r="AC228" s="84"/>
      <c r="AD228" s="84"/>
      <c r="AE228" s="84"/>
      <c r="AF228" s="84"/>
      <c r="AG228" s="84"/>
      <c r="AH228" s="84"/>
      <c r="AI228" s="641"/>
      <c r="AJ228" s="641"/>
      <c r="AK228" s="641"/>
      <c r="AL228" s="641"/>
    </row>
    <row r="229" outlineLevel="1">
      <c r="A229" s="209" t="s">
        <v>27</v>
      </c>
      <c r="B229" s="641"/>
      <c r="C229" s="641"/>
      <c r="D229" s="641"/>
      <c r="E229" s="641"/>
      <c r="F229" s="641"/>
      <c r="G229" s="84"/>
      <c r="H229" s="84"/>
      <c r="I229" s="84"/>
      <c r="J229" s="84"/>
      <c r="K229" s="84"/>
      <c r="L229" s="84"/>
      <c r="M229" s="84"/>
      <c r="N229" s="84"/>
      <c r="O229" s="84"/>
      <c r="P229" s="84"/>
      <c r="Q229" s="641"/>
      <c r="R229" s="641"/>
      <c r="S229" s="641"/>
      <c r="T229" s="84"/>
      <c r="U229" s="641"/>
      <c r="V229" s="641"/>
      <c r="W229" s="84"/>
      <c r="X229" s="84"/>
      <c r="Y229" s="641"/>
      <c r="Z229" s="641"/>
      <c r="AA229" s="84"/>
      <c r="AB229" s="84"/>
      <c r="AC229" s="84"/>
      <c r="AD229" s="84"/>
      <c r="AE229" s="84"/>
      <c r="AF229" s="84"/>
      <c r="AG229" s="84"/>
      <c r="AH229" s="84"/>
      <c r="AI229" s="641"/>
      <c r="AJ229" s="641"/>
      <c r="AK229" s="641"/>
      <c r="AL229" s="641"/>
    </row>
    <row r="230" outlineLevel="1">
      <c r="A230" s="77" t="str">
        <f>IFERROR(__xludf.DUMMYFUNCTION("filter('Supplemental intervention-level'!C:C,'Supplemental intervention-level'!A:A=""NI"",'Supplemental intervention-level'!D:D=""Not explicitly modeled"")"),"Lower likelihood of infecting others")</f>
        <v>Lower likelihood of infecting others</v>
      </c>
      <c r="B230" s="642">
        <f t="array" ref="B230">iferror(if(isblank($A230),"",index('Supplemental intervention-level'!$M:$M,match(1,('Supplemental intervention-level'!$C:$C=$A230)*('Supplemental intervention-level'!$A:$A="NI"),0))),"Not specified")</f>
        <v>0.06</v>
      </c>
      <c r="C230" s="642">
        <f t="array" ref="C230">iferror(if(isblank($A230),"",index('Supplemental intervention-level'!$M:$M,match(1,('Supplemental intervention-level'!$C:$C=$A230)*('Supplemental intervention-level'!$A:$A="NI"),0))),"Not specified")</f>
        <v>0.06</v>
      </c>
      <c r="D230" s="642">
        <f t="array" ref="D230">iferror(if(isblank($A230),"",index('Supplemental intervention-level'!$M:$M,match(1,('Supplemental intervention-level'!$C:$C=$A230)*('Supplemental intervention-level'!$A:$A="NI"),0))),"Not specified")</f>
        <v>0.06</v>
      </c>
      <c r="E230" s="642">
        <f t="array" ref="E230">iferror(if(isblank($A230),"",index('Supplemental intervention-level'!$M:$M,match(1,('Supplemental intervention-level'!$C:$C=$A230)*('Supplemental intervention-level'!$A:$A="NI"),0))),"Not specified")</f>
        <v>0.06</v>
      </c>
      <c r="F230" s="642">
        <f t="array" ref="F230">iferror(if(isblank($A230),"",index('Supplemental intervention-level'!$M:$M,match(1,('Supplemental intervention-level'!$C:$C=$A230)*('Supplemental intervention-level'!$A:$A="NI"),0))),"Not specified")</f>
        <v>0.06</v>
      </c>
      <c r="G230" s="642">
        <f t="array" ref="G230">iferror(if(isblank($A230),"",index('Supplemental intervention-level'!$M:$M,match(1,('Supplemental intervention-level'!$C:$C=$A230)*('Supplemental intervention-level'!$A:$A="NI"),0))),"Not specified")</f>
        <v>0.06</v>
      </c>
      <c r="H230" s="642">
        <f t="array" ref="H230">iferror(if(isblank($A230),"",index('Supplemental intervention-level'!$M:$M,match(1,('Supplemental intervention-level'!$C:$C=$A230)*('Supplemental intervention-level'!$A:$A="NI"),0))),"Not specified")</f>
        <v>0.06</v>
      </c>
      <c r="I230" s="642">
        <f t="array" ref="I230">iferror(if(isblank($A230),"",index('Supplemental intervention-level'!$M:$M,match(1,('Supplemental intervention-level'!$C:$C=$A230)*('Supplemental intervention-level'!$A:$A="NI"),0))),"Not specified")</f>
        <v>0.06</v>
      </c>
      <c r="J230" s="642">
        <f t="array" ref="J230">iferror(if(isblank($A230),"",index('Supplemental intervention-level'!$M:$M,match(1,('Supplemental intervention-level'!$C:$C=$A230)*('Supplemental intervention-level'!$A:$A="NI"),0))),"Not specified")</f>
        <v>0.06</v>
      </c>
      <c r="K230" s="642">
        <f t="array" ref="K230">iferror(if(isblank($A230),"",index('Supplemental intervention-level'!$M:$M,match(1,('Supplemental intervention-level'!$C:$C=$A230)*('Supplemental intervention-level'!$A:$A="NI"),0))),"Not specified")</f>
        <v>0.06</v>
      </c>
      <c r="L230" s="642">
        <f t="array" ref="L230">iferror(if(isblank($A230),"",index('Supplemental intervention-level'!$M:$M,match(1,('Supplemental intervention-level'!$C:$C=$A230)*('Supplemental intervention-level'!$A:$A="NI"),0))),"Not specified")</f>
        <v>0.06</v>
      </c>
      <c r="M230" s="642">
        <f t="array" ref="M230">iferror(if(isblank($A230),"",index('Supplemental intervention-level'!$M:$M,match(1,('Supplemental intervention-level'!$C:$C=$A230)*('Supplemental intervention-level'!$A:$A="NI"),0))),"Not specified")</f>
        <v>0.06</v>
      </c>
      <c r="N230" s="642">
        <f t="array" ref="N230">iferror(if(isblank($A230),"",index('Supplemental intervention-level'!$M:$M,match(1,('Supplemental intervention-level'!$C:$C=$A230)*('Supplemental intervention-level'!$A:$A="NI"),0))),"Not specified")</f>
        <v>0.06</v>
      </c>
      <c r="O230" s="642">
        <f t="array" ref="O230">iferror(if(isblank($A230),"",index('Supplemental intervention-level'!$M:$M,match(1,('Supplemental intervention-level'!$C:$C=$A230)*('Supplemental intervention-level'!$A:$A="NI"),0))),"Not specified")</f>
        <v>0.06</v>
      </c>
      <c r="P230" s="642">
        <f t="array" ref="P230">iferror(if(isblank($A230),"",index('Supplemental intervention-level'!$M:$M,match(1,('Supplemental intervention-level'!$C:$C=$A230)*('Supplemental intervention-level'!$A:$A="NI"),0))),"Not specified")</f>
        <v>0.06</v>
      </c>
      <c r="Q230" s="642">
        <f t="array" ref="Q230">iferror(if(isblank($A230),"",index('Supplemental intervention-level'!$M:$M,match(1,('Supplemental intervention-level'!$C:$C=$A230)*('Supplemental intervention-level'!$A:$A="NI"),0))),"Not specified")</f>
        <v>0.06</v>
      </c>
      <c r="R230" s="642">
        <f t="array" ref="R230">iferror(if(isblank($A230),"",index('Supplemental intervention-level'!$M:$M,match(1,('Supplemental intervention-level'!$C:$C=$A230)*('Supplemental intervention-level'!$A:$A="NI"),0))),"Not specified")</f>
        <v>0.06</v>
      </c>
      <c r="S230" s="642">
        <f t="array" ref="S230">iferror(if(isblank($A230),"",index('Supplemental intervention-level'!$M:$M,match(1,('Supplemental intervention-level'!$C:$C=$A230)*('Supplemental intervention-level'!$A:$A="NI"),0))),"Not specified")</f>
        <v>0.06</v>
      </c>
      <c r="T230" s="642">
        <f t="array" ref="T230">iferror(if(isblank($A230),"",index('Supplemental intervention-level'!$M:$M,match(1,('Supplemental intervention-level'!$C:$C=$A230)*('Supplemental intervention-level'!$A:$A="NI"),0))),"Not specified")</f>
        <v>0.06</v>
      </c>
      <c r="U230" s="642">
        <f t="array" ref="U230">iferror(if(isblank($A230),"",index('Supplemental intervention-level'!$M:$M,match(1,('Supplemental intervention-level'!$C:$C=$A230)*('Supplemental intervention-level'!$A:$A="NI"),0))),"Not specified")</f>
        <v>0.06</v>
      </c>
      <c r="V230" s="642">
        <f t="array" ref="V230">iferror(if(isblank($A230),"",index('Supplemental intervention-level'!$M:$M,match(1,('Supplemental intervention-level'!$C:$C=$A230)*('Supplemental intervention-level'!$A:$A="NI"),0))),"Not specified")</f>
        <v>0.06</v>
      </c>
      <c r="W230" s="642">
        <f t="array" ref="W230">iferror(if(isblank($A230),"",index('Supplemental intervention-level'!$M:$M,match(1,('Supplemental intervention-level'!$C:$C=$A230)*('Supplemental intervention-level'!$A:$A="NI"),0))),"Not specified")</f>
        <v>0.06</v>
      </c>
      <c r="X230" s="642">
        <f t="array" ref="X230">iferror(if(isblank($A230),"",index('Supplemental intervention-level'!$M:$M,match(1,('Supplemental intervention-level'!$C:$C=$A230)*('Supplemental intervention-level'!$A:$A="NI"),0))),"Not specified")</f>
        <v>0.06</v>
      </c>
      <c r="Y230" s="642">
        <f t="array" ref="Y230">iferror(if(isblank($A230),"",index('Supplemental intervention-level'!$M:$M,match(1,('Supplemental intervention-level'!$C:$C=$A230)*('Supplemental intervention-level'!$A:$A="NI"),0))),"Not specified")</f>
        <v>0.06</v>
      </c>
      <c r="Z230" s="642">
        <f t="array" ref="Z230">iferror(if(isblank($A230),"",index('Supplemental intervention-level'!$M:$M,match(1,('Supplemental intervention-level'!$C:$C=$A230)*('Supplemental intervention-level'!$A:$A="NI"),0))),"Not specified")</f>
        <v>0.06</v>
      </c>
      <c r="AA230" s="642">
        <f t="array" ref="AA230">iferror(if(isblank($A230),"",index('Supplemental intervention-level'!$M:$M,match(1,('Supplemental intervention-level'!$C:$C=$A230)*('Supplemental intervention-level'!$A:$A="NI"),0))),"Not specified")</f>
        <v>0.06</v>
      </c>
      <c r="AB230" s="642">
        <f t="array" ref="AB230">iferror(if(isblank($A230),"",index('Supplemental intervention-level'!$M:$M,match(1,('Supplemental intervention-level'!$C:$C=$A230)*('Supplemental intervention-level'!$A:$A="NI"),0))),"Not specified")</f>
        <v>0.06</v>
      </c>
      <c r="AC230" s="642">
        <f t="array" ref="AC230">iferror(if(isblank($A230),"",index('Supplemental intervention-level'!$M:$M,match(1,('Supplemental intervention-level'!$C:$C=$A230)*('Supplemental intervention-level'!$A:$A="NI"),0))),"Not specified")</f>
        <v>0.06</v>
      </c>
      <c r="AD230" s="642">
        <f t="array" ref="AD230">iferror(if(isblank($A230),"",index('Supplemental intervention-level'!$M:$M,match(1,('Supplemental intervention-level'!$C:$C=$A230)*('Supplemental intervention-level'!$A:$A="NI"),0))),"Not specified")</f>
        <v>0.06</v>
      </c>
      <c r="AE230" s="642">
        <f t="array" ref="AE230">iferror(if(isblank($A230),"",index('Supplemental intervention-level'!$M:$M,match(1,('Supplemental intervention-level'!$C:$C=$A230)*('Supplemental intervention-level'!$A:$A="NI"),0))),"Not specified")</f>
        <v>0.06</v>
      </c>
      <c r="AF230" s="642">
        <f t="array" ref="AF230">iferror(if(isblank($A230),"",index('Supplemental intervention-level'!$M:$M,match(1,('Supplemental intervention-level'!$C:$C=$A230)*('Supplemental intervention-level'!$A:$A="NI"),0))),"Not specified")</f>
        <v>0.06</v>
      </c>
      <c r="AG230" s="642">
        <f t="array" ref="AG230">iferror(if(isblank($A230),"",index('Supplemental intervention-level'!$M:$M,match(1,('Supplemental intervention-level'!$C:$C=$A230)*('Supplemental intervention-level'!$A:$A="NI"),0))),"Not specified")</f>
        <v>0.06</v>
      </c>
      <c r="AH230" s="642">
        <f t="array" ref="AH230">iferror(if(isblank($A230),"",index('Supplemental intervention-level'!$M:$M,match(1,('Supplemental intervention-level'!$C:$C=$A230)*('Supplemental intervention-level'!$A:$A="NI"),0))),"Not specified")</f>
        <v>0.06</v>
      </c>
      <c r="AI230" s="642">
        <f t="array" ref="AI230">iferror(if(isblank($A230),"",index('Supplemental intervention-level'!$M:$M,match(1,('Supplemental intervention-level'!$C:$C=$A230)*('Supplemental intervention-level'!$A:$A="NI"),0))),"Not specified")</f>
        <v>0.06</v>
      </c>
      <c r="AJ230" s="642">
        <f t="array" ref="AJ230">iferror(if(isblank($A230),"",index('Supplemental intervention-level'!$M:$M,match(1,('Supplemental intervention-level'!$C:$C=$A230)*('Supplemental intervention-level'!$A:$A="NI"),0))),"Not specified")</f>
        <v>0.06</v>
      </c>
      <c r="AK230" s="642">
        <f t="array" ref="AK230">iferror(if(isblank($A230),"",index('Supplemental intervention-level'!$M:$M,match(1,('Supplemental intervention-level'!$C:$C=$A230)*('Supplemental intervention-level'!$A:$A="NI"),0))),"Not specified")</f>
        <v>0.06</v>
      </c>
      <c r="AL230" s="642">
        <f t="array" ref="AL230">iferror(if(isblank($A230),"",index('Supplemental intervention-level'!$M:$M,match(1,('Supplemental intervention-level'!$C:$C=$A230)*('Supplemental intervention-level'!$A:$A="NI"),0))),"Not specified")</f>
        <v>0.06</v>
      </c>
    </row>
    <row r="231" outlineLevel="1">
      <c r="A231" s="116" t="str">
        <f>IFERROR(__xludf.DUMMYFUNCTION("""COMPUTED_VALUE"""),"Herd immunity")</f>
        <v>Herd immunity</v>
      </c>
      <c r="B231" s="642">
        <f t="array" ref="B231">iferror(if(isblank($A231),"",index('Supplemental intervention-level'!$M:$M,match(1,('Supplemental intervention-level'!$C:$C=$A231)*('Supplemental intervention-level'!$A:$A="NI"),0))),"Not specified")</f>
        <v>0.125</v>
      </c>
      <c r="C231" s="642">
        <f t="array" ref="C231">iferror(if(isblank($A231),"",index('Supplemental intervention-level'!$M:$M,match(1,('Supplemental intervention-level'!$C:$C=$A231)*('Supplemental intervention-level'!$A:$A="NI"),0))),"Not specified")</f>
        <v>0.125</v>
      </c>
      <c r="D231" s="642">
        <f t="array" ref="D231">iferror(if(isblank($A231),"",index('Supplemental intervention-level'!$M:$M,match(1,('Supplemental intervention-level'!$C:$C=$A231)*('Supplemental intervention-level'!$A:$A="NI"),0))),"Not specified")</f>
        <v>0.125</v>
      </c>
      <c r="E231" s="642">
        <f t="array" ref="E231">iferror(if(isblank($A231),"",index('Supplemental intervention-level'!$M:$M,match(1,('Supplemental intervention-level'!$C:$C=$A231)*('Supplemental intervention-level'!$A:$A="NI"),0))),"Not specified")</f>
        <v>0.125</v>
      </c>
      <c r="F231" s="642">
        <f t="array" ref="F231">iferror(if(isblank($A231),"",index('Supplemental intervention-level'!$M:$M,match(1,('Supplemental intervention-level'!$C:$C=$A231)*('Supplemental intervention-level'!$A:$A="NI"),0))),"Not specified")</f>
        <v>0.125</v>
      </c>
      <c r="G231" s="642">
        <f t="array" ref="G231">iferror(if(isblank($A231),"",index('Supplemental intervention-level'!$M:$M,match(1,('Supplemental intervention-level'!$C:$C=$A231)*('Supplemental intervention-level'!$A:$A="NI"),0))),"Not specified")</f>
        <v>0.125</v>
      </c>
      <c r="H231" s="642">
        <f t="array" ref="H231">iferror(if(isblank($A231),"",index('Supplemental intervention-level'!$M:$M,match(1,('Supplemental intervention-level'!$C:$C=$A231)*('Supplemental intervention-level'!$A:$A="NI"),0))),"Not specified")</f>
        <v>0.125</v>
      </c>
      <c r="I231" s="642">
        <f t="array" ref="I231">iferror(if(isblank($A231),"",index('Supplemental intervention-level'!$M:$M,match(1,('Supplemental intervention-level'!$C:$C=$A231)*('Supplemental intervention-level'!$A:$A="NI"),0))),"Not specified")</f>
        <v>0.125</v>
      </c>
      <c r="J231" s="642">
        <f t="array" ref="J231">iferror(if(isblank($A231),"",index('Supplemental intervention-level'!$M:$M,match(1,('Supplemental intervention-level'!$C:$C=$A231)*('Supplemental intervention-level'!$A:$A="NI"),0))),"Not specified")</f>
        <v>0.125</v>
      </c>
      <c r="K231" s="642">
        <f t="array" ref="K231">iferror(if(isblank($A231),"",index('Supplemental intervention-level'!$M:$M,match(1,('Supplemental intervention-level'!$C:$C=$A231)*('Supplemental intervention-level'!$A:$A="NI"),0))),"Not specified")</f>
        <v>0.125</v>
      </c>
      <c r="L231" s="642">
        <f t="array" ref="L231">iferror(if(isblank($A231),"",index('Supplemental intervention-level'!$M:$M,match(1,('Supplemental intervention-level'!$C:$C=$A231)*('Supplemental intervention-level'!$A:$A="NI"),0))),"Not specified")</f>
        <v>0.125</v>
      </c>
      <c r="M231" s="642">
        <f t="array" ref="M231">iferror(if(isblank($A231),"",index('Supplemental intervention-level'!$M:$M,match(1,('Supplemental intervention-level'!$C:$C=$A231)*('Supplemental intervention-level'!$A:$A="NI"),0))),"Not specified")</f>
        <v>0.125</v>
      </c>
      <c r="N231" s="642">
        <f t="array" ref="N231">iferror(if(isblank($A231),"",index('Supplemental intervention-level'!$M:$M,match(1,('Supplemental intervention-level'!$C:$C=$A231)*('Supplemental intervention-level'!$A:$A="NI"),0))),"Not specified")</f>
        <v>0.125</v>
      </c>
      <c r="O231" s="642">
        <f t="array" ref="O231">iferror(if(isblank($A231),"",index('Supplemental intervention-level'!$M:$M,match(1,('Supplemental intervention-level'!$C:$C=$A231)*('Supplemental intervention-level'!$A:$A="NI"),0))),"Not specified")</f>
        <v>0.125</v>
      </c>
      <c r="P231" s="642">
        <f t="array" ref="P231">iferror(if(isblank($A231),"",index('Supplemental intervention-level'!$M:$M,match(1,('Supplemental intervention-level'!$C:$C=$A231)*('Supplemental intervention-level'!$A:$A="NI"),0))),"Not specified")</f>
        <v>0.125</v>
      </c>
      <c r="Q231" s="642">
        <f t="array" ref="Q231">iferror(if(isblank($A231),"",index('Supplemental intervention-level'!$M:$M,match(1,('Supplemental intervention-level'!$C:$C=$A231)*('Supplemental intervention-level'!$A:$A="NI"),0))),"Not specified")</f>
        <v>0.125</v>
      </c>
      <c r="R231" s="642">
        <f t="array" ref="R231">iferror(if(isblank($A231),"",index('Supplemental intervention-level'!$M:$M,match(1,('Supplemental intervention-level'!$C:$C=$A231)*('Supplemental intervention-level'!$A:$A="NI"),0))),"Not specified")</f>
        <v>0.125</v>
      </c>
      <c r="S231" s="642">
        <f t="array" ref="S231">iferror(if(isblank($A231),"",index('Supplemental intervention-level'!$M:$M,match(1,('Supplemental intervention-level'!$C:$C=$A231)*('Supplemental intervention-level'!$A:$A="NI"),0))),"Not specified")</f>
        <v>0.125</v>
      </c>
      <c r="T231" s="642">
        <f t="array" ref="T231">iferror(if(isblank($A231),"",index('Supplemental intervention-level'!$M:$M,match(1,('Supplemental intervention-level'!$C:$C=$A231)*('Supplemental intervention-level'!$A:$A="NI"),0))),"Not specified")</f>
        <v>0.125</v>
      </c>
      <c r="U231" s="642">
        <f t="array" ref="U231">iferror(if(isblank($A231),"",index('Supplemental intervention-level'!$M:$M,match(1,('Supplemental intervention-level'!$C:$C=$A231)*('Supplemental intervention-level'!$A:$A="NI"),0))),"Not specified")</f>
        <v>0.125</v>
      </c>
      <c r="V231" s="642">
        <f t="array" ref="V231">iferror(if(isblank($A231),"",index('Supplemental intervention-level'!$M:$M,match(1,('Supplemental intervention-level'!$C:$C=$A231)*('Supplemental intervention-level'!$A:$A="NI"),0))),"Not specified")</f>
        <v>0.125</v>
      </c>
      <c r="W231" s="642">
        <f t="array" ref="W231">iferror(if(isblank($A231),"",index('Supplemental intervention-level'!$M:$M,match(1,('Supplemental intervention-level'!$C:$C=$A231)*('Supplemental intervention-level'!$A:$A="NI"),0))),"Not specified")</f>
        <v>0.125</v>
      </c>
      <c r="X231" s="642">
        <f t="array" ref="X231">iferror(if(isblank($A231),"",index('Supplemental intervention-level'!$M:$M,match(1,('Supplemental intervention-level'!$C:$C=$A231)*('Supplemental intervention-level'!$A:$A="NI"),0))),"Not specified")</f>
        <v>0.125</v>
      </c>
      <c r="Y231" s="642">
        <f t="array" ref="Y231">iferror(if(isblank($A231),"",index('Supplemental intervention-level'!$M:$M,match(1,('Supplemental intervention-level'!$C:$C=$A231)*('Supplemental intervention-level'!$A:$A="NI"),0))),"Not specified")</f>
        <v>0.125</v>
      </c>
      <c r="Z231" s="642">
        <f t="array" ref="Z231">iferror(if(isblank($A231),"",index('Supplemental intervention-level'!$M:$M,match(1,('Supplemental intervention-level'!$C:$C=$A231)*('Supplemental intervention-level'!$A:$A="NI"),0))),"Not specified")</f>
        <v>0.125</v>
      </c>
      <c r="AA231" s="642">
        <f t="array" ref="AA231">iferror(if(isblank($A231),"",index('Supplemental intervention-level'!$M:$M,match(1,('Supplemental intervention-level'!$C:$C=$A231)*('Supplemental intervention-level'!$A:$A="NI"),0))),"Not specified")</f>
        <v>0.125</v>
      </c>
      <c r="AB231" s="642">
        <f t="array" ref="AB231">iferror(if(isblank($A231),"",index('Supplemental intervention-level'!$M:$M,match(1,('Supplemental intervention-level'!$C:$C=$A231)*('Supplemental intervention-level'!$A:$A="NI"),0))),"Not specified")</f>
        <v>0.125</v>
      </c>
      <c r="AC231" s="642">
        <f t="array" ref="AC231">iferror(if(isblank($A231),"",index('Supplemental intervention-level'!$M:$M,match(1,('Supplemental intervention-level'!$C:$C=$A231)*('Supplemental intervention-level'!$A:$A="NI"),0))),"Not specified")</f>
        <v>0.125</v>
      </c>
      <c r="AD231" s="642">
        <f t="array" ref="AD231">iferror(if(isblank($A231),"",index('Supplemental intervention-level'!$M:$M,match(1,('Supplemental intervention-level'!$C:$C=$A231)*('Supplemental intervention-level'!$A:$A="NI"),0))),"Not specified")</f>
        <v>0.125</v>
      </c>
      <c r="AE231" s="642">
        <f t="array" ref="AE231">iferror(if(isblank($A231),"",index('Supplemental intervention-level'!$M:$M,match(1,('Supplemental intervention-level'!$C:$C=$A231)*('Supplemental intervention-level'!$A:$A="NI"),0))),"Not specified")</f>
        <v>0.125</v>
      </c>
      <c r="AF231" s="642">
        <f t="array" ref="AF231">iferror(if(isblank($A231),"",index('Supplemental intervention-level'!$M:$M,match(1,('Supplemental intervention-level'!$C:$C=$A231)*('Supplemental intervention-level'!$A:$A="NI"),0))),"Not specified")</f>
        <v>0.125</v>
      </c>
      <c r="AG231" s="642">
        <f t="array" ref="AG231">iferror(if(isblank($A231),"",index('Supplemental intervention-level'!$M:$M,match(1,('Supplemental intervention-level'!$C:$C=$A231)*('Supplemental intervention-level'!$A:$A="NI"),0))),"Not specified")</f>
        <v>0.125</v>
      </c>
      <c r="AH231" s="642">
        <f t="array" ref="AH231">iferror(if(isblank($A231),"",index('Supplemental intervention-level'!$M:$M,match(1,('Supplemental intervention-level'!$C:$C=$A231)*('Supplemental intervention-level'!$A:$A="NI"),0))),"Not specified")</f>
        <v>0.125</v>
      </c>
      <c r="AI231" s="642">
        <f t="array" ref="AI231">iferror(if(isblank($A231),"",index('Supplemental intervention-level'!$M:$M,match(1,('Supplemental intervention-level'!$C:$C=$A231)*('Supplemental intervention-level'!$A:$A="NI"),0))),"Not specified")</f>
        <v>0.125</v>
      </c>
      <c r="AJ231" s="642">
        <f t="array" ref="AJ231">iferror(if(isblank($A231),"",index('Supplemental intervention-level'!$M:$M,match(1,('Supplemental intervention-level'!$C:$C=$A231)*('Supplemental intervention-level'!$A:$A="NI"),0))),"Not specified")</f>
        <v>0.125</v>
      </c>
      <c r="AK231" s="642">
        <f t="array" ref="AK231">iferror(if(isblank($A231),"",index('Supplemental intervention-level'!$M:$M,match(1,('Supplemental intervention-level'!$C:$C=$A231)*('Supplemental intervention-level'!$A:$A="NI"),0))),"Not specified")</f>
        <v>0.125</v>
      </c>
      <c r="AL231" s="642">
        <f t="array" ref="AL231">iferror(if(isblank($A231),"",index('Supplemental intervention-level'!$M:$M,match(1,('Supplemental intervention-level'!$C:$C=$A231)*('Supplemental intervention-level'!$A:$A="NI"),0))),"Not specified")</f>
        <v>0.125</v>
      </c>
    </row>
    <row r="232" outlineLevel="1">
      <c r="A232" s="116" t="str">
        <f>IFERROR(__xludf.DUMMYFUNCTION("""COMPUTED_VALUE"""),"Morbidity effects from directly incentivized vaccines and rotavirus")</f>
        <v>Morbidity effects from directly incentivized vaccines and rotavirus</v>
      </c>
      <c r="B232" s="642">
        <f t="array" ref="B232">iferror(if(isblank($A232),"",index('Supplemental intervention-level'!$M:$M,match(1,('Supplemental intervention-level'!$C:$C=$A232)*('Supplemental intervention-level'!$A:$A="NI"),0))),"Not specified")</f>
        <v>0.06</v>
      </c>
      <c r="C232" s="642">
        <f t="array" ref="C232">iferror(if(isblank($A232),"",index('Supplemental intervention-level'!$M:$M,match(1,('Supplemental intervention-level'!$C:$C=$A232)*('Supplemental intervention-level'!$A:$A="NI"),0))),"Not specified")</f>
        <v>0.06</v>
      </c>
      <c r="D232" s="642">
        <f t="array" ref="D232">iferror(if(isblank($A232),"",index('Supplemental intervention-level'!$M:$M,match(1,('Supplemental intervention-level'!$C:$C=$A232)*('Supplemental intervention-level'!$A:$A="NI"),0))),"Not specified")</f>
        <v>0.06</v>
      </c>
      <c r="E232" s="642">
        <f t="array" ref="E232">iferror(if(isblank($A232),"",index('Supplemental intervention-level'!$M:$M,match(1,('Supplemental intervention-level'!$C:$C=$A232)*('Supplemental intervention-level'!$A:$A="NI"),0))),"Not specified")</f>
        <v>0.06</v>
      </c>
      <c r="F232" s="642">
        <f t="array" ref="F232">iferror(if(isblank($A232),"",index('Supplemental intervention-level'!$M:$M,match(1,('Supplemental intervention-level'!$C:$C=$A232)*('Supplemental intervention-level'!$A:$A="NI"),0))),"Not specified")</f>
        <v>0.06</v>
      </c>
      <c r="G232" s="642">
        <f t="array" ref="G232">iferror(if(isblank($A232),"",index('Supplemental intervention-level'!$M:$M,match(1,('Supplemental intervention-level'!$C:$C=$A232)*('Supplemental intervention-level'!$A:$A="NI"),0))),"Not specified")</f>
        <v>0.06</v>
      </c>
      <c r="H232" s="642">
        <f t="array" ref="H232">iferror(if(isblank($A232),"",index('Supplemental intervention-level'!$M:$M,match(1,('Supplemental intervention-level'!$C:$C=$A232)*('Supplemental intervention-level'!$A:$A="NI"),0))),"Not specified")</f>
        <v>0.06</v>
      </c>
      <c r="I232" s="642">
        <f t="array" ref="I232">iferror(if(isblank($A232),"",index('Supplemental intervention-level'!$M:$M,match(1,('Supplemental intervention-level'!$C:$C=$A232)*('Supplemental intervention-level'!$A:$A="NI"),0))),"Not specified")</f>
        <v>0.06</v>
      </c>
      <c r="J232" s="642">
        <f t="array" ref="J232">iferror(if(isblank($A232),"",index('Supplemental intervention-level'!$M:$M,match(1,('Supplemental intervention-level'!$C:$C=$A232)*('Supplemental intervention-level'!$A:$A="NI"),0))),"Not specified")</f>
        <v>0.06</v>
      </c>
      <c r="K232" s="642">
        <f t="array" ref="K232">iferror(if(isblank($A232),"",index('Supplemental intervention-level'!$M:$M,match(1,('Supplemental intervention-level'!$C:$C=$A232)*('Supplemental intervention-level'!$A:$A="NI"),0))),"Not specified")</f>
        <v>0.06</v>
      </c>
      <c r="L232" s="642">
        <f t="array" ref="L232">iferror(if(isblank($A232),"",index('Supplemental intervention-level'!$M:$M,match(1,('Supplemental intervention-level'!$C:$C=$A232)*('Supplemental intervention-level'!$A:$A="NI"),0))),"Not specified")</f>
        <v>0.06</v>
      </c>
      <c r="M232" s="642">
        <f t="array" ref="M232">iferror(if(isblank($A232),"",index('Supplemental intervention-level'!$M:$M,match(1,('Supplemental intervention-level'!$C:$C=$A232)*('Supplemental intervention-level'!$A:$A="NI"),0))),"Not specified")</f>
        <v>0.06</v>
      </c>
      <c r="N232" s="642">
        <f t="array" ref="N232">iferror(if(isblank($A232),"",index('Supplemental intervention-level'!$M:$M,match(1,('Supplemental intervention-level'!$C:$C=$A232)*('Supplemental intervention-level'!$A:$A="NI"),0))),"Not specified")</f>
        <v>0.06</v>
      </c>
      <c r="O232" s="642">
        <f t="array" ref="O232">iferror(if(isblank($A232),"",index('Supplemental intervention-level'!$M:$M,match(1,('Supplemental intervention-level'!$C:$C=$A232)*('Supplemental intervention-level'!$A:$A="NI"),0))),"Not specified")</f>
        <v>0.06</v>
      </c>
      <c r="P232" s="642">
        <f t="array" ref="P232">iferror(if(isblank($A232),"",index('Supplemental intervention-level'!$M:$M,match(1,('Supplemental intervention-level'!$C:$C=$A232)*('Supplemental intervention-level'!$A:$A="NI"),0))),"Not specified")</f>
        <v>0.06</v>
      </c>
      <c r="Q232" s="642">
        <f t="array" ref="Q232">iferror(if(isblank($A232),"",index('Supplemental intervention-level'!$M:$M,match(1,('Supplemental intervention-level'!$C:$C=$A232)*('Supplemental intervention-level'!$A:$A="NI"),0))),"Not specified")</f>
        <v>0.06</v>
      </c>
      <c r="R232" s="642">
        <f t="array" ref="R232">iferror(if(isblank($A232),"",index('Supplemental intervention-level'!$M:$M,match(1,('Supplemental intervention-level'!$C:$C=$A232)*('Supplemental intervention-level'!$A:$A="NI"),0))),"Not specified")</f>
        <v>0.06</v>
      </c>
      <c r="S232" s="642">
        <f t="array" ref="S232">iferror(if(isblank($A232),"",index('Supplemental intervention-level'!$M:$M,match(1,('Supplemental intervention-level'!$C:$C=$A232)*('Supplemental intervention-level'!$A:$A="NI"),0))),"Not specified")</f>
        <v>0.06</v>
      </c>
      <c r="T232" s="642">
        <f t="array" ref="T232">iferror(if(isblank($A232),"",index('Supplemental intervention-level'!$M:$M,match(1,('Supplemental intervention-level'!$C:$C=$A232)*('Supplemental intervention-level'!$A:$A="NI"),0))),"Not specified")</f>
        <v>0.06</v>
      </c>
      <c r="U232" s="642">
        <f t="array" ref="U232">iferror(if(isblank($A232),"",index('Supplemental intervention-level'!$M:$M,match(1,('Supplemental intervention-level'!$C:$C=$A232)*('Supplemental intervention-level'!$A:$A="NI"),0))),"Not specified")</f>
        <v>0.06</v>
      </c>
      <c r="V232" s="642">
        <f t="array" ref="V232">iferror(if(isblank($A232),"",index('Supplemental intervention-level'!$M:$M,match(1,('Supplemental intervention-level'!$C:$C=$A232)*('Supplemental intervention-level'!$A:$A="NI"),0))),"Not specified")</f>
        <v>0.06</v>
      </c>
      <c r="W232" s="642">
        <f t="array" ref="W232">iferror(if(isblank($A232),"",index('Supplemental intervention-level'!$M:$M,match(1,('Supplemental intervention-level'!$C:$C=$A232)*('Supplemental intervention-level'!$A:$A="NI"),0))),"Not specified")</f>
        <v>0.06</v>
      </c>
      <c r="X232" s="642">
        <f t="array" ref="X232">iferror(if(isblank($A232),"",index('Supplemental intervention-level'!$M:$M,match(1,('Supplemental intervention-level'!$C:$C=$A232)*('Supplemental intervention-level'!$A:$A="NI"),0))),"Not specified")</f>
        <v>0.06</v>
      </c>
      <c r="Y232" s="642">
        <f t="array" ref="Y232">iferror(if(isblank($A232),"",index('Supplemental intervention-level'!$M:$M,match(1,('Supplemental intervention-level'!$C:$C=$A232)*('Supplemental intervention-level'!$A:$A="NI"),0))),"Not specified")</f>
        <v>0.06</v>
      </c>
      <c r="Z232" s="642">
        <f t="array" ref="Z232">iferror(if(isblank($A232),"",index('Supplemental intervention-level'!$M:$M,match(1,('Supplemental intervention-level'!$C:$C=$A232)*('Supplemental intervention-level'!$A:$A="NI"),0))),"Not specified")</f>
        <v>0.06</v>
      </c>
      <c r="AA232" s="642">
        <f t="array" ref="AA232">iferror(if(isblank($A232),"",index('Supplemental intervention-level'!$M:$M,match(1,('Supplemental intervention-level'!$C:$C=$A232)*('Supplemental intervention-level'!$A:$A="NI"),0))),"Not specified")</f>
        <v>0.06</v>
      </c>
      <c r="AB232" s="642">
        <f t="array" ref="AB232">iferror(if(isblank($A232),"",index('Supplemental intervention-level'!$M:$M,match(1,('Supplemental intervention-level'!$C:$C=$A232)*('Supplemental intervention-level'!$A:$A="NI"),0))),"Not specified")</f>
        <v>0.06</v>
      </c>
      <c r="AC232" s="642">
        <f t="array" ref="AC232">iferror(if(isblank($A232),"",index('Supplemental intervention-level'!$M:$M,match(1,('Supplemental intervention-level'!$C:$C=$A232)*('Supplemental intervention-level'!$A:$A="NI"),0))),"Not specified")</f>
        <v>0.06</v>
      </c>
      <c r="AD232" s="642">
        <f t="array" ref="AD232">iferror(if(isblank($A232),"",index('Supplemental intervention-level'!$M:$M,match(1,('Supplemental intervention-level'!$C:$C=$A232)*('Supplemental intervention-level'!$A:$A="NI"),0))),"Not specified")</f>
        <v>0.06</v>
      </c>
      <c r="AE232" s="642">
        <f t="array" ref="AE232">iferror(if(isblank($A232),"",index('Supplemental intervention-level'!$M:$M,match(1,('Supplemental intervention-level'!$C:$C=$A232)*('Supplemental intervention-level'!$A:$A="NI"),0))),"Not specified")</f>
        <v>0.06</v>
      </c>
      <c r="AF232" s="642">
        <f t="array" ref="AF232">iferror(if(isblank($A232),"",index('Supplemental intervention-level'!$M:$M,match(1,('Supplemental intervention-level'!$C:$C=$A232)*('Supplemental intervention-level'!$A:$A="NI"),0))),"Not specified")</f>
        <v>0.06</v>
      </c>
      <c r="AG232" s="642">
        <f t="array" ref="AG232">iferror(if(isblank($A232),"",index('Supplemental intervention-level'!$M:$M,match(1,('Supplemental intervention-level'!$C:$C=$A232)*('Supplemental intervention-level'!$A:$A="NI"),0))),"Not specified")</f>
        <v>0.06</v>
      </c>
      <c r="AH232" s="642">
        <f t="array" ref="AH232">iferror(if(isblank($A232),"",index('Supplemental intervention-level'!$M:$M,match(1,('Supplemental intervention-level'!$C:$C=$A232)*('Supplemental intervention-level'!$A:$A="NI"),0))),"Not specified")</f>
        <v>0.06</v>
      </c>
      <c r="AI232" s="642">
        <f t="array" ref="AI232">iferror(if(isblank($A232),"",index('Supplemental intervention-level'!$M:$M,match(1,('Supplemental intervention-level'!$C:$C=$A232)*('Supplemental intervention-level'!$A:$A="NI"),0))),"Not specified")</f>
        <v>0.06</v>
      </c>
      <c r="AJ232" s="642">
        <f t="array" ref="AJ232">iferror(if(isblank($A232),"",index('Supplemental intervention-level'!$M:$M,match(1,('Supplemental intervention-level'!$C:$C=$A232)*('Supplemental intervention-level'!$A:$A="NI"),0))),"Not specified")</f>
        <v>0.06</v>
      </c>
      <c r="AK232" s="642">
        <f t="array" ref="AK232">iferror(if(isblank($A232),"",index('Supplemental intervention-level'!$M:$M,match(1,('Supplemental intervention-level'!$C:$C=$A232)*('Supplemental intervention-level'!$A:$A="NI"),0))),"Not specified")</f>
        <v>0.06</v>
      </c>
      <c r="AL232" s="642">
        <f t="array" ref="AL232">iferror(if(isblank($A232),"",index('Supplemental intervention-level'!$M:$M,match(1,('Supplemental intervention-level'!$C:$C=$A232)*('Supplemental intervention-level'!$A:$A="NI"),0))),"Not specified")</f>
        <v>0.06</v>
      </c>
    </row>
    <row r="233" outlineLevel="1">
      <c r="A233" s="116" t="str">
        <f>IFERROR(__xludf.DUMMYFUNCTION("""COMPUTED_VALUE"""),"Mortality effects of indirectly incentivized vaccines besides rotavirus (i.e., polio, yellow fever, meningitis A)")</f>
        <v>Mortality effects of indirectly incentivized vaccines besides rotavirus (i.e., polio, yellow fever, meningitis A)</v>
      </c>
      <c r="B233" s="642">
        <f t="array" ref="B233">iferror(if(isblank($A233),"",index('Supplemental intervention-level'!$M:$M,match(1,('Supplemental intervention-level'!$C:$C=$A233)*('Supplemental intervention-level'!$A:$A="NI"),0))),"Not specified")</f>
        <v>0.036</v>
      </c>
      <c r="C233" s="642">
        <f t="array" ref="C233">iferror(if(isblank($A233),"",index('Supplemental intervention-level'!$M:$M,match(1,('Supplemental intervention-level'!$C:$C=$A233)*('Supplemental intervention-level'!$A:$A="NI"),0))),"Not specified")</f>
        <v>0.036</v>
      </c>
      <c r="D233" s="642">
        <f t="array" ref="D233">iferror(if(isblank($A233),"",index('Supplemental intervention-level'!$M:$M,match(1,('Supplemental intervention-level'!$C:$C=$A233)*('Supplemental intervention-level'!$A:$A="NI"),0))),"Not specified")</f>
        <v>0.036</v>
      </c>
      <c r="E233" s="642">
        <f t="array" ref="E233">iferror(if(isblank($A233),"",index('Supplemental intervention-level'!$M:$M,match(1,('Supplemental intervention-level'!$C:$C=$A233)*('Supplemental intervention-level'!$A:$A="NI"),0))),"Not specified")</f>
        <v>0.036</v>
      </c>
      <c r="F233" s="642">
        <f t="array" ref="F233">iferror(if(isblank($A233),"",index('Supplemental intervention-level'!$M:$M,match(1,('Supplemental intervention-level'!$C:$C=$A233)*('Supplemental intervention-level'!$A:$A="NI"),0))),"Not specified")</f>
        <v>0.036</v>
      </c>
      <c r="G233" s="642">
        <f t="array" ref="G233">iferror(if(isblank($A233),"",index('Supplemental intervention-level'!$M:$M,match(1,('Supplemental intervention-level'!$C:$C=$A233)*('Supplemental intervention-level'!$A:$A="NI"),0))),"Not specified")</f>
        <v>0.036</v>
      </c>
      <c r="H233" s="642">
        <f t="array" ref="H233">iferror(if(isblank($A233),"",index('Supplemental intervention-level'!$M:$M,match(1,('Supplemental intervention-level'!$C:$C=$A233)*('Supplemental intervention-level'!$A:$A="NI"),0))),"Not specified")</f>
        <v>0.036</v>
      </c>
      <c r="I233" s="642">
        <f t="array" ref="I233">iferror(if(isblank($A233),"",index('Supplemental intervention-level'!$M:$M,match(1,('Supplemental intervention-level'!$C:$C=$A233)*('Supplemental intervention-level'!$A:$A="NI"),0))),"Not specified")</f>
        <v>0.036</v>
      </c>
      <c r="J233" s="642">
        <f t="array" ref="J233">iferror(if(isblank($A233),"",index('Supplemental intervention-level'!$M:$M,match(1,('Supplemental intervention-level'!$C:$C=$A233)*('Supplemental intervention-level'!$A:$A="NI"),0))),"Not specified")</f>
        <v>0.036</v>
      </c>
      <c r="K233" s="642">
        <f t="array" ref="K233">iferror(if(isblank($A233),"",index('Supplemental intervention-level'!$M:$M,match(1,('Supplemental intervention-level'!$C:$C=$A233)*('Supplemental intervention-level'!$A:$A="NI"),0))),"Not specified")</f>
        <v>0.036</v>
      </c>
      <c r="L233" s="642">
        <f t="array" ref="L233">iferror(if(isblank($A233),"",index('Supplemental intervention-level'!$M:$M,match(1,('Supplemental intervention-level'!$C:$C=$A233)*('Supplemental intervention-level'!$A:$A="NI"),0))),"Not specified")</f>
        <v>0.036</v>
      </c>
      <c r="M233" s="642">
        <f t="array" ref="M233">iferror(if(isblank($A233),"",index('Supplemental intervention-level'!$M:$M,match(1,('Supplemental intervention-level'!$C:$C=$A233)*('Supplemental intervention-level'!$A:$A="NI"),0))),"Not specified")</f>
        <v>0.036</v>
      </c>
      <c r="N233" s="642">
        <f t="array" ref="N233">iferror(if(isblank($A233),"",index('Supplemental intervention-level'!$M:$M,match(1,('Supplemental intervention-level'!$C:$C=$A233)*('Supplemental intervention-level'!$A:$A="NI"),0))),"Not specified")</f>
        <v>0.036</v>
      </c>
      <c r="O233" s="642">
        <f t="array" ref="O233">iferror(if(isblank($A233),"",index('Supplemental intervention-level'!$M:$M,match(1,('Supplemental intervention-level'!$C:$C=$A233)*('Supplemental intervention-level'!$A:$A="NI"),0))),"Not specified")</f>
        <v>0.036</v>
      </c>
      <c r="P233" s="642">
        <f t="array" ref="P233">iferror(if(isblank($A233),"",index('Supplemental intervention-level'!$M:$M,match(1,('Supplemental intervention-level'!$C:$C=$A233)*('Supplemental intervention-level'!$A:$A="NI"),0))),"Not specified")</f>
        <v>0.036</v>
      </c>
      <c r="Q233" s="642">
        <f t="array" ref="Q233">iferror(if(isblank($A233),"",index('Supplemental intervention-level'!$M:$M,match(1,('Supplemental intervention-level'!$C:$C=$A233)*('Supplemental intervention-level'!$A:$A="NI"),0))),"Not specified")</f>
        <v>0.036</v>
      </c>
      <c r="R233" s="642">
        <f t="array" ref="R233">iferror(if(isblank($A233),"",index('Supplemental intervention-level'!$M:$M,match(1,('Supplemental intervention-level'!$C:$C=$A233)*('Supplemental intervention-level'!$A:$A="NI"),0))),"Not specified")</f>
        <v>0.036</v>
      </c>
      <c r="S233" s="642">
        <f t="array" ref="S233">iferror(if(isblank($A233),"",index('Supplemental intervention-level'!$M:$M,match(1,('Supplemental intervention-level'!$C:$C=$A233)*('Supplemental intervention-level'!$A:$A="NI"),0))),"Not specified")</f>
        <v>0.036</v>
      </c>
      <c r="T233" s="642">
        <f t="array" ref="T233">iferror(if(isblank($A233),"",index('Supplemental intervention-level'!$M:$M,match(1,('Supplemental intervention-level'!$C:$C=$A233)*('Supplemental intervention-level'!$A:$A="NI"),0))),"Not specified")</f>
        <v>0.036</v>
      </c>
      <c r="U233" s="642">
        <f t="array" ref="U233">iferror(if(isblank($A233),"",index('Supplemental intervention-level'!$M:$M,match(1,('Supplemental intervention-level'!$C:$C=$A233)*('Supplemental intervention-level'!$A:$A="NI"),0))),"Not specified")</f>
        <v>0.036</v>
      </c>
      <c r="V233" s="642">
        <f t="array" ref="V233">iferror(if(isblank($A233),"",index('Supplemental intervention-level'!$M:$M,match(1,('Supplemental intervention-level'!$C:$C=$A233)*('Supplemental intervention-level'!$A:$A="NI"),0))),"Not specified")</f>
        <v>0.036</v>
      </c>
      <c r="W233" s="642">
        <f t="array" ref="W233">iferror(if(isblank($A233),"",index('Supplemental intervention-level'!$M:$M,match(1,('Supplemental intervention-level'!$C:$C=$A233)*('Supplemental intervention-level'!$A:$A="NI"),0))),"Not specified")</f>
        <v>0.036</v>
      </c>
      <c r="X233" s="642">
        <f t="array" ref="X233">iferror(if(isblank($A233),"",index('Supplemental intervention-level'!$M:$M,match(1,('Supplemental intervention-level'!$C:$C=$A233)*('Supplemental intervention-level'!$A:$A="NI"),0))),"Not specified")</f>
        <v>0.036</v>
      </c>
      <c r="Y233" s="642">
        <f t="array" ref="Y233">iferror(if(isblank($A233),"",index('Supplemental intervention-level'!$M:$M,match(1,('Supplemental intervention-level'!$C:$C=$A233)*('Supplemental intervention-level'!$A:$A="NI"),0))),"Not specified")</f>
        <v>0.036</v>
      </c>
      <c r="Z233" s="642">
        <f t="array" ref="Z233">iferror(if(isblank($A233),"",index('Supplemental intervention-level'!$M:$M,match(1,('Supplemental intervention-level'!$C:$C=$A233)*('Supplemental intervention-level'!$A:$A="NI"),0))),"Not specified")</f>
        <v>0.036</v>
      </c>
      <c r="AA233" s="642">
        <f t="array" ref="AA233">iferror(if(isblank($A233),"",index('Supplemental intervention-level'!$M:$M,match(1,('Supplemental intervention-level'!$C:$C=$A233)*('Supplemental intervention-level'!$A:$A="NI"),0))),"Not specified")</f>
        <v>0.036</v>
      </c>
      <c r="AB233" s="642">
        <f t="array" ref="AB233">iferror(if(isblank($A233),"",index('Supplemental intervention-level'!$M:$M,match(1,('Supplemental intervention-level'!$C:$C=$A233)*('Supplemental intervention-level'!$A:$A="NI"),0))),"Not specified")</f>
        <v>0.036</v>
      </c>
      <c r="AC233" s="642">
        <f t="array" ref="AC233">iferror(if(isblank($A233),"",index('Supplemental intervention-level'!$M:$M,match(1,('Supplemental intervention-level'!$C:$C=$A233)*('Supplemental intervention-level'!$A:$A="NI"),0))),"Not specified")</f>
        <v>0.036</v>
      </c>
      <c r="AD233" s="642">
        <f t="array" ref="AD233">iferror(if(isblank($A233),"",index('Supplemental intervention-level'!$M:$M,match(1,('Supplemental intervention-level'!$C:$C=$A233)*('Supplemental intervention-level'!$A:$A="NI"),0))),"Not specified")</f>
        <v>0.036</v>
      </c>
      <c r="AE233" s="642">
        <f t="array" ref="AE233">iferror(if(isblank($A233),"",index('Supplemental intervention-level'!$M:$M,match(1,('Supplemental intervention-level'!$C:$C=$A233)*('Supplemental intervention-level'!$A:$A="NI"),0))),"Not specified")</f>
        <v>0.036</v>
      </c>
      <c r="AF233" s="642">
        <f t="array" ref="AF233">iferror(if(isblank($A233),"",index('Supplemental intervention-level'!$M:$M,match(1,('Supplemental intervention-level'!$C:$C=$A233)*('Supplemental intervention-level'!$A:$A="NI"),0))),"Not specified")</f>
        <v>0.036</v>
      </c>
      <c r="AG233" s="642">
        <f t="array" ref="AG233">iferror(if(isblank($A233),"",index('Supplemental intervention-level'!$M:$M,match(1,('Supplemental intervention-level'!$C:$C=$A233)*('Supplemental intervention-level'!$A:$A="NI"),0))),"Not specified")</f>
        <v>0.036</v>
      </c>
      <c r="AH233" s="642">
        <f t="array" ref="AH233">iferror(if(isblank($A233),"",index('Supplemental intervention-level'!$M:$M,match(1,('Supplemental intervention-level'!$C:$C=$A233)*('Supplemental intervention-level'!$A:$A="NI"),0))),"Not specified")</f>
        <v>0.036</v>
      </c>
      <c r="AI233" s="642">
        <f t="array" ref="AI233">iferror(if(isblank($A233),"",index('Supplemental intervention-level'!$M:$M,match(1,('Supplemental intervention-level'!$C:$C=$A233)*('Supplemental intervention-level'!$A:$A="NI"),0))),"Not specified")</f>
        <v>0.036</v>
      </c>
      <c r="AJ233" s="642">
        <f t="array" ref="AJ233">iferror(if(isblank($A233),"",index('Supplemental intervention-level'!$M:$M,match(1,('Supplemental intervention-level'!$C:$C=$A233)*('Supplemental intervention-level'!$A:$A="NI"),0))),"Not specified")</f>
        <v>0.036</v>
      </c>
      <c r="AK233" s="642">
        <f t="array" ref="AK233">iferror(if(isblank($A233),"",index('Supplemental intervention-level'!$M:$M,match(1,('Supplemental intervention-level'!$C:$C=$A233)*('Supplemental intervention-level'!$A:$A="NI"),0))),"Not specified")</f>
        <v>0.036</v>
      </c>
      <c r="AL233" s="642">
        <f t="array" ref="AL233">iferror(if(isblank($A233),"",index('Supplemental intervention-level'!$M:$M,match(1,('Supplemental intervention-level'!$C:$C=$A233)*('Supplemental intervention-level'!$A:$A="NI"),0))),"Not specified")</f>
        <v>0.036</v>
      </c>
    </row>
    <row r="234" outlineLevel="1">
      <c r="A234" s="116" t="str">
        <f>IFERROR(__xludf.DUMMYFUNCTION("""COMPUTED_VALUE"""),"Morbidity effects of indirectly incentivized vaccines besides rotavirus (i.e., polio, yellow fever, meningitis A)")</f>
        <v>Morbidity effects of indirectly incentivized vaccines besides rotavirus (i.e., polio, yellow fever, meningitis A)</v>
      </c>
      <c r="B234" s="642">
        <f t="array" ref="B234">iferror(if(isblank($A234),"",index('Supplemental intervention-level'!$M:$M,match(1,('Supplemental intervention-level'!$C:$C=$A234)*('Supplemental intervention-level'!$A:$A="NI"),0))),"Not specified")</f>
        <v>0.007</v>
      </c>
      <c r="C234" s="642">
        <f t="array" ref="C234">iferror(if(isblank($A234),"",index('Supplemental intervention-level'!$M:$M,match(1,('Supplemental intervention-level'!$C:$C=$A234)*('Supplemental intervention-level'!$A:$A="NI"),0))),"Not specified")</f>
        <v>0.007</v>
      </c>
      <c r="D234" s="642">
        <f t="array" ref="D234">iferror(if(isblank($A234),"",index('Supplemental intervention-level'!$M:$M,match(1,('Supplemental intervention-level'!$C:$C=$A234)*('Supplemental intervention-level'!$A:$A="NI"),0))),"Not specified")</f>
        <v>0.007</v>
      </c>
      <c r="E234" s="642">
        <f t="array" ref="E234">iferror(if(isblank($A234),"",index('Supplemental intervention-level'!$M:$M,match(1,('Supplemental intervention-level'!$C:$C=$A234)*('Supplemental intervention-level'!$A:$A="NI"),0))),"Not specified")</f>
        <v>0.007</v>
      </c>
      <c r="F234" s="642">
        <f t="array" ref="F234">iferror(if(isblank($A234),"",index('Supplemental intervention-level'!$M:$M,match(1,('Supplemental intervention-level'!$C:$C=$A234)*('Supplemental intervention-level'!$A:$A="NI"),0))),"Not specified")</f>
        <v>0.007</v>
      </c>
      <c r="G234" s="642">
        <f t="array" ref="G234">iferror(if(isblank($A234),"",index('Supplemental intervention-level'!$M:$M,match(1,('Supplemental intervention-level'!$C:$C=$A234)*('Supplemental intervention-level'!$A:$A="NI"),0))),"Not specified")</f>
        <v>0.007</v>
      </c>
      <c r="H234" s="642">
        <f t="array" ref="H234">iferror(if(isblank($A234),"",index('Supplemental intervention-level'!$M:$M,match(1,('Supplemental intervention-level'!$C:$C=$A234)*('Supplemental intervention-level'!$A:$A="NI"),0))),"Not specified")</f>
        <v>0.007</v>
      </c>
      <c r="I234" s="642">
        <f t="array" ref="I234">iferror(if(isblank($A234),"",index('Supplemental intervention-level'!$M:$M,match(1,('Supplemental intervention-level'!$C:$C=$A234)*('Supplemental intervention-level'!$A:$A="NI"),0))),"Not specified")</f>
        <v>0.007</v>
      </c>
      <c r="J234" s="642">
        <f t="array" ref="J234">iferror(if(isblank($A234),"",index('Supplemental intervention-level'!$M:$M,match(1,('Supplemental intervention-level'!$C:$C=$A234)*('Supplemental intervention-level'!$A:$A="NI"),0))),"Not specified")</f>
        <v>0.007</v>
      </c>
      <c r="K234" s="642">
        <f t="array" ref="K234">iferror(if(isblank($A234),"",index('Supplemental intervention-level'!$M:$M,match(1,('Supplemental intervention-level'!$C:$C=$A234)*('Supplemental intervention-level'!$A:$A="NI"),0))),"Not specified")</f>
        <v>0.007</v>
      </c>
      <c r="L234" s="642">
        <f t="array" ref="L234">iferror(if(isblank($A234),"",index('Supplemental intervention-level'!$M:$M,match(1,('Supplemental intervention-level'!$C:$C=$A234)*('Supplemental intervention-level'!$A:$A="NI"),0))),"Not specified")</f>
        <v>0.007</v>
      </c>
      <c r="M234" s="642">
        <f t="array" ref="M234">iferror(if(isblank($A234),"",index('Supplemental intervention-level'!$M:$M,match(1,('Supplemental intervention-level'!$C:$C=$A234)*('Supplemental intervention-level'!$A:$A="NI"),0))),"Not specified")</f>
        <v>0.007</v>
      </c>
      <c r="N234" s="642">
        <f t="array" ref="N234">iferror(if(isblank($A234),"",index('Supplemental intervention-level'!$M:$M,match(1,('Supplemental intervention-level'!$C:$C=$A234)*('Supplemental intervention-level'!$A:$A="NI"),0))),"Not specified")</f>
        <v>0.007</v>
      </c>
      <c r="O234" s="642">
        <f t="array" ref="O234">iferror(if(isblank($A234),"",index('Supplemental intervention-level'!$M:$M,match(1,('Supplemental intervention-level'!$C:$C=$A234)*('Supplemental intervention-level'!$A:$A="NI"),0))),"Not specified")</f>
        <v>0.007</v>
      </c>
      <c r="P234" s="642">
        <f t="array" ref="P234">iferror(if(isblank($A234),"",index('Supplemental intervention-level'!$M:$M,match(1,('Supplemental intervention-level'!$C:$C=$A234)*('Supplemental intervention-level'!$A:$A="NI"),0))),"Not specified")</f>
        <v>0.007</v>
      </c>
      <c r="Q234" s="642">
        <f t="array" ref="Q234">iferror(if(isblank($A234),"",index('Supplemental intervention-level'!$M:$M,match(1,('Supplemental intervention-level'!$C:$C=$A234)*('Supplemental intervention-level'!$A:$A="NI"),0))),"Not specified")</f>
        <v>0.007</v>
      </c>
      <c r="R234" s="642">
        <f t="array" ref="R234">iferror(if(isblank($A234),"",index('Supplemental intervention-level'!$M:$M,match(1,('Supplemental intervention-level'!$C:$C=$A234)*('Supplemental intervention-level'!$A:$A="NI"),0))),"Not specified")</f>
        <v>0.007</v>
      </c>
      <c r="S234" s="642">
        <f t="array" ref="S234">iferror(if(isblank($A234),"",index('Supplemental intervention-level'!$M:$M,match(1,('Supplemental intervention-level'!$C:$C=$A234)*('Supplemental intervention-level'!$A:$A="NI"),0))),"Not specified")</f>
        <v>0.007</v>
      </c>
      <c r="T234" s="642">
        <f t="array" ref="T234">iferror(if(isblank($A234),"",index('Supplemental intervention-level'!$M:$M,match(1,('Supplemental intervention-level'!$C:$C=$A234)*('Supplemental intervention-level'!$A:$A="NI"),0))),"Not specified")</f>
        <v>0.007</v>
      </c>
      <c r="U234" s="642">
        <f t="array" ref="U234">iferror(if(isblank($A234),"",index('Supplemental intervention-level'!$M:$M,match(1,('Supplemental intervention-level'!$C:$C=$A234)*('Supplemental intervention-level'!$A:$A="NI"),0))),"Not specified")</f>
        <v>0.007</v>
      </c>
      <c r="V234" s="642">
        <f t="array" ref="V234">iferror(if(isblank($A234),"",index('Supplemental intervention-level'!$M:$M,match(1,('Supplemental intervention-level'!$C:$C=$A234)*('Supplemental intervention-level'!$A:$A="NI"),0))),"Not specified")</f>
        <v>0.007</v>
      </c>
      <c r="W234" s="642">
        <f t="array" ref="W234">iferror(if(isblank($A234),"",index('Supplemental intervention-level'!$M:$M,match(1,('Supplemental intervention-level'!$C:$C=$A234)*('Supplemental intervention-level'!$A:$A="NI"),0))),"Not specified")</f>
        <v>0.007</v>
      </c>
      <c r="X234" s="642">
        <f t="array" ref="X234">iferror(if(isblank($A234),"",index('Supplemental intervention-level'!$M:$M,match(1,('Supplemental intervention-level'!$C:$C=$A234)*('Supplemental intervention-level'!$A:$A="NI"),0))),"Not specified")</f>
        <v>0.007</v>
      </c>
      <c r="Y234" s="642">
        <f t="array" ref="Y234">iferror(if(isblank($A234),"",index('Supplemental intervention-level'!$M:$M,match(1,('Supplemental intervention-level'!$C:$C=$A234)*('Supplemental intervention-level'!$A:$A="NI"),0))),"Not specified")</f>
        <v>0.007</v>
      </c>
      <c r="Z234" s="642">
        <f t="array" ref="Z234">iferror(if(isblank($A234),"",index('Supplemental intervention-level'!$M:$M,match(1,('Supplemental intervention-level'!$C:$C=$A234)*('Supplemental intervention-level'!$A:$A="NI"),0))),"Not specified")</f>
        <v>0.007</v>
      </c>
      <c r="AA234" s="642">
        <f t="array" ref="AA234">iferror(if(isblank($A234),"",index('Supplemental intervention-level'!$M:$M,match(1,('Supplemental intervention-level'!$C:$C=$A234)*('Supplemental intervention-level'!$A:$A="NI"),0))),"Not specified")</f>
        <v>0.007</v>
      </c>
      <c r="AB234" s="642">
        <f t="array" ref="AB234">iferror(if(isblank($A234),"",index('Supplemental intervention-level'!$M:$M,match(1,('Supplemental intervention-level'!$C:$C=$A234)*('Supplemental intervention-level'!$A:$A="NI"),0))),"Not specified")</f>
        <v>0.007</v>
      </c>
      <c r="AC234" s="642">
        <f t="array" ref="AC234">iferror(if(isblank($A234),"",index('Supplemental intervention-level'!$M:$M,match(1,('Supplemental intervention-level'!$C:$C=$A234)*('Supplemental intervention-level'!$A:$A="NI"),0))),"Not specified")</f>
        <v>0.007</v>
      </c>
      <c r="AD234" s="642">
        <f t="array" ref="AD234">iferror(if(isblank($A234),"",index('Supplemental intervention-level'!$M:$M,match(1,('Supplemental intervention-level'!$C:$C=$A234)*('Supplemental intervention-level'!$A:$A="NI"),0))),"Not specified")</f>
        <v>0.007</v>
      </c>
      <c r="AE234" s="642">
        <f t="array" ref="AE234">iferror(if(isblank($A234),"",index('Supplemental intervention-level'!$M:$M,match(1,('Supplemental intervention-level'!$C:$C=$A234)*('Supplemental intervention-level'!$A:$A="NI"),0))),"Not specified")</f>
        <v>0.007</v>
      </c>
      <c r="AF234" s="642">
        <f t="array" ref="AF234">iferror(if(isblank($A234),"",index('Supplemental intervention-level'!$M:$M,match(1,('Supplemental intervention-level'!$C:$C=$A234)*('Supplemental intervention-level'!$A:$A="NI"),0))),"Not specified")</f>
        <v>0.007</v>
      </c>
      <c r="AG234" s="642">
        <f t="array" ref="AG234">iferror(if(isblank($A234),"",index('Supplemental intervention-level'!$M:$M,match(1,('Supplemental intervention-level'!$C:$C=$A234)*('Supplemental intervention-level'!$A:$A="NI"),0))),"Not specified")</f>
        <v>0.007</v>
      </c>
      <c r="AH234" s="642">
        <f t="array" ref="AH234">iferror(if(isblank($A234),"",index('Supplemental intervention-level'!$M:$M,match(1,('Supplemental intervention-level'!$C:$C=$A234)*('Supplemental intervention-level'!$A:$A="NI"),0))),"Not specified")</f>
        <v>0.007</v>
      </c>
      <c r="AI234" s="642">
        <f t="array" ref="AI234">iferror(if(isblank($A234),"",index('Supplemental intervention-level'!$M:$M,match(1,('Supplemental intervention-level'!$C:$C=$A234)*('Supplemental intervention-level'!$A:$A="NI"),0))),"Not specified")</f>
        <v>0.007</v>
      </c>
      <c r="AJ234" s="642">
        <f t="array" ref="AJ234">iferror(if(isblank($A234),"",index('Supplemental intervention-level'!$M:$M,match(1,('Supplemental intervention-level'!$C:$C=$A234)*('Supplemental intervention-level'!$A:$A="NI"),0))),"Not specified")</f>
        <v>0.007</v>
      </c>
      <c r="AK234" s="642">
        <f t="array" ref="AK234">iferror(if(isblank($A234),"",index('Supplemental intervention-level'!$M:$M,match(1,('Supplemental intervention-level'!$C:$C=$A234)*('Supplemental intervention-level'!$A:$A="NI"),0))),"Not specified")</f>
        <v>0.007</v>
      </c>
      <c r="AL234" s="642">
        <f t="array" ref="AL234">iferror(if(isblank($A234),"",index('Supplemental intervention-level'!$M:$M,match(1,('Supplemental intervention-level'!$C:$C=$A234)*('Supplemental intervention-level'!$A:$A="NI"),0))),"Not specified")</f>
        <v>0.007</v>
      </c>
    </row>
    <row r="235" outlineLevel="1">
      <c r="A235" s="55" t="str">
        <f>IFERROR(__xludf.DUMMYFUNCTION("""COMPUTED_VALUE"""),"Effects during outbreaks")</f>
        <v>Effects during outbreaks</v>
      </c>
      <c r="B235" s="642">
        <f t="array" ref="B235">iferror(if(isblank($A235),"",index('Supplemental intervention-level'!$M:$M,match(1,('Supplemental intervention-level'!$C:$C=$A235)*('Supplemental intervention-level'!$A:$A="NI"),0))),"Not specified")</f>
        <v>0.04</v>
      </c>
      <c r="C235" s="642">
        <f t="array" ref="C235">iferror(if(isblank($A235),"",index('Supplemental intervention-level'!$M:$M,match(1,('Supplemental intervention-level'!$C:$C=$A235)*('Supplemental intervention-level'!$A:$A="NI"),0))),"Not specified")</f>
        <v>0.04</v>
      </c>
      <c r="D235" s="642">
        <f t="array" ref="D235">iferror(if(isblank($A235),"",index('Supplemental intervention-level'!$M:$M,match(1,('Supplemental intervention-level'!$C:$C=$A235)*('Supplemental intervention-level'!$A:$A="NI"),0))),"Not specified")</f>
        <v>0.04</v>
      </c>
      <c r="E235" s="642">
        <f t="array" ref="E235">iferror(if(isblank($A235),"",index('Supplemental intervention-level'!$M:$M,match(1,('Supplemental intervention-level'!$C:$C=$A235)*('Supplemental intervention-level'!$A:$A="NI"),0))),"Not specified")</f>
        <v>0.04</v>
      </c>
      <c r="F235" s="642">
        <f t="array" ref="F235">iferror(if(isblank($A235),"",index('Supplemental intervention-level'!$M:$M,match(1,('Supplemental intervention-level'!$C:$C=$A235)*('Supplemental intervention-level'!$A:$A="NI"),0))),"Not specified")</f>
        <v>0.04</v>
      </c>
      <c r="G235" s="642">
        <f t="array" ref="G235">iferror(if(isblank($A235),"",index('Supplemental intervention-level'!$M:$M,match(1,('Supplemental intervention-level'!$C:$C=$A235)*('Supplemental intervention-level'!$A:$A="NI"),0))),"Not specified")</f>
        <v>0.04</v>
      </c>
      <c r="H235" s="642">
        <f t="array" ref="H235">iferror(if(isblank($A235),"",index('Supplemental intervention-level'!$M:$M,match(1,('Supplemental intervention-level'!$C:$C=$A235)*('Supplemental intervention-level'!$A:$A="NI"),0))),"Not specified")</f>
        <v>0.04</v>
      </c>
      <c r="I235" s="642">
        <f t="array" ref="I235">iferror(if(isblank($A235),"",index('Supplemental intervention-level'!$M:$M,match(1,('Supplemental intervention-level'!$C:$C=$A235)*('Supplemental intervention-level'!$A:$A="NI"),0))),"Not specified")</f>
        <v>0.04</v>
      </c>
      <c r="J235" s="642">
        <f t="array" ref="J235">iferror(if(isblank($A235),"",index('Supplemental intervention-level'!$M:$M,match(1,('Supplemental intervention-level'!$C:$C=$A235)*('Supplemental intervention-level'!$A:$A="NI"),0))),"Not specified")</f>
        <v>0.04</v>
      </c>
      <c r="K235" s="642">
        <f t="array" ref="K235">iferror(if(isblank($A235),"",index('Supplemental intervention-level'!$M:$M,match(1,('Supplemental intervention-level'!$C:$C=$A235)*('Supplemental intervention-level'!$A:$A="NI"),0))),"Not specified")</f>
        <v>0.04</v>
      </c>
      <c r="L235" s="642">
        <f t="array" ref="L235">iferror(if(isblank($A235),"",index('Supplemental intervention-level'!$M:$M,match(1,('Supplemental intervention-level'!$C:$C=$A235)*('Supplemental intervention-level'!$A:$A="NI"),0))),"Not specified")</f>
        <v>0.04</v>
      </c>
      <c r="M235" s="642">
        <f t="array" ref="M235">iferror(if(isblank($A235),"",index('Supplemental intervention-level'!$M:$M,match(1,('Supplemental intervention-level'!$C:$C=$A235)*('Supplemental intervention-level'!$A:$A="NI"),0))),"Not specified")</f>
        <v>0.04</v>
      </c>
      <c r="N235" s="642">
        <f t="array" ref="N235">iferror(if(isblank($A235),"",index('Supplemental intervention-level'!$M:$M,match(1,('Supplemental intervention-level'!$C:$C=$A235)*('Supplemental intervention-level'!$A:$A="NI"),0))),"Not specified")</f>
        <v>0.04</v>
      </c>
      <c r="O235" s="642">
        <f t="array" ref="O235">iferror(if(isblank($A235),"",index('Supplemental intervention-level'!$M:$M,match(1,('Supplemental intervention-level'!$C:$C=$A235)*('Supplemental intervention-level'!$A:$A="NI"),0))),"Not specified")</f>
        <v>0.04</v>
      </c>
      <c r="P235" s="642">
        <f t="array" ref="P235">iferror(if(isblank($A235),"",index('Supplemental intervention-level'!$M:$M,match(1,('Supplemental intervention-level'!$C:$C=$A235)*('Supplemental intervention-level'!$A:$A="NI"),0))),"Not specified")</f>
        <v>0.04</v>
      </c>
      <c r="Q235" s="642">
        <f t="array" ref="Q235">iferror(if(isblank($A235),"",index('Supplemental intervention-level'!$M:$M,match(1,('Supplemental intervention-level'!$C:$C=$A235)*('Supplemental intervention-level'!$A:$A="NI"),0))),"Not specified")</f>
        <v>0.04</v>
      </c>
      <c r="R235" s="642">
        <f t="array" ref="R235">iferror(if(isblank($A235),"",index('Supplemental intervention-level'!$M:$M,match(1,('Supplemental intervention-level'!$C:$C=$A235)*('Supplemental intervention-level'!$A:$A="NI"),0))),"Not specified")</f>
        <v>0.04</v>
      </c>
      <c r="S235" s="642">
        <f t="array" ref="S235">iferror(if(isblank($A235),"",index('Supplemental intervention-level'!$M:$M,match(1,('Supplemental intervention-level'!$C:$C=$A235)*('Supplemental intervention-level'!$A:$A="NI"),0))),"Not specified")</f>
        <v>0.04</v>
      </c>
      <c r="T235" s="642">
        <f t="array" ref="T235">iferror(if(isblank($A235),"",index('Supplemental intervention-level'!$M:$M,match(1,('Supplemental intervention-level'!$C:$C=$A235)*('Supplemental intervention-level'!$A:$A="NI"),0))),"Not specified")</f>
        <v>0.04</v>
      </c>
      <c r="U235" s="642">
        <f t="array" ref="U235">iferror(if(isblank($A235),"",index('Supplemental intervention-level'!$M:$M,match(1,('Supplemental intervention-level'!$C:$C=$A235)*('Supplemental intervention-level'!$A:$A="NI"),0))),"Not specified")</f>
        <v>0.04</v>
      </c>
      <c r="V235" s="642">
        <f t="array" ref="V235">iferror(if(isblank($A235),"",index('Supplemental intervention-level'!$M:$M,match(1,('Supplemental intervention-level'!$C:$C=$A235)*('Supplemental intervention-level'!$A:$A="NI"),0))),"Not specified")</f>
        <v>0.04</v>
      </c>
      <c r="W235" s="642">
        <f t="array" ref="W235">iferror(if(isblank($A235),"",index('Supplemental intervention-level'!$M:$M,match(1,('Supplemental intervention-level'!$C:$C=$A235)*('Supplemental intervention-level'!$A:$A="NI"),0))),"Not specified")</f>
        <v>0.04</v>
      </c>
      <c r="X235" s="642">
        <f t="array" ref="X235">iferror(if(isblank($A235),"",index('Supplemental intervention-level'!$M:$M,match(1,('Supplemental intervention-level'!$C:$C=$A235)*('Supplemental intervention-level'!$A:$A="NI"),0))),"Not specified")</f>
        <v>0.04</v>
      </c>
      <c r="Y235" s="642">
        <f t="array" ref="Y235">iferror(if(isblank($A235),"",index('Supplemental intervention-level'!$M:$M,match(1,('Supplemental intervention-level'!$C:$C=$A235)*('Supplemental intervention-level'!$A:$A="NI"),0))),"Not specified")</f>
        <v>0.04</v>
      </c>
      <c r="Z235" s="642">
        <f t="array" ref="Z235">iferror(if(isblank($A235),"",index('Supplemental intervention-level'!$M:$M,match(1,('Supplemental intervention-level'!$C:$C=$A235)*('Supplemental intervention-level'!$A:$A="NI"),0))),"Not specified")</f>
        <v>0.04</v>
      </c>
      <c r="AA235" s="642">
        <f t="array" ref="AA235">iferror(if(isblank($A235),"",index('Supplemental intervention-level'!$M:$M,match(1,('Supplemental intervention-level'!$C:$C=$A235)*('Supplemental intervention-level'!$A:$A="NI"),0))),"Not specified")</f>
        <v>0.04</v>
      </c>
      <c r="AB235" s="642">
        <f t="array" ref="AB235">iferror(if(isblank($A235),"",index('Supplemental intervention-level'!$M:$M,match(1,('Supplemental intervention-level'!$C:$C=$A235)*('Supplemental intervention-level'!$A:$A="NI"),0))),"Not specified")</f>
        <v>0.04</v>
      </c>
      <c r="AC235" s="642">
        <f t="array" ref="AC235">iferror(if(isblank($A235),"",index('Supplemental intervention-level'!$M:$M,match(1,('Supplemental intervention-level'!$C:$C=$A235)*('Supplemental intervention-level'!$A:$A="NI"),0))),"Not specified")</f>
        <v>0.04</v>
      </c>
      <c r="AD235" s="642">
        <f t="array" ref="AD235">iferror(if(isblank($A235),"",index('Supplemental intervention-level'!$M:$M,match(1,('Supplemental intervention-level'!$C:$C=$A235)*('Supplemental intervention-level'!$A:$A="NI"),0))),"Not specified")</f>
        <v>0.04</v>
      </c>
      <c r="AE235" s="642">
        <f t="array" ref="AE235">iferror(if(isblank($A235),"",index('Supplemental intervention-level'!$M:$M,match(1,('Supplemental intervention-level'!$C:$C=$A235)*('Supplemental intervention-level'!$A:$A="NI"),0))),"Not specified")</f>
        <v>0.04</v>
      </c>
      <c r="AF235" s="642">
        <f t="array" ref="AF235">iferror(if(isblank($A235),"",index('Supplemental intervention-level'!$M:$M,match(1,('Supplemental intervention-level'!$C:$C=$A235)*('Supplemental intervention-level'!$A:$A="NI"),0))),"Not specified")</f>
        <v>0.04</v>
      </c>
      <c r="AG235" s="642">
        <f t="array" ref="AG235">iferror(if(isblank($A235),"",index('Supplemental intervention-level'!$M:$M,match(1,('Supplemental intervention-level'!$C:$C=$A235)*('Supplemental intervention-level'!$A:$A="NI"),0))),"Not specified")</f>
        <v>0.04</v>
      </c>
      <c r="AH235" s="642">
        <f t="array" ref="AH235">iferror(if(isblank($A235),"",index('Supplemental intervention-level'!$M:$M,match(1,('Supplemental intervention-level'!$C:$C=$A235)*('Supplemental intervention-level'!$A:$A="NI"),0))),"Not specified")</f>
        <v>0.04</v>
      </c>
      <c r="AI235" s="642">
        <f t="array" ref="AI235">iferror(if(isblank($A235),"",index('Supplemental intervention-level'!$M:$M,match(1,('Supplemental intervention-level'!$C:$C=$A235)*('Supplemental intervention-level'!$A:$A="NI"),0))),"Not specified")</f>
        <v>0.04</v>
      </c>
      <c r="AJ235" s="642">
        <f t="array" ref="AJ235">iferror(if(isblank($A235),"",index('Supplemental intervention-level'!$M:$M,match(1,('Supplemental intervention-level'!$C:$C=$A235)*('Supplemental intervention-level'!$A:$A="NI"),0))),"Not specified")</f>
        <v>0.04</v>
      </c>
      <c r="AK235" s="642">
        <f t="array" ref="AK235">iferror(if(isblank($A235),"",index('Supplemental intervention-level'!$M:$M,match(1,('Supplemental intervention-level'!$C:$C=$A235)*('Supplemental intervention-level'!$A:$A="NI"),0))),"Not specified")</f>
        <v>0.04</v>
      </c>
      <c r="AL235" s="642">
        <f t="array" ref="AL235">iferror(if(isblank($A235),"",index('Supplemental intervention-level'!$M:$M,match(1,('Supplemental intervention-level'!$C:$C=$A235)*('Supplemental intervention-level'!$A:$A="NI"),0))),"Not specified")</f>
        <v>0.04</v>
      </c>
    </row>
    <row r="236" outlineLevel="1">
      <c r="A236" s="116" t="str">
        <f>IFERROR(__xludf.DUMMYFUNCTION("""COMPUTED_VALUE"""),"COVID-19 leading to greater effects of cash incentives and vaccination")</f>
        <v>COVID-19 leading to greater effects of cash incentives and vaccination</v>
      </c>
      <c r="B236" s="642">
        <f t="array" ref="B236">iferror(if(isblank($A236),"",index('Supplemental intervention-level'!$M:$M,match(1,('Supplemental intervention-level'!$C:$C=$A236)*('Supplemental intervention-level'!$A:$A="NI"),0))),"Not specified")</f>
        <v>0.04</v>
      </c>
      <c r="C236" s="642">
        <f t="array" ref="C236">iferror(if(isblank($A236),"",index('Supplemental intervention-level'!$M:$M,match(1,('Supplemental intervention-level'!$C:$C=$A236)*('Supplemental intervention-level'!$A:$A="NI"),0))),"Not specified")</f>
        <v>0.04</v>
      </c>
      <c r="D236" s="642">
        <f t="array" ref="D236">iferror(if(isblank($A236),"",index('Supplemental intervention-level'!$M:$M,match(1,('Supplemental intervention-level'!$C:$C=$A236)*('Supplemental intervention-level'!$A:$A="NI"),0))),"Not specified")</f>
        <v>0.04</v>
      </c>
      <c r="E236" s="642">
        <f t="array" ref="E236">iferror(if(isblank($A236),"",index('Supplemental intervention-level'!$M:$M,match(1,('Supplemental intervention-level'!$C:$C=$A236)*('Supplemental intervention-level'!$A:$A="NI"),0))),"Not specified")</f>
        <v>0.04</v>
      </c>
      <c r="F236" s="642">
        <f t="array" ref="F236">iferror(if(isblank($A236),"",index('Supplemental intervention-level'!$M:$M,match(1,('Supplemental intervention-level'!$C:$C=$A236)*('Supplemental intervention-level'!$A:$A="NI"),0))),"Not specified")</f>
        <v>0.04</v>
      </c>
      <c r="G236" s="642">
        <f t="array" ref="G236">iferror(if(isblank($A236),"",index('Supplemental intervention-level'!$M:$M,match(1,('Supplemental intervention-level'!$C:$C=$A236)*('Supplemental intervention-level'!$A:$A="NI"),0))),"Not specified")</f>
        <v>0.04</v>
      </c>
      <c r="H236" s="642">
        <f t="array" ref="H236">iferror(if(isblank($A236),"",index('Supplemental intervention-level'!$M:$M,match(1,('Supplemental intervention-level'!$C:$C=$A236)*('Supplemental intervention-level'!$A:$A="NI"),0))),"Not specified")</f>
        <v>0.04</v>
      </c>
      <c r="I236" s="642">
        <f t="array" ref="I236">iferror(if(isblank($A236),"",index('Supplemental intervention-level'!$M:$M,match(1,('Supplemental intervention-level'!$C:$C=$A236)*('Supplemental intervention-level'!$A:$A="NI"),0))),"Not specified")</f>
        <v>0.04</v>
      </c>
      <c r="J236" s="642">
        <f t="array" ref="J236">iferror(if(isblank($A236),"",index('Supplemental intervention-level'!$M:$M,match(1,('Supplemental intervention-level'!$C:$C=$A236)*('Supplemental intervention-level'!$A:$A="NI"),0))),"Not specified")</f>
        <v>0.04</v>
      </c>
      <c r="K236" s="642">
        <f t="array" ref="K236">iferror(if(isblank($A236),"",index('Supplemental intervention-level'!$M:$M,match(1,('Supplemental intervention-level'!$C:$C=$A236)*('Supplemental intervention-level'!$A:$A="NI"),0))),"Not specified")</f>
        <v>0.04</v>
      </c>
      <c r="L236" s="642">
        <f t="array" ref="L236">iferror(if(isblank($A236),"",index('Supplemental intervention-level'!$M:$M,match(1,('Supplemental intervention-level'!$C:$C=$A236)*('Supplemental intervention-level'!$A:$A="NI"),0))),"Not specified")</f>
        <v>0.04</v>
      </c>
      <c r="M236" s="642">
        <f t="array" ref="M236">iferror(if(isblank($A236),"",index('Supplemental intervention-level'!$M:$M,match(1,('Supplemental intervention-level'!$C:$C=$A236)*('Supplemental intervention-level'!$A:$A="NI"),0))),"Not specified")</f>
        <v>0.04</v>
      </c>
      <c r="N236" s="642">
        <f t="array" ref="N236">iferror(if(isblank($A236),"",index('Supplemental intervention-level'!$M:$M,match(1,('Supplemental intervention-level'!$C:$C=$A236)*('Supplemental intervention-level'!$A:$A="NI"),0))),"Not specified")</f>
        <v>0.04</v>
      </c>
      <c r="O236" s="642">
        <f t="array" ref="O236">iferror(if(isblank($A236),"",index('Supplemental intervention-level'!$M:$M,match(1,('Supplemental intervention-level'!$C:$C=$A236)*('Supplemental intervention-level'!$A:$A="NI"),0))),"Not specified")</f>
        <v>0.04</v>
      </c>
      <c r="P236" s="642">
        <f t="array" ref="P236">iferror(if(isblank($A236),"",index('Supplemental intervention-level'!$M:$M,match(1,('Supplemental intervention-level'!$C:$C=$A236)*('Supplemental intervention-level'!$A:$A="NI"),0))),"Not specified")</f>
        <v>0.04</v>
      </c>
      <c r="Q236" s="642">
        <f t="array" ref="Q236">iferror(if(isblank($A236),"",index('Supplemental intervention-level'!$M:$M,match(1,('Supplemental intervention-level'!$C:$C=$A236)*('Supplemental intervention-level'!$A:$A="NI"),0))),"Not specified")</f>
        <v>0.04</v>
      </c>
      <c r="R236" s="642">
        <f t="array" ref="R236">iferror(if(isblank($A236),"",index('Supplemental intervention-level'!$M:$M,match(1,('Supplemental intervention-level'!$C:$C=$A236)*('Supplemental intervention-level'!$A:$A="NI"),0))),"Not specified")</f>
        <v>0.04</v>
      </c>
      <c r="S236" s="642">
        <f t="array" ref="S236">iferror(if(isblank($A236),"",index('Supplemental intervention-level'!$M:$M,match(1,('Supplemental intervention-level'!$C:$C=$A236)*('Supplemental intervention-level'!$A:$A="NI"),0))),"Not specified")</f>
        <v>0.04</v>
      </c>
      <c r="T236" s="642">
        <f t="array" ref="T236">iferror(if(isblank($A236),"",index('Supplemental intervention-level'!$M:$M,match(1,('Supplemental intervention-level'!$C:$C=$A236)*('Supplemental intervention-level'!$A:$A="NI"),0))),"Not specified")</f>
        <v>0.04</v>
      </c>
      <c r="U236" s="642">
        <f t="array" ref="U236">iferror(if(isblank($A236),"",index('Supplemental intervention-level'!$M:$M,match(1,('Supplemental intervention-level'!$C:$C=$A236)*('Supplemental intervention-level'!$A:$A="NI"),0))),"Not specified")</f>
        <v>0.04</v>
      </c>
      <c r="V236" s="642">
        <f t="array" ref="V236">iferror(if(isblank($A236),"",index('Supplemental intervention-level'!$M:$M,match(1,('Supplemental intervention-level'!$C:$C=$A236)*('Supplemental intervention-level'!$A:$A="NI"),0))),"Not specified")</f>
        <v>0.04</v>
      </c>
      <c r="W236" s="642">
        <f t="array" ref="W236">iferror(if(isblank($A236),"",index('Supplemental intervention-level'!$M:$M,match(1,('Supplemental intervention-level'!$C:$C=$A236)*('Supplemental intervention-level'!$A:$A="NI"),0))),"Not specified")</f>
        <v>0.04</v>
      </c>
      <c r="X236" s="642">
        <f t="array" ref="X236">iferror(if(isblank($A236),"",index('Supplemental intervention-level'!$M:$M,match(1,('Supplemental intervention-level'!$C:$C=$A236)*('Supplemental intervention-level'!$A:$A="NI"),0))),"Not specified")</f>
        <v>0.04</v>
      </c>
      <c r="Y236" s="642">
        <f t="array" ref="Y236">iferror(if(isblank($A236),"",index('Supplemental intervention-level'!$M:$M,match(1,('Supplemental intervention-level'!$C:$C=$A236)*('Supplemental intervention-level'!$A:$A="NI"),0))),"Not specified")</f>
        <v>0.04</v>
      </c>
      <c r="Z236" s="642">
        <f t="array" ref="Z236">iferror(if(isblank($A236),"",index('Supplemental intervention-level'!$M:$M,match(1,('Supplemental intervention-level'!$C:$C=$A236)*('Supplemental intervention-level'!$A:$A="NI"),0))),"Not specified")</f>
        <v>0.04</v>
      </c>
      <c r="AA236" s="642">
        <f t="array" ref="AA236">iferror(if(isblank($A236),"",index('Supplemental intervention-level'!$M:$M,match(1,('Supplemental intervention-level'!$C:$C=$A236)*('Supplemental intervention-level'!$A:$A="NI"),0))),"Not specified")</f>
        <v>0.04</v>
      </c>
      <c r="AB236" s="642">
        <f t="array" ref="AB236">iferror(if(isblank($A236),"",index('Supplemental intervention-level'!$M:$M,match(1,('Supplemental intervention-level'!$C:$C=$A236)*('Supplemental intervention-level'!$A:$A="NI"),0))),"Not specified")</f>
        <v>0.04</v>
      </c>
      <c r="AC236" s="642">
        <f t="array" ref="AC236">iferror(if(isblank($A236),"",index('Supplemental intervention-level'!$M:$M,match(1,('Supplemental intervention-level'!$C:$C=$A236)*('Supplemental intervention-level'!$A:$A="NI"),0))),"Not specified")</f>
        <v>0.04</v>
      </c>
      <c r="AD236" s="642">
        <f t="array" ref="AD236">iferror(if(isblank($A236),"",index('Supplemental intervention-level'!$M:$M,match(1,('Supplemental intervention-level'!$C:$C=$A236)*('Supplemental intervention-level'!$A:$A="NI"),0))),"Not specified")</f>
        <v>0.04</v>
      </c>
      <c r="AE236" s="642">
        <f t="array" ref="AE236">iferror(if(isblank($A236),"",index('Supplemental intervention-level'!$M:$M,match(1,('Supplemental intervention-level'!$C:$C=$A236)*('Supplemental intervention-level'!$A:$A="NI"),0))),"Not specified")</f>
        <v>0.04</v>
      </c>
      <c r="AF236" s="642">
        <f t="array" ref="AF236">iferror(if(isblank($A236),"",index('Supplemental intervention-level'!$M:$M,match(1,('Supplemental intervention-level'!$C:$C=$A236)*('Supplemental intervention-level'!$A:$A="NI"),0))),"Not specified")</f>
        <v>0.04</v>
      </c>
      <c r="AG236" s="642">
        <f t="array" ref="AG236">iferror(if(isblank($A236),"",index('Supplemental intervention-level'!$M:$M,match(1,('Supplemental intervention-level'!$C:$C=$A236)*('Supplemental intervention-level'!$A:$A="NI"),0))),"Not specified")</f>
        <v>0.04</v>
      </c>
      <c r="AH236" s="642">
        <f t="array" ref="AH236">iferror(if(isblank($A236),"",index('Supplemental intervention-level'!$M:$M,match(1,('Supplemental intervention-level'!$C:$C=$A236)*('Supplemental intervention-level'!$A:$A="NI"),0))),"Not specified")</f>
        <v>0.04</v>
      </c>
      <c r="AI236" s="642">
        <f t="array" ref="AI236">iferror(if(isblank($A236),"",index('Supplemental intervention-level'!$M:$M,match(1,('Supplemental intervention-level'!$C:$C=$A236)*('Supplemental intervention-level'!$A:$A="NI"),0))),"Not specified")</f>
        <v>0.04</v>
      </c>
      <c r="AJ236" s="642">
        <f t="array" ref="AJ236">iferror(if(isblank($A236),"",index('Supplemental intervention-level'!$M:$M,match(1,('Supplemental intervention-level'!$C:$C=$A236)*('Supplemental intervention-level'!$A:$A="NI"),0))),"Not specified")</f>
        <v>0.04</v>
      </c>
      <c r="AK236" s="642">
        <f t="array" ref="AK236">iferror(if(isblank($A236),"",index('Supplemental intervention-level'!$M:$M,match(1,('Supplemental intervention-level'!$C:$C=$A236)*('Supplemental intervention-level'!$A:$A="NI"),0))),"Not specified")</f>
        <v>0.04</v>
      </c>
      <c r="AL236" s="642">
        <f t="array" ref="AL236">iferror(if(isblank($A236),"",index('Supplemental intervention-level'!$M:$M,match(1,('Supplemental intervention-level'!$C:$C=$A236)*('Supplemental intervention-level'!$A:$A="NI"),0))),"Not specified")</f>
        <v>0.04</v>
      </c>
    </row>
    <row r="237" outlineLevel="1">
      <c r="A237" s="116" t="str">
        <f>IFERROR(__xludf.DUMMYFUNCTION("""COMPUTED_VALUE"""),"COVID-19 leading to weaker effects of cash incentives and vaccination")</f>
        <v>COVID-19 leading to weaker effects of cash incentives and vaccination</v>
      </c>
      <c r="B237" s="642">
        <f t="array" ref="B237">iferror(if(isblank($A237),"",index('Supplemental intervention-level'!$M:$M,match(1,('Supplemental intervention-level'!$C:$C=$A237)*('Supplemental intervention-level'!$A:$A="NI"),0))),"Not specified")</f>
        <v>-0.04</v>
      </c>
      <c r="C237" s="642">
        <f t="array" ref="C237">iferror(if(isblank($A237),"",index('Supplemental intervention-level'!$M:$M,match(1,('Supplemental intervention-level'!$C:$C=$A237)*('Supplemental intervention-level'!$A:$A="NI"),0))),"Not specified")</f>
        <v>-0.04</v>
      </c>
      <c r="D237" s="642">
        <f t="array" ref="D237">iferror(if(isblank($A237),"",index('Supplemental intervention-level'!$M:$M,match(1,('Supplemental intervention-level'!$C:$C=$A237)*('Supplemental intervention-level'!$A:$A="NI"),0))),"Not specified")</f>
        <v>-0.04</v>
      </c>
      <c r="E237" s="642">
        <f t="array" ref="E237">iferror(if(isblank($A237),"",index('Supplemental intervention-level'!$M:$M,match(1,('Supplemental intervention-level'!$C:$C=$A237)*('Supplemental intervention-level'!$A:$A="NI"),0))),"Not specified")</f>
        <v>-0.04</v>
      </c>
      <c r="F237" s="642">
        <f t="array" ref="F237">iferror(if(isblank($A237),"",index('Supplemental intervention-level'!$M:$M,match(1,('Supplemental intervention-level'!$C:$C=$A237)*('Supplemental intervention-level'!$A:$A="NI"),0))),"Not specified")</f>
        <v>-0.04</v>
      </c>
      <c r="G237" s="642">
        <f t="array" ref="G237">iferror(if(isblank($A237),"",index('Supplemental intervention-level'!$M:$M,match(1,('Supplemental intervention-level'!$C:$C=$A237)*('Supplemental intervention-level'!$A:$A="NI"),0))),"Not specified")</f>
        <v>-0.04</v>
      </c>
      <c r="H237" s="642">
        <f t="array" ref="H237">iferror(if(isblank($A237),"",index('Supplemental intervention-level'!$M:$M,match(1,('Supplemental intervention-level'!$C:$C=$A237)*('Supplemental intervention-level'!$A:$A="NI"),0))),"Not specified")</f>
        <v>-0.04</v>
      </c>
      <c r="I237" s="642">
        <f t="array" ref="I237">iferror(if(isblank($A237),"",index('Supplemental intervention-level'!$M:$M,match(1,('Supplemental intervention-level'!$C:$C=$A237)*('Supplemental intervention-level'!$A:$A="NI"),0))),"Not specified")</f>
        <v>-0.04</v>
      </c>
      <c r="J237" s="642">
        <f t="array" ref="J237">iferror(if(isblank($A237),"",index('Supplemental intervention-level'!$M:$M,match(1,('Supplemental intervention-level'!$C:$C=$A237)*('Supplemental intervention-level'!$A:$A="NI"),0))),"Not specified")</f>
        <v>-0.04</v>
      </c>
      <c r="K237" s="642">
        <f t="array" ref="K237">iferror(if(isblank($A237),"",index('Supplemental intervention-level'!$M:$M,match(1,('Supplemental intervention-level'!$C:$C=$A237)*('Supplemental intervention-level'!$A:$A="NI"),0))),"Not specified")</f>
        <v>-0.04</v>
      </c>
      <c r="L237" s="642">
        <f t="array" ref="L237">iferror(if(isblank($A237),"",index('Supplemental intervention-level'!$M:$M,match(1,('Supplemental intervention-level'!$C:$C=$A237)*('Supplemental intervention-level'!$A:$A="NI"),0))),"Not specified")</f>
        <v>-0.04</v>
      </c>
      <c r="M237" s="642">
        <f t="array" ref="M237">iferror(if(isblank($A237),"",index('Supplemental intervention-level'!$M:$M,match(1,('Supplemental intervention-level'!$C:$C=$A237)*('Supplemental intervention-level'!$A:$A="NI"),0))),"Not specified")</f>
        <v>-0.04</v>
      </c>
      <c r="N237" s="642">
        <f t="array" ref="N237">iferror(if(isblank($A237),"",index('Supplemental intervention-level'!$M:$M,match(1,('Supplemental intervention-level'!$C:$C=$A237)*('Supplemental intervention-level'!$A:$A="NI"),0))),"Not specified")</f>
        <v>-0.04</v>
      </c>
      <c r="O237" s="642">
        <f t="array" ref="O237">iferror(if(isblank($A237),"",index('Supplemental intervention-level'!$M:$M,match(1,('Supplemental intervention-level'!$C:$C=$A237)*('Supplemental intervention-level'!$A:$A="NI"),0))),"Not specified")</f>
        <v>-0.04</v>
      </c>
      <c r="P237" s="642">
        <f t="array" ref="P237">iferror(if(isblank($A237),"",index('Supplemental intervention-level'!$M:$M,match(1,('Supplemental intervention-level'!$C:$C=$A237)*('Supplemental intervention-level'!$A:$A="NI"),0))),"Not specified")</f>
        <v>-0.04</v>
      </c>
      <c r="Q237" s="642">
        <f t="array" ref="Q237">iferror(if(isblank($A237),"",index('Supplemental intervention-level'!$M:$M,match(1,('Supplemental intervention-level'!$C:$C=$A237)*('Supplemental intervention-level'!$A:$A="NI"),0))),"Not specified")</f>
        <v>-0.04</v>
      </c>
      <c r="R237" s="642">
        <f t="array" ref="R237">iferror(if(isblank($A237),"",index('Supplemental intervention-level'!$M:$M,match(1,('Supplemental intervention-level'!$C:$C=$A237)*('Supplemental intervention-level'!$A:$A="NI"),0))),"Not specified")</f>
        <v>-0.04</v>
      </c>
      <c r="S237" s="642">
        <f t="array" ref="S237">iferror(if(isblank($A237),"",index('Supplemental intervention-level'!$M:$M,match(1,('Supplemental intervention-level'!$C:$C=$A237)*('Supplemental intervention-level'!$A:$A="NI"),0))),"Not specified")</f>
        <v>-0.04</v>
      </c>
      <c r="T237" s="642">
        <f t="array" ref="T237">iferror(if(isblank($A237),"",index('Supplemental intervention-level'!$M:$M,match(1,('Supplemental intervention-level'!$C:$C=$A237)*('Supplemental intervention-level'!$A:$A="NI"),0))),"Not specified")</f>
        <v>-0.04</v>
      </c>
      <c r="U237" s="642">
        <f t="array" ref="U237">iferror(if(isblank($A237),"",index('Supplemental intervention-level'!$M:$M,match(1,('Supplemental intervention-level'!$C:$C=$A237)*('Supplemental intervention-level'!$A:$A="NI"),0))),"Not specified")</f>
        <v>-0.04</v>
      </c>
      <c r="V237" s="642">
        <f t="array" ref="V237">iferror(if(isblank($A237),"",index('Supplemental intervention-level'!$M:$M,match(1,('Supplemental intervention-level'!$C:$C=$A237)*('Supplemental intervention-level'!$A:$A="NI"),0))),"Not specified")</f>
        <v>-0.04</v>
      </c>
      <c r="W237" s="642">
        <f t="array" ref="W237">iferror(if(isblank($A237),"",index('Supplemental intervention-level'!$M:$M,match(1,('Supplemental intervention-level'!$C:$C=$A237)*('Supplemental intervention-level'!$A:$A="NI"),0))),"Not specified")</f>
        <v>-0.04</v>
      </c>
      <c r="X237" s="642">
        <f t="array" ref="X237">iferror(if(isblank($A237),"",index('Supplemental intervention-level'!$M:$M,match(1,('Supplemental intervention-level'!$C:$C=$A237)*('Supplemental intervention-level'!$A:$A="NI"),0))),"Not specified")</f>
        <v>-0.04</v>
      </c>
      <c r="Y237" s="642">
        <f t="array" ref="Y237">iferror(if(isblank($A237),"",index('Supplemental intervention-level'!$M:$M,match(1,('Supplemental intervention-level'!$C:$C=$A237)*('Supplemental intervention-level'!$A:$A="NI"),0))),"Not specified")</f>
        <v>-0.04</v>
      </c>
      <c r="Z237" s="642">
        <f t="array" ref="Z237">iferror(if(isblank($A237),"",index('Supplemental intervention-level'!$M:$M,match(1,('Supplemental intervention-level'!$C:$C=$A237)*('Supplemental intervention-level'!$A:$A="NI"),0))),"Not specified")</f>
        <v>-0.04</v>
      </c>
      <c r="AA237" s="642">
        <f t="array" ref="AA237">iferror(if(isblank($A237),"",index('Supplemental intervention-level'!$M:$M,match(1,('Supplemental intervention-level'!$C:$C=$A237)*('Supplemental intervention-level'!$A:$A="NI"),0))),"Not specified")</f>
        <v>-0.04</v>
      </c>
      <c r="AB237" s="642">
        <f t="array" ref="AB237">iferror(if(isblank($A237),"",index('Supplemental intervention-level'!$M:$M,match(1,('Supplemental intervention-level'!$C:$C=$A237)*('Supplemental intervention-level'!$A:$A="NI"),0))),"Not specified")</f>
        <v>-0.04</v>
      </c>
      <c r="AC237" s="642">
        <f t="array" ref="AC237">iferror(if(isblank($A237),"",index('Supplemental intervention-level'!$M:$M,match(1,('Supplemental intervention-level'!$C:$C=$A237)*('Supplemental intervention-level'!$A:$A="NI"),0))),"Not specified")</f>
        <v>-0.04</v>
      </c>
      <c r="AD237" s="642">
        <f t="array" ref="AD237">iferror(if(isblank($A237),"",index('Supplemental intervention-level'!$M:$M,match(1,('Supplemental intervention-level'!$C:$C=$A237)*('Supplemental intervention-level'!$A:$A="NI"),0))),"Not specified")</f>
        <v>-0.04</v>
      </c>
      <c r="AE237" s="642">
        <f t="array" ref="AE237">iferror(if(isblank($A237),"",index('Supplemental intervention-level'!$M:$M,match(1,('Supplemental intervention-level'!$C:$C=$A237)*('Supplemental intervention-level'!$A:$A="NI"),0))),"Not specified")</f>
        <v>-0.04</v>
      </c>
      <c r="AF237" s="642">
        <f t="array" ref="AF237">iferror(if(isblank($A237),"",index('Supplemental intervention-level'!$M:$M,match(1,('Supplemental intervention-level'!$C:$C=$A237)*('Supplemental intervention-level'!$A:$A="NI"),0))),"Not specified")</f>
        <v>-0.04</v>
      </c>
      <c r="AG237" s="642">
        <f t="array" ref="AG237">iferror(if(isblank($A237),"",index('Supplemental intervention-level'!$M:$M,match(1,('Supplemental intervention-level'!$C:$C=$A237)*('Supplemental intervention-level'!$A:$A="NI"),0))),"Not specified")</f>
        <v>-0.04</v>
      </c>
      <c r="AH237" s="642">
        <f t="array" ref="AH237">iferror(if(isblank($A237),"",index('Supplemental intervention-level'!$M:$M,match(1,('Supplemental intervention-level'!$C:$C=$A237)*('Supplemental intervention-level'!$A:$A="NI"),0))),"Not specified")</f>
        <v>-0.04</v>
      </c>
      <c r="AI237" s="642">
        <f t="array" ref="AI237">iferror(if(isblank($A237),"",index('Supplemental intervention-level'!$M:$M,match(1,('Supplemental intervention-level'!$C:$C=$A237)*('Supplemental intervention-level'!$A:$A="NI"),0))),"Not specified")</f>
        <v>-0.04</v>
      </c>
      <c r="AJ237" s="642">
        <f t="array" ref="AJ237">iferror(if(isblank($A237),"",index('Supplemental intervention-level'!$M:$M,match(1,('Supplemental intervention-level'!$C:$C=$A237)*('Supplemental intervention-level'!$A:$A="NI"),0))),"Not specified")</f>
        <v>-0.04</v>
      </c>
      <c r="AK237" s="642">
        <f t="array" ref="AK237">iferror(if(isblank($A237),"",index('Supplemental intervention-level'!$M:$M,match(1,('Supplemental intervention-level'!$C:$C=$A237)*('Supplemental intervention-level'!$A:$A="NI"),0))),"Not specified")</f>
        <v>-0.04</v>
      </c>
      <c r="AL237" s="642">
        <f t="array" ref="AL237">iferror(if(isblank($A237),"",index('Supplemental intervention-level'!$M:$M,match(1,('Supplemental intervention-level'!$C:$C=$A237)*('Supplemental intervention-level'!$A:$A="NI"),0))),"Not specified")</f>
        <v>-0.04</v>
      </c>
    </row>
    <row r="238" outlineLevel="1">
      <c r="A238" s="116" t="str">
        <f>IFERROR(__xludf.DUMMYFUNCTION("""COMPUTED_VALUE"""),"Crowding out of New Incentives")</f>
        <v>Crowding out of New Incentives</v>
      </c>
      <c r="B238" s="642">
        <f t="array" ref="B238">iferror(if(isblank($A238),"",index('Supplemental intervention-level'!$M:$M,match(1,('Supplemental intervention-level'!$C:$C=$A238)*('Supplemental intervention-level'!$A:$A="NI"),0))),"Not specified")</f>
        <v>-0.175</v>
      </c>
      <c r="C238" s="642">
        <f t="array" ref="C238">iferror(if(isblank($A238),"",index('Supplemental intervention-level'!$M:$M,match(1,('Supplemental intervention-level'!$C:$C=$A238)*('Supplemental intervention-level'!$A:$A="NI"),0))),"Not specified")</f>
        <v>-0.175</v>
      </c>
      <c r="D238" s="642">
        <f t="array" ref="D238">iferror(if(isblank($A238),"",index('Supplemental intervention-level'!$M:$M,match(1,('Supplemental intervention-level'!$C:$C=$A238)*('Supplemental intervention-level'!$A:$A="NI"),0))),"Not specified")</f>
        <v>-0.175</v>
      </c>
      <c r="E238" s="642">
        <f t="array" ref="E238">iferror(if(isblank($A238),"",index('Supplemental intervention-level'!$M:$M,match(1,('Supplemental intervention-level'!$C:$C=$A238)*('Supplemental intervention-level'!$A:$A="NI"),0))),"Not specified")</f>
        <v>-0.175</v>
      </c>
      <c r="F238" s="642">
        <f t="array" ref="F238">iferror(if(isblank($A238),"",index('Supplemental intervention-level'!$M:$M,match(1,('Supplemental intervention-level'!$C:$C=$A238)*('Supplemental intervention-level'!$A:$A="NI"),0))),"Not specified")</f>
        <v>-0.175</v>
      </c>
      <c r="G238" s="642">
        <f t="array" ref="G238">iferror(if(isblank($A238),"",index('Supplemental intervention-level'!$M:$M,match(1,('Supplemental intervention-level'!$C:$C=$A238)*('Supplemental intervention-level'!$A:$A="NI"),0))),"Not specified")</f>
        <v>-0.175</v>
      </c>
      <c r="H238" s="642">
        <f t="array" ref="H238">iferror(if(isblank($A238),"",index('Supplemental intervention-level'!$M:$M,match(1,('Supplemental intervention-level'!$C:$C=$A238)*('Supplemental intervention-level'!$A:$A="NI"),0))),"Not specified")</f>
        <v>-0.175</v>
      </c>
      <c r="I238" s="642">
        <f t="array" ref="I238">iferror(if(isblank($A238),"",index('Supplemental intervention-level'!$M:$M,match(1,('Supplemental intervention-level'!$C:$C=$A238)*('Supplemental intervention-level'!$A:$A="NI"),0))),"Not specified")</f>
        <v>-0.175</v>
      </c>
      <c r="J238" s="642">
        <f t="array" ref="J238">iferror(if(isblank($A238),"",index('Supplemental intervention-level'!$M:$M,match(1,('Supplemental intervention-level'!$C:$C=$A238)*('Supplemental intervention-level'!$A:$A="NI"),0))),"Not specified")</f>
        <v>-0.175</v>
      </c>
      <c r="K238" s="642">
        <f t="array" ref="K238">iferror(if(isblank($A238),"",index('Supplemental intervention-level'!$M:$M,match(1,('Supplemental intervention-level'!$C:$C=$A238)*('Supplemental intervention-level'!$A:$A="NI"),0))),"Not specified")</f>
        <v>-0.175</v>
      </c>
      <c r="L238" s="642">
        <f t="array" ref="L238">iferror(if(isblank($A238),"",index('Supplemental intervention-level'!$M:$M,match(1,('Supplemental intervention-level'!$C:$C=$A238)*('Supplemental intervention-level'!$A:$A="NI"),0))),"Not specified")</f>
        <v>-0.175</v>
      </c>
      <c r="M238" s="642">
        <f t="array" ref="M238">iferror(if(isblank($A238),"",index('Supplemental intervention-level'!$M:$M,match(1,('Supplemental intervention-level'!$C:$C=$A238)*('Supplemental intervention-level'!$A:$A="NI"),0))),"Not specified")</f>
        <v>-0.175</v>
      </c>
      <c r="N238" s="642">
        <f t="array" ref="N238">iferror(if(isblank($A238),"",index('Supplemental intervention-level'!$M:$M,match(1,('Supplemental intervention-level'!$C:$C=$A238)*('Supplemental intervention-level'!$A:$A="NI"),0))),"Not specified")</f>
        <v>-0.175</v>
      </c>
      <c r="O238" s="642">
        <f t="array" ref="O238">iferror(if(isblank($A238),"",index('Supplemental intervention-level'!$M:$M,match(1,('Supplemental intervention-level'!$C:$C=$A238)*('Supplemental intervention-level'!$A:$A="NI"),0))),"Not specified")</f>
        <v>-0.175</v>
      </c>
      <c r="P238" s="642">
        <f t="array" ref="P238">iferror(if(isblank($A238),"",index('Supplemental intervention-level'!$M:$M,match(1,('Supplemental intervention-level'!$C:$C=$A238)*('Supplemental intervention-level'!$A:$A="NI"),0))),"Not specified")</f>
        <v>-0.175</v>
      </c>
      <c r="Q238" s="642">
        <f t="array" ref="Q238">iferror(if(isblank($A238),"",index('Supplemental intervention-level'!$M:$M,match(1,('Supplemental intervention-level'!$C:$C=$A238)*('Supplemental intervention-level'!$A:$A="NI"),0))),"Not specified")</f>
        <v>-0.175</v>
      </c>
      <c r="R238" s="642">
        <f t="array" ref="R238">iferror(if(isblank($A238),"",index('Supplemental intervention-level'!$M:$M,match(1,('Supplemental intervention-level'!$C:$C=$A238)*('Supplemental intervention-level'!$A:$A="NI"),0))),"Not specified")</f>
        <v>-0.175</v>
      </c>
      <c r="S238" s="642">
        <f t="array" ref="S238">iferror(if(isblank($A238),"",index('Supplemental intervention-level'!$M:$M,match(1,('Supplemental intervention-level'!$C:$C=$A238)*('Supplemental intervention-level'!$A:$A="NI"),0))),"Not specified")</f>
        <v>-0.175</v>
      </c>
      <c r="T238" s="642">
        <f t="array" ref="T238">iferror(if(isblank($A238),"",index('Supplemental intervention-level'!$M:$M,match(1,('Supplemental intervention-level'!$C:$C=$A238)*('Supplemental intervention-level'!$A:$A="NI"),0))),"Not specified")</f>
        <v>-0.175</v>
      </c>
      <c r="U238" s="642">
        <f t="array" ref="U238">iferror(if(isblank($A238),"",index('Supplemental intervention-level'!$M:$M,match(1,('Supplemental intervention-level'!$C:$C=$A238)*('Supplemental intervention-level'!$A:$A="NI"),0))),"Not specified")</f>
        <v>-0.175</v>
      </c>
      <c r="V238" s="642">
        <f t="array" ref="V238">iferror(if(isblank($A238),"",index('Supplemental intervention-level'!$M:$M,match(1,('Supplemental intervention-level'!$C:$C=$A238)*('Supplemental intervention-level'!$A:$A="NI"),0))),"Not specified")</f>
        <v>-0.175</v>
      </c>
      <c r="W238" s="642">
        <f t="array" ref="W238">iferror(if(isblank($A238),"",index('Supplemental intervention-level'!$M:$M,match(1,('Supplemental intervention-level'!$C:$C=$A238)*('Supplemental intervention-level'!$A:$A="NI"),0))),"Not specified")</f>
        <v>-0.175</v>
      </c>
      <c r="X238" s="642">
        <f t="array" ref="X238">iferror(if(isblank($A238),"",index('Supplemental intervention-level'!$M:$M,match(1,('Supplemental intervention-level'!$C:$C=$A238)*('Supplemental intervention-level'!$A:$A="NI"),0))),"Not specified")</f>
        <v>-0.175</v>
      </c>
      <c r="Y238" s="642">
        <f t="array" ref="Y238">iferror(if(isblank($A238),"",index('Supplemental intervention-level'!$M:$M,match(1,('Supplemental intervention-level'!$C:$C=$A238)*('Supplemental intervention-level'!$A:$A="NI"),0))),"Not specified")</f>
        <v>-0.175</v>
      </c>
      <c r="Z238" s="642">
        <f t="array" ref="Z238">iferror(if(isblank($A238),"",index('Supplemental intervention-level'!$M:$M,match(1,('Supplemental intervention-level'!$C:$C=$A238)*('Supplemental intervention-level'!$A:$A="NI"),0))),"Not specified")</f>
        <v>-0.175</v>
      </c>
      <c r="AA238" s="642">
        <f t="array" ref="AA238">iferror(if(isblank($A238),"",index('Supplemental intervention-level'!$M:$M,match(1,('Supplemental intervention-level'!$C:$C=$A238)*('Supplemental intervention-level'!$A:$A="NI"),0))),"Not specified")</f>
        <v>-0.175</v>
      </c>
      <c r="AB238" s="642">
        <f t="array" ref="AB238">iferror(if(isblank($A238),"",index('Supplemental intervention-level'!$M:$M,match(1,('Supplemental intervention-level'!$C:$C=$A238)*('Supplemental intervention-level'!$A:$A="NI"),0))),"Not specified")</f>
        <v>-0.175</v>
      </c>
      <c r="AC238" s="642">
        <f t="array" ref="AC238">iferror(if(isblank($A238),"",index('Supplemental intervention-level'!$M:$M,match(1,('Supplemental intervention-level'!$C:$C=$A238)*('Supplemental intervention-level'!$A:$A="NI"),0))),"Not specified")</f>
        <v>-0.175</v>
      </c>
      <c r="AD238" s="642">
        <f t="array" ref="AD238">iferror(if(isblank($A238),"",index('Supplemental intervention-level'!$M:$M,match(1,('Supplemental intervention-level'!$C:$C=$A238)*('Supplemental intervention-level'!$A:$A="NI"),0))),"Not specified")</f>
        <v>-0.175</v>
      </c>
      <c r="AE238" s="642">
        <f t="array" ref="AE238">iferror(if(isblank($A238),"",index('Supplemental intervention-level'!$M:$M,match(1,('Supplemental intervention-level'!$C:$C=$A238)*('Supplemental intervention-level'!$A:$A="NI"),0))),"Not specified")</f>
        <v>-0.175</v>
      </c>
      <c r="AF238" s="642">
        <f t="array" ref="AF238">iferror(if(isblank($A238),"",index('Supplemental intervention-level'!$M:$M,match(1,('Supplemental intervention-level'!$C:$C=$A238)*('Supplemental intervention-level'!$A:$A="NI"),0))),"Not specified")</f>
        <v>-0.175</v>
      </c>
      <c r="AG238" s="642">
        <f t="array" ref="AG238">iferror(if(isblank($A238),"",index('Supplemental intervention-level'!$M:$M,match(1,('Supplemental intervention-level'!$C:$C=$A238)*('Supplemental intervention-level'!$A:$A="NI"),0))),"Not specified")</f>
        <v>-0.175</v>
      </c>
      <c r="AH238" s="642">
        <f t="array" ref="AH238">iferror(if(isblank($A238),"",index('Supplemental intervention-level'!$M:$M,match(1,('Supplemental intervention-level'!$C:$C=$A238)*('Supplemental intervention-level'!$A:$A="NI"),0))),"Not specified")</f>
        <v>-0.175</v>
      </c>
      <c r="AI238" s="642">
        <f t="array" ref="AI238">iferror(if(isblank($A238),"",index('Supplemental intervention-level'!$M:$M,match(1,('Supplemental intervention-level'!$C:$C=$A238)*('Supplemental intervention-level'!$A:$A="NI"),0))),"Not specified")</f>
        <v>-0.175</v>
      </c>
      <c r="AJ238" s="642">
        <f t="array" ref="AJ238">iferror(if(isblank($A238),"",index('Supplemental intervention-level'!$M:$M,match(1,('Supplemental intervention-level'!$C:$C=$A238)*('Supplemental intervention-level'!$A:$A="NI"),0))),"Not specified")</f>
        <v>-0.175</v>
      </c>
      <c r="AK238" s="642">
        <f t="array" ref="AK238">iferror(if(isblank($A238),"",index('Supplemental intervention-level'!$M:$M,match(1,('Supplemental intervention-level'!$C:$C=$A238)*('Supplemental intervention-level'!$A:$A="NI"),0))),"Not specified")</f>
        <v>-0.175</v>
      </c>
      <c r="AL238" s="642">
        <f t="array" ref="AL238">iferror(if(isblank($A238),"",index('Supplemental intervention-level'!$M:$M,match(1,('Supplemental intervention-level'!$C:$C=$A238)*('Supplemental intervention-level'!$A:$A="NI"),0))),"Not specified")</f>
        <v>-0.175</v>
      </c>
    </row>
    <row r="239" outlineLevel="1">
      <c r="A239" s="643" t="str">
        <f>IFERROR(__xludf.DUMMYFUNCTION("""COMPUTED_VALUE"""),"Vaccine-derived polio outbreaks")</f>
        <v>Vaccine-derived polio outbreaks</v>
      </c>
      <c r="B239" s="642">
        <f t="array" ref="B239">iferror(if(isblank($A239),"",index('Supplemental intervention-level'!$M:$M,match(1,('Supplemental intervention-level'!$C:$C=$A239)*('Supplemental intervention-level'!$A:$A="NI"),0))),"Not specified")</f>
        <v>-0.02</v>
      </c>
      <c r="C239" s="642">
        <f t="array" ref="C239">iferror(if(isblank($A239),"",index('Supplemental intervention-level'!$M:$M,match(1,('Supplemental intervention-level'!$C:$C=$A239)*('Supplemental intervention-level'!$A:$A="NI"),0))),"Not specified")</f>
        <v>-0.02</v>
      </c>
      <c r="D239" s="642">
        <f t="array" ref="D239">iferror(if(isblank($A239),"",index('Supplemental intervention-level'!$M:$M,match(1,('Supplemental intervention-level'!$C:$C=$A239)*('Supplemental intervention-level'!$A:$A="NI"),0))),"Not specified")</f>
        <v>-0.02</v>
      </c>
      <c r="E239" s="642">
        <f t="array" ref="E239">iferror(if(isblank($A239),"",index('Supplemental intervention-level'!$M:$M,match(1,('Supplemental intervention-level'!$C:$C=$A239)*('Supplemental intervention-level'!$A:$A="NI"),0))),"Not specified")</f>
        <v>-0.02</v>
      </c>
      <c r="F239" s="642">
        <f t="array" ref="F239">iferror(if(isblank($A239),"",index('Supplemental intervention-level'!$M:$M,match(1,('Supplemental intervention-level'!$C:$C=$A239)*('Supplemental intervention-level'!$A:$A="NI"),0))),"Not specified")</f>
        <v>-0.02</v>
      </c>
      <c r="G239" s="642">
        <f t="array" ref="G239">iferror(if(isblank($A239),"",index('Supplemental intervention-level'!$M:$M,match(1,('Supplemental intervention-level'!$C:$C=$A239)*('Supplemental intervention-level'!$A:$A="NI"),0))),"Not specified")</f>
        <v>-0.02</v>
      </c>
      <c r="H239" s="642">
        <f t="array" ref="H239">iferror(if(isblank($A239),"",index('Supplemental intervention-level'!$M:$M,match(1,('Supplemental intervention-level'!$C:$C=$A239)*('Supplemental intervention-level'!$A:$A="NI"),0))),"Not specified")</f>
        <v>-0.02</v>
      </c>
      <c r="I239" s="642">
        <f t="array" ref="I239">iferror(if(isblank($A239),"",index('Supplemental intervention-level'!$M:$M,match(1,('Supplemental intervention-level'!$C:$C=$A239)*('Supplemental intervention-level'!$A:$A="NI"),0))),"Not specified")</f>
        <v>-0.02</v>
      </c>
      <c r="J239" s="642">
        <f t="array" ref="J239">iferror(if(isblank($A239),"",index('Supplemental intervention-level'!$M:$M,match(1,('Supplemental intervention-level'!$C:$C=$A239)*('Supplemental intervention-level'!$A:$A="NI"),0))),"Not specified")</f>
        <v>-0.02</v>
      </c>
      <c r="K239" s="642">
        <f t="array" ref="K239">iferror(if(isblank($A239),"",index('Supplemental intervention-level'!$M:$M,match(1,('Supplemental intervention-level'!$C:$C=$A239)*('Supplemental intervention-level'!$A:$A="NI"),0))),"Not specified")</f>
        <v>-0.02</v>
      </c>
      <c r="L239" s="642">
        <f t="array" ref="L239">iferror(if(isblank($A239),"",index('Supplemental intervention-level'!$M:$M,match(1,('Supplemental intervention-level'!$C:$C=$A239)*('Supplemental intervention-level'!$A:$A="NI"),0))),"Not specified")</f>
        <v>-0.02</v>
      </c>
      <c r="M239" s="642">
        <f t="array" ref="M239">iferror(if(isblank($A239),"",index('Supplemental intervention-level'!$M:$M,match(1,('Supplemental intervention-level'!$C:$C=$A239)*('Supplemental intervention-level'!$A:$A="NI"),0))),"Not specified")</f>
        <v>-0.02</v>
      </c>
      <c r="N239" s="642">
        <f t="array" ref="N239">iferror(if(isblank($A239),"",index('Supplemental intervention-level'!$M:$M,match(1,('Supplemental intervention-level'!$C:$C=$A239)*('Supplemental intervention-level'!$A:$A="NI"),0))),"Not specified")</f>
        <v>-0.02</v>
      </c>
      <c r="O239" s="642">
        <f t="array" ref="O239">iferror(if(isblank($A239),"",index('Supplemental intervention-level'!$M:$M,match(1,('Supplemental intervention-level'!$C:$C=$A239)*('Supplemental intervention-level'!$A:$A="NI"),0))),"Not specified")</f>
        <v>-0.02</v>
      </c>
      <c r="P239" s="642">
        <f t="array" ref="P239">iferror(if(isblank($A239),"",index('Supplemental intervention-level'!$M:$M,match(1,('Supplemental intervention-level'!$C:$C=$A239)*('Supplemental intervention-level'!$A:$A="NI"),0))),"Not specified")</f>
        <v>-0.02</v>
      </c>
      <c r="Q239" s="642">
        <f t="array" ref="Q239">iferror(if(isblank($A239),"",index('Supplemental intervention-level'!$M:$M,match(1,('Supplemental intervention-level'!$C:$C=$A239)*('Supplemental intervention-level'!$A:$A="NI"),0))),"Not specified")</f>
        <v>-0.02</v>
      </c>
      <c r="R239" s="642">
        <f t="array" ref="R239">iferror(if(isblank($A239),"",index('Supplemental intervention-level'!$M:$M,match(1,('Supplemental intervention-level'!$C:$C=$A239)*('Supplemental intervention-level'!$A:$A="NI"),0))),"Not specified")</f>
        <v>-0.02</v>
      </c>
      <c r="S239" s="642">
        <f t="array" ref="S239">iferror(if(isblank($A239),"",index('Supplemental intervention-level'!$M:$M,match(1,('Supplemental intervention-level'!$C:$C=$A239)*('Supplemental intervention-level'!$A:$A="NI"),0))),"Not specified")</f>
        <v>-0.02</v>
      </c>
      <c r="T239" s="642">
        <f t="array" ref="T239">iferror(if(isblank($A239),"",index('Supplemental intervention-level'!$M:$M,match(1,('Supplemental intervention-level'!$C:$C=$A239)*('Supplemental intervention-level'!$A:$A="NI"),0))),"Not specified")</f>
        <v>-0.02</v>
      </c>
      <c r="U239" s="642">
        <f t="array" ref="U239">iferror(if(isblank($A239),"",index('Supplemental intervention-level'!$M:$M,match(1,('Supplemental intervention-level'!$C:$C=$A239)*('Supplemental intervention-level'!$A:$A="NI"),0))),"Not specified")</f>
        <v>-0.02</v>
      </c>
      <c r="V239" s="642">
        <f t="array" ref="V239">iferror(if(isblank($A239),"",index('Supplemental intervention-level'!$M:$M,match(1,('Supplemental intervention-level'!$C:$C=$A239)*('Supplemental intervention-level'!$A:$A="NI"),0))),"Not specified")</f>
        <v>-0.02</v>
      </c>
      <c r="W239" s="642">
        <f t="array" ref="W239">iferror(if(isblank($A239),"",index('Supplemental intervention-level'!$M:$M,match(1,('Supplemental intervention-level'!$C:$C=$A239)*('Supplemental intervention-level'!$A:$A="NI"),0))),"Not specified")</f>
        <v>-0.02</v>
      </c>
      <c r="X239" s="642">
        <f t="array" ref="X239">iferror(if(isblank($A239),"",index('Supplemental intervention-level'!$M:$M,match(1,('Supplemental intervention-level'!$C:$C=$A239)*('Supplemental intervention-level'!$A:$A="NI"),0))),"Not specified")</f>
        <v>-0.02</v>
      </c>
      <c r="Y239" s="642">
        <f t="array" ref="Y239">iferror(if(isblank($A239),"",index('Supplemental intervention-level'!$M:$M,match(1,('Supplemental intervention-level'!$C:$C=$A239)*('Supplemental intervention-level'!$A:$A="NI"),0))),"Not specified")</f>
        <v>-0.02</v>
      </c>
      <c r="Z239" s="642">
        <f t="array" ref="Z239">iferror(if(isblank($A239),"",index('Supplemental intervention-level'!$M:$M,match(1,('Supplemental intervention-level'!$C:$C=$A239)*('Supplemental intervention-level'!$A:$A="NI"),0))),"Not specified")</f>
        <v>-0.02</v>
      </c>
      <c r="AA239" s="642">
        <f t="array" ref="AA239">iferror(if(isblank($A239),"",index('Supplemental intervention-level'!$M:$M,match(1,('Supplemental intervention-level'!$C:$C=$A239)*('Supplemental intervention-level'!$A:$A="NI"),0))),"Not specified")</f>
        <v>-0.02</v>
      </c>
      <c r="AB239" s="642">
        <f t="array" ref="AB239">iferror(if(isblank($A239),"",index('Supplemental intervention-level'!$M:$M,match(1,('Supplemental intervention-level'!$C:$C=$A239)*('Supplemental intervention-level'!$A:$A="NI"),0))),"Not specified")</f>
        <v>-0.02</v>
      </c>
      <c r="AC239" s="642">
        <f t="array" ref="AC239">iferror(if(isblank($A239),"",index('Supplemental intervention-level'!$M:$M,match(1,('Supplemental intervention-level'!$C:$C=$A239)*('Supplemental intervention-level'!$A:$A="NI"),0))),"Not specified")</f>
        <v>-0.02</v>
      </c>
      <c r="AD239" s="642">
        <f t="array" ref="AD239">iferror(if(isblank($A239),"",index('Supplemental intervention-level'!$M:$M,match(1,('Supplemental intervention-level'!$C:$C=$A239)*('Supplemental intervention-level'!$A:$A="NI"),0))),"Not specified")</f>
        <v>-0.02</v>
      </c>
      <c r="AE239" s="642">
        <f t="array" ref="AE239">iferror(if(isblank($A239),"",index('Supplemental intervention-level'!$M:$M,match(1,('Supplemental intervention-level'!$C:$C=$A239)*('Supplemental intervention-level'!$A:$A="NI"),0))),"Not specified")</f>
        <v>-0.02</v>
      </c>
      <c r="AF239" s="642">
        <f t="array" ref="AF239">iferror(if(isblank($A239),"",index('Supplemental intervention-level'!$M:$M,match(1,('Supplemental intervention-level'!$C:$C=$A239)*('Supplemental intervention-level'!$A:$A="NI"),0))),"Not specified")</f>
        <v>-0.02</v>
      </c>
      <c r="AG239" s="642">
        <f t="array" ref="AG239">iferror(if(isblank($A239),"",index('Supplemental intervention-level'!$M:$M,match(1,('Supplemental intervention-level'!$C:$C=$A239)*('Supplemental intervention-level'!$A:$A="NI"),0))),"Not specified")</f>
        <v>-0.02</v>
      </c>
      <c r="AH239" s="642">
        <f t="array" ref="AH239">iferror(if(isblank($A239),"",index('Supplemental intervention-level'!$M:$M,match(1,('Supplemental intervention-level'!$C:$C=$A239)*('Supplemental intervention-level'!$A:$A="NI"),0))),"Not specified")</f>
        <v>-0.02</v>
      </c>
      <c r="AI239" s="642">
        <f t="array" ref="AI239">iferror(if(isblank($A239),"",index('Supplemental intervention-level'!$M:$M,match(1,('Supplemental intervention-level'!$C:$C=$A239)*('Supplemental intervention-level'!$A:$A="NI"),0))),"Not specified")</f>
        <v>-0.02</v>
      </c>
      <c r="AJ239" s="642">
        <f t="array" ref="AJ239">iferror(if(isblank($A239),"",index('Supplemental intervention-level'!$M:$M,match(1,('Supplemental intervention-level'!$C:$C=$A239)*('Supplemental intervention-level'!$A:$A="NI"),0))),"Not specified")</f>
        <v>-0.02</v>
      </c>
      <c r="AK239" s="642">
        <f t="array" ref="AK239">iferror(if(isblank($A239),"",index('Supplemental intervention-level'!$M:$M,match(1,('Supplemental intervention-level'!$C:$C=$A239)*('Supplemental intervention-level'!$A:$A="NI"),0))),"Not specified")</f>
        <v>-0.02</v>
      </c>
      <c r="AL239" s="642">
        <f t="array" ref="AL239">iferror(if(isblank($A239),"",index('Supplemental intervention-level'!$M:$M,match(1,('Supplemental intervention-level'!$C:$C=$A239)*('Supplemental intervention-level'!$A:$A="NI"),0))),"Not specified")</f>
        <v>-0.02</v>
      </c>
    </row>
    <row r="240" outlineLevel="1">
      <c r="A240" s="91" t="str">
        <f>IFERROR(__xludf.DUMMYFUNCTION("""COMPUTED_VALUE"""),"Serotype replacement")</f>
        <v>Serotype replacement</v>
      </c>
      <c r="B240" s="642">
        <f t="array" ref="B240">iferror(if(isblank($A240),"",index('Supplemental intervention-level'!$M:$M,match(1,('Supplemental intervention-level'!$C:$C=$A240)*('Supplemental intervention-level'!$A:$A="NI"),0))),"Not specified")</f>
        <v>-0.04</v>
      </c>
      <c r="C240" s="642">
        <f t="array" ref="C240">iferror(if(isblank($A240),"",index('Supplemental intervention-level'!$M:$M,match(1,('Supplemental intervention-level'!$C:$C=$A240)*('Supplemental intervention-level'!$A:$A="NI"),0))),"Not specified")</f>
        <v>-0.04</v>
      </c>
      <c r="D240" s="642">
        <f t="array" ref="D240">iferror(if(isblank($A240),"",index('Supplemental intervention-level'!$M:$M,match(1,('Supplemental intervention-level'!$C:$C=$A240)*('Supplemental intervention-level'!$A:$A="NI"),0))),"Not specified")</f>
        <v>-0.04</v>
      </c>
      <c r="E240" s="642">
        <f t="array" ref="E240">iferror(if(isblank($A240),"",index('Supplemental intervention-level'!$M:$M,match(1,('Supplemental intervention-level'!$C:$C=$A240)*('Supplemental intervention-level'!$A:$A="NI"),0))),"Not specified")</f>
        <v>-0.04</v>
      </c>
      <c r="F240" s="642">
        <f t="array" ref="F240">iferror(if(isblank($A240),"",index('Supplemental intervention-level'!$M:$M,match(1,('Supplemental intervention-level'!$C:$C=$A240)*('Supplemental intervention-level'!$A:$A="NI"),0))),"Not specified")</f>
        <v>-0.04</v>
      </c>
      <c r="G240" s="642">
        <f t="array" ref="G240">iferror(if(isblank($A240),"",index('Supplemental intervention-level'!$M:$M,match(1,('Supplemental intervention-level'!$C:$C=$A240)*('Supplemental intervention-level'!$A:$A="NI"),0))),"Not specified")</f>
        <v>-0.04</v>
      </c>
      <c r="H240" s="642">
        <f t="array" ref="H240">iferror(if(isblank($A240),"",index('Supplemental intervention-level'!$M:$M,match(1,('Supplemental intervention-level'!$C:$C=$A240)*('Supplemental intervention-level'!$A:$A="NI"),0))),"Not specified")</f>
        <v>-0.04</v>
      </c>
      <c r="I240" s="642">
        <f t="array" ref="I240">iferror(if(isblank($A240),"",index('Supplemental intervention-level'!$M:$M,match(1,('Supplemental intervention-level'!$C:$C=$A240)*('Supplemental intervention-level'!$A:$A="NI"),0))),"Not specified")</f>
        <v>-0.04</v>
      </c>
      <c r="J240" s="642">
        <f t="array" ref="J240">iferror(if(isblank($A240),"",index('Supplemental intervention-level'!$M:$M,match(1,('Supplemental intervention-level'!$C:$C=$A240)*('Supplemental intervention-level'!$A:$A="NI"),0))),"Not specified")</f>
        <v>-0.04</v>
      </c>
      <c r="K240" s="642">
        <f t="array" ref="K240">iferror(if(isblank($A240),"",index('Supplemental intervention-level'!$M:$M,match(1,('Supplemental intervention-level'!$C:$C=$A240)*('Supplemental intervention-level'!$A:$A="NI"),0))),"Not specified")</f>
        <v>-0.04</v>
      </c>
      <c r="L240" s="642">
        <f t="array" ref="L240">iferror(if(isblank($A240),"",index('Supplemental intervention-level'!$M:$M,match(1,('Supplemental intervention-level'!$C:$C=$A240)*('Supplemental intervention-level'!$A:$A="NI"),0))),"Not specified")</f>
        <v>-0.04</v>
      </c>
      <c r="M240" s="642">
        <f t="array" ref="M240">iferror(if(isblank($A240),"",index('Supplemental intervention-level'!$M:$M,match(1,('Supplemental intervention-level'!$C:$C=$A240)*('Supplemental intervention-level'!$A:$A="NI"),0))),"Not specified")</f>
        <v>-0.04</v>
      </c>
      <c r="N240" s="642">
        <f t="array" ref="N240">iferror(if(isblank($A240),"",index('Supplemental intervention-level'!$M:$M,match(1,('Supplemental intervention-level'!$C:$C=$A240)*('Supplemental intervention-level'!$A:$A="NI"),0))),"Not specified")</f>
        <v>-0.04</v>
      </c>
      <c r="O240" s="642">
        <f t="array" ref="O240">iferror(if(isblank($A240),"",index('Supplemental intervention-level'!$M:$M,match(1,('Supplemental intervention-level'!$C:$C=$A240)*('Supplemental intervention-level'!$A:$A="NI"),0))),"Not specified")</f>
        <v>-0.04</v>
      </c>
      <c r="P240" s="642">
        <f t="array" ref="P240">iferror(if(isblank($A240),"",index('Supplemental intervention-level'!$M:$M,match(1,('Supplemental intervention-level'!$C:$C=$A240)*('Supplemental intervention-level'!$A:$A="NI"),0))),"Not specified")</f>
        <v>-0.04</v>
      </c>
      <c r="Q240" s="642">
        <f t="array" ref="Q240">iferror(if(isblank($A240),"",index('Supplemental intervention-level'!$M:$M,match(1,('Supplemental intervention-level'!$C:$C=$A240)*('Supplemental intervention-level'!$A:$A="NI"),0))),"Not specified")</f>
        <v>-0.04</v>
      </c>
      <c r="R240" s="642">
        <f t="array" ref="R240">iferror(if(isblank($A240),"",index('Supplemental intervention-level'!$M:$M,match(1,('Supplemental intervention-level'!$C:$C=$A240)*('Supplemental intervention-level'!$A:$A="NI"),0))),"Not specified")</f>
        <v>-0.04</v>
      </c>
      <c r="S240" s="642">
        <f t="array" ref="S240">iferror(if(isblank($A240),"",index('Supplemental intervention-level'!$M:$M,match(1,('Supplemental intervention-level'!$C:$C=$A240)*('Supplemental intervention-level'!$A:$A="NI"),0))),"Not specified")</f>
        <v>-0.04</v>
      </c>
      <c r="T240" s="642">
        <f t="array" ref="T240">iferror(if(isblank($A240),"",index('Supplemental intervention-level'!$M:$M,match(1,('Supplemental intervention-level'!$C:$C=$A240)*('Supplemental intervention-level'!$A:$A="NI"),0))),"Not specified")</f>
        <v>-0.04</v>
      </c>
      <c r="U240" s="642">
        <f t="array" ref="U240">iferror(if(isblank($A240),"",index('Supplemental intervention-level'!$M:$M,match(1,('Supplemental intervention-level'!$C:$C=$A240)*('Supplemental intervention-level'!$A:$A="NI"),0))),"Not specified")</f>
        <v>-0.04</v>
      </c>
      <c r="V240" s="642">
        <f t="array" ref="V240">iferror(if(isblank($A240),"",index('Supplemental intervention-level'!$M:$M,match(1,('Supplemental intervention-level'!$C:$C=$A240)*('Supplemental intervention-level'!$A:$A="NI"),0))),"Not specified")</f>
        <v>-0.04</v>
      </c>
      <c r="W240" s="642">
        <f t="array" ref="W240">iferror(if(isblank($A240),"",index('Supplemental intervention-level'!$M:$M,match(1,('Supplemental intervention-level'!$C:$C=$A240)*('Supplemental intervention-level'!$A:$A="NI"),0))),"Not specified")</f>
        <v>-0.04</v>
      </c>
      <c r="X240" s="642">
        <f t="array" ref="X240">iferror(if(isblank($A240),"",index('Supplemental intervention-level'!$M:$M,match(1,('Supplemental intervention-level'!$C:$C=$A240)*('Supplemental intervention-level'!$A:$A="NI"),0))),"Not specified")</f>
        <v>-0.04</v>
      </c>
      <c r="Y240" s="642">
        <f t="array" ref="Y240">iferror(if(isblank($A240),"",index('Supplemental intervention-level'!$M:$M,match(1,('Supplemental intervention-level'!$C:$C=$A240)*('Supplemental intervention-level'!$A:$A="NI"),0))),"Not specified")</f>
        <v>-0.04</v>
      </c>
      <c r="Z240" s="642">
        <f t="array" ref="Z240">iferror(if(isblank($A240),"",index('Supplemental intervention-level'!$M:$M,match(1,('Supplemental intervention-level'!$C:$C=$A240)*('Supplemental intervention-level'!$A:$A="NI"),0))),"Not specified")</f>
        <v>-0.04</v>
      </c>
      <c r="AA240" s="642">
        <f t="array" ref="AA240">iferror(if(isblank($A240),"",index('Supplemental intervention-level'!$M:$M,match(1,('Supplemental intervention-level'!$C:$C=$A240)*('Supplemental intervention-level'!$A:$A="NI"),0))),"Not specified")</f>
        <v>-0.04</v>
      </c>
      <c r="AB240" s="642">
        <f t="array" ref="AB240">iferror(if(isblank($A240),"",index('Supplemental intervention-level'!$M:$M,match(1,('Supplemental intervention-level'!$C:$C=$A240)*('Supplemental intervention-level'!$A:$A="NI"),0))),"Not specified")</f>
        <v>-0.04</v>
      </c>
      <c r="AC240" s="642">
        <f t="array" ref="AC240">iferror(if(isblank($A240),"",index('Supplemental intervention-level'!$M:$M,match(1,('Supplemental intervention-level'!$C:$C=$A240)*('Supplemental intervention-level'!$A:$A="NI"),0))),"Not specified")</f>
        <v>-0.04</v>
      </c>
      <c r="AD240" s="642">
        <f t="array" ref="AD240">iferror(if(isblank($A240),"",index('Supplemental intervention-level'!$M:$M,match(1,('Supplemental intervention-level'!$C:$C=$A240)*('Supplemental intervention-level'!$A:$A="NI"),0))),"Not specified")</f>
        <v>-0.04</v>
      </c>
      <c r="AE240" s="642">
        <f t="array" ref="AE240">iferror(if(isblank($A240),"",index('Supplemental intervention-level'!$M:$M,match(1,('Supplemental intervention-level'!$C:$C=$A240)*('Supplemental intervention-level'!$A:$A="NI"),0))),"Not specified")</f>
        <v>-0.04</v>
      </c>
      <c r="AF240" s="642">
        <f t="array" ref="AF240">iferror(if(isblank($A240),"",index('Supplemental intervention-level'!$M:$M,match(1,('Supplemental intervention-level'!$C:$C=$A240)*('Supplemental intervention-level'!$A:$A="NI"),0))),"Not specified")</f>
        <v>-0.04</v>
      </c>
      <c r="AG240" s="642">
        <f t="array" ref="AG240">iferror(if(isblank($A240),"",index('Supplemental intervention-level'!$M:$M,match(1,('Supplemental intervention-level'!$C:$C=$A240)*('Supplemental intervention-level'!$A:$A="NI"),0))),"Not specified")</f>
        <v>-0.04</v>
      </c>
      <c r="AH240" s="642">
        <f t="array" ref="AH240">iferror(if(isblank($A240),"",index('Supplemental intervention-level'!$M:$M,match(1,('Supplemental intervention-level'!$C:$C=$A240)*('Supplemental intervention-level'!$A:$A="NI"),0))),"Not specified")</f>
        <v>-0.04</v>
      </c>
      <c r="AI240" s="642">
        <f t="array" ref="AI240">iferror(if(isblank($A240),"",index('Supplemental intervention-level'!$M:$M,match(1,('Supplemental intervention-level'!$C:$C=$A240)*('Supplemental intervention-level'!$A:$A="NI"),0))),"Not specified")</f>
        <v>-0.04</v>
      </c>
      <c r="AJ240" s="642">
        <f t="array" ref="AJ240">iferror(if(isblank($A240),"",index('Supplemental intervention-level'!$M:$M,match(1,('Supplemental intervention-level'!$C:$C=$A240)*('Supplemental intervention-level'!$A:$A="NI"),0))),"Not specified")</f>
        <v>-0.04</v>
      </c>
      <c r="AK240" s="642">
        <f t="array" ref="AK240">iferror(if(isblank($A240),"",index('Supplemental intervention-level'!$M:$M,match(1,('Supplemental intervention-level'!$C:$C=$A240)*('Supplemental intervention-level'!$A:$A="NI"),0))),"Not specified")</f>
        <v>-0.04</v>
      </c>
      <c r="AL240" s="642">
        <f t="array" ref="AL240">iferror(if(isblank($A240),"",index('Supplemental intervention-level'!$M:$M,match(1,('Supplemental intervention-level'!$C:$C=$A240)*('Supplemental intervention-level'!$A:$A="NI"),0))),"Not specified")</f>
        <v>-0.04</v>
      </c>
    </row>
    <row r="241" outlineLevel="1">
      <c r="A241" s="91" t="str">
        <f>IFERROR(__xludf.DUMMYFUNCTION("""COMPUTED_VALUE"""),"Inflation")</f>
        <v>Inflation</v>
      </c>
      <c r="B241" s="642">
        <f t="array" ref="B241">iferror(if(isblank($A241),"",index('Supplemental intervention-level'!$M:$M,match(1,('Supplemental intervention-level'!$C:$C=$A241)*('Supplemental intervention-level'!$A:$A="NI"),0))),"Not specified")</f>
        <v>-0.05</v>
      </c>
      <c r="C241" s="642">
        <f t="array" ref="C241">iferror(if(isblank($A241),"",index('Supplemental intervention-level'!$M:$M,match(1,('Supplemental intervention-level'!$C:$C=$A241)*('Supplemental intervention-level'!$A:$A="NI"),0))),"Not specified")</f>
        <v>-0.05</v>
      </c>
      <c r="D241" s="642">
        <f t="array" ref="D241">iferror(if(isblank($A241),"",index('Supplemental intervention-level'!$M:$M,match(1,('Supplemental intervention-level'!$C:$C=$A241)*('Supplemental intervention-level'!$A:$A="NI"),0))),"Not specified")</f>
        <v>-0.05</v>
      </c>
      <c r="E241" s="642">
        <f t="array" ref="E241">iferror(if(isblank($A241),"",index('Supplemental intervention-level'!$M:$M,match(1,('Supplemental intervention-level'!$C:$C=$A241)*('Supplemental intervention-level'!$A:$A="NI"),0))),"Not specified")</f>
        <v>-0.05</v>
      </c>
      <c r="F241" s="642">
        <f t="array" ref="F241">iferror(if(isblank($A241),"",index('Supplemental intervention-level'!$M:$M,match(1,('Supplemental intervention-level'!$C:$C=$A241)*('Supplemental intervention-level'!$A:$A="NI"),0))),"Not specified")</f>
        <v>-0.05</v>
      </c>
      <c r="G241" s="642">
        <f t="array" ref="G241">iferror(if(isblank($A241),"",index('Supplemental intervention-level'!$M:$M,match(1,('Supplemental intervention-level'!$C:$C=$A241)*('Supplemental intervention-level'!$A:$A="NI"),0))),"Not specified")</f>
        <v>-0.05</v>
      </c>
      <c r="H241" s="642">
        <f t="array" ref="H241">iferror(if(isblank($A241),"",index('Supplemental intervention-level'!$M:$M,match(1,('Supplemental intervention-level'!$C:$C=$A241)*('Supplemental intervention-level'!$A:$A="NI"),0))),"Not specified")</f>
        <v>-0.05</v>
      </c>
      <c r="I241" s="642">
        <f t="array" ref="I241">iferror(if(isblank($A241),"",index('Supplemental intervention-level'!$M:$M,match(1,('Supplemental intervention-level'!$C:$C=$A241)*('Supplemental intervention-level'!$A:$A="NI"),0))),"Not specified")</f>
        <v>-0.05</v>
      </c>
      <c r="J241" s="642">
        <f t="array" ref="J241">iferror(if(isblank($A241),"",index('Supplemental intervention-level'!$M:$M,match(1,('Supplemental intervention-level'!$C:$C=$A241)*('Supplemental intervention-level'!$A:$A="NI"),0))),"Not specified")</f>
        <v>-0.05</v>
      </c>
      <c r="K241" s="642">
        <f t="array" ref="K241">iferror(if(isblank($A241),"",index('Supplemental intervention-level'!$M:$M,match(1,('Supplemental intervention-level'!$C:$C=$A241)*('Supplemental intervention-level'!$A:$A="NI"),0))),"Not specified")</f>
        <v>-0.05</v>
      </c>
      <c r="L241" s="642">
        <f t="array" ref="L241">iferror(if(isblank($A241),"",index('Supplemental intervention-level'!$M:$M,match(1,('Supplemental intervention-level'!$C:$C=$A241)*('Supplemental intervention-level'!$A:$A="NI"),0))),"Not specified")</f>
        <v>-0.05</v>
      </c>
      <c r="M241" s="642">
        <f t="array" ref="M241">iferror(if(isblank($A241),"",index('Supplemental intervention-level'!$M:$M,match(1,('Supplemental intervention-level'!$C:$C=$A241)*('Supplemental intervention-level'!$A:$A="NI"),0))),"Not specified")</f>
        <v>-0.05</v>
      </c>
      <c r="N241" s="642">
        <f t="array" ref="N241">iferror(if(isblank($A241),"",index('Supplemental intervention-level'!$M:$M,match(1,('Supplemental intervention-level'!$C:$C=$A241)*('Supplemental intervention-level'!$A:$A="NI"),0))),"Not specified")</f>
        <v>-0.05</v>
      </c>
      <c r="O241" s="642">
        <f t="array" ref="O241">iferror(if(isblank($A241),"",index('Supplemental intervention-level'!$M:$M,match(1,('Supplemental intervention-level'!$C:$C=$A241)*('Supplemental intervention-level'!$A:$A="NI"),0))),"Not specified")</f>
        <v>-0.05</v>
      </c>
      <c r="P241" s="642">
        <f t="array" ref="P241">iferror(if(isblank($A241),"",index('Supplemental intervention-level'!$M:$M,match(1,('Supplemental intervention-level'!$C:$C=$A241)*('Supplemental intervention-level'!$A:$A="NI"),0))),"Not specified")</f>
        <v>-0.05</v>
      </c>
      <c r="Q241" s="642">
        <f t="array" ref="Q241">iferror(if(isblank($A241),"",index('Supplemental intervention-level'!$M:$M,match(1,('Supplemental intervention-level'!$C:$C=$A241)*('Supplemental intervention-level'!$A:$A="NI"),0))),"Not specified")</f>
        <v>-0.05</v>
      </c>
      <c r="R241" s="642">
        <f t="array" ref="R241">iferror(if(isblank($A241),"",index('Supplemental intervention-level'!$M:$M,match(1,('Supplemental intervention-level'!$C:$C=$A241)*('Supplemental intervention-level'!$A:$A="NI"),0))),"Not specified")</f>
        <v>-0.05</v>
      </c>
      <c r="S241" s="642">
        <f t="array" ref="S241">iferror(if(isblank($A241),"",index('Supplemental intervention-level'!$M:$M,match(1,('Supplemental intervention-level'!$C:$C=$A241)*('Supplemental intervention-level'!$A:$A="NI"),0))),"Not specified")</f>
        <v>-0.05</v>
      </c>
      <c r="T241" s="642">
        <f t="array" ref="T241">iferror(if(isblank($A241),"",index('Supplemental intervention-level'!$M:$M,match(1,('Supplemental intervention-level'!$C:$C=$A241)*('Supplemental intervention-level'!$A:$A="NI"),0))),"Not specified")</f>
        <v>-0.05</v>
      </c>
      <c r="U241" s="642">
        <f t="array" ref="U241">iferror(if(isblank($A241),"",index('Supplemental intervention-level'!$M:$M,match(1,('Supplemental intervention-level'!$C:$C=$A241)*('Supplemental intervention-level'!$A:$A="NI"),0))),"Not specified")</f>
        <v>-0.05</v>
      </c>
      <c r="V241" s="642">
        <f t="array" ref="V241">iferror(if(isblank($A241),"",index('Supplemental intervention-level'!$M:$M,match(1,('Supplemental intervention-level'!$C:$C=$A241)*('Supplemental intervention-level'!$A:$A="NI"),0))),"Not specified")</f>
        <v>-0.05</v>
      </c>
      <c r="W241" s="642">
        <f t="array" ref="W241">iferror(if(isblank($A241),"",index('Supplemental intervention-level'!$M:$M,match(1,('Supplemental intervention-level'!$C:$C=$A241)*('Supplemental intervention-level'!$A:$A="NI"),0))),"Not specified")</f>
        <v>-0.05</v>
      </c>
      <c r="X241" s="642">
        <f t="array" ref="X241">iferror(if(isblank($A241),"",index('Supplemental intervention-level'!$M:$M,match(1,('Supplemental intervention-level'!$C:$C=$A241)*('Supplemental intervention-level'!$A:$A="NI"),0))),"Not specified")</f>
        <v>-0.05</v>
      </c>
      <c r="Y241" s="642">
        <f t="array" ref="Y241">iferror(if(isblank($A241),"",index('Supplemental intervention-level'!$M:$M,match(1,('Supplemental intervention-level'!$C:$C=$A241)*('Supplemental intervention-level'!$A:$A="NI"),0))),"Not specified")</f>
        <v>-0.05</v>
      </c>
      <c r="Z241" s="642">
        <f t="array" ref="Z241">iferror(if(isblank($A241),"",index('Supplemental intervention-level'!$M:$M,match(1,('Supplemental intervention-level'!$C:$C=$A241)*('Supplemental intervention-level'!$A:$A="NI"),0))),"Not specified")</f>
        <v>-0.05</v>
      </c>
      <c r="AA241" s="642">
        <f t="array" ref="AA241">iferror(if(isblank($A241),"",index('Supplemental intervention-level'!$M:$M,match(1,('Supplemental intervention-level'!$C:$C=$A241)*('Supplemental intervention-level'!$A:$A="NI"),0))),"Not specified")</f>
        <v>-0.05</v>
      </c>
      <c r="AB241" s="642">
        <f t="array" ref="AB241">iferror(if(isblank($A241),"",index('Supplemental intervention-level'!$M:$M,match(1,('Supplemental intervention-level'!$C:$C=$A241)*('Supplemental intervention-level'!$A:$A="NI"),0))),"Not specified")</f>
        <v>-0.05</v>
      </c>
      <c r="AC241" s="642">
        <f t="array" ref="AC241">iferror(if(isblank($A241),"",index('Supplemental intervention-level'!$M:$M,match(1,('Supplemental intervention-level'!$C:$C=$A241)*('Supplemental intervention-level'!$A:$A="NI"),0))),"Not specified")</f>
        <v>-0.05</v>
      </c>
      <c r="AD241" s="642">
        <f t="array" ref="AD241">iferror(if(isblank($A241),"",index('Supplemental intervention-level'!$M:$M,match(1,('Supplemental intervention-level'!$C:$C=$A241)*('Supplemental intervention-level'!$A:$A="NI"),0))),"Not specified")</f>
        <v>-0.05</v>
      </c>
      <c r="AE241" s="642">
        <f t="array" ref="AE241">iferror(if(isblank($A241),"",index('Supplemental intervention-level'!$M:$M,match(1,('Supplemental intervention-level'!$C:$C=$A241)*('Supplemental intervention-level'!$A:$A="NI"),0))),"Not specified")</f>
        <v>-0.05</v>
      </c>
      <c r="AF241" s="642">
        <f t="array" ref="AF241">iferror(if(isblank($A241),"",index('Supplemental intervention-level'!$M:$M,match(1,('Supplemental intervention-level'!$C:$C=$A241)*('Supplemental intervention-level'!$A:$A="NI"),0))),"Not specified")</f>
        <v>-0.05</v>
      </c>
      <c r="AG241" s="642">
        <f t="array" ref="AG241">iferror(if(isblank($A241),"",index('Supplemental intervention-level'!$M:$M,match(1,('Supplemental intervention-level'!$C:$C=$A241)*('Supplemental intervention-level'!$A:$A="NI"),0))),"Not specified")</f>
        <v>-0.05</v>
      </c>
      <c r="AH241" s="642">
        <f t="array" ref="AH241">iferror(if(isblank($A241),"",index('Supplemental intervention-level'!$M:$M,match(1,('Supplemental intervention-level'!$C:$C=$A241)*('Supplemental intervention-level'!$A:$A="NI"),0))),"Not specified")</f>
        <v>-0.05</v>
      </c>
      <c r="AI241" s="642">
        <f t="array" ref="AI241">iferror(if(isblank($A241),"",index('Supplemental intervention-level'!$M:$M,match(1,('Supplemental intervention-level'!$C:$C=$A241)*('Supplemental intervention-level'!$A:$A="NI"),0))),"Not specified")</f>
        <v>-0.05</v>
      </c>
      <c r="AJ241" s="642">
        <f t="array" ref="AJ241">iferror(if(isblank($A241),"",index('Supplemental intervention-level'!$M:$M,match(1,('Supplemental intervention-level'!$C:$C=$A241)*('Supplemental intervention-level'!$A:$A="NI"),0))),"Not specified")</f>
        <v>-0.05</v>
      </c>
      <c r="AK241" s="642">
        <f t="array" ref="AK241">iferror(if(isblank($A241),"",index('Supplemental intervention-level'!$M:$M,match(1,('Supplemental intervention-level'!$C:$C=$A241)*('Supplemental intervention-level'!$A:$A="NI"),0))),"Not specified")</f>
        <v>-0.05</v>
      </c>
      <c r="AL241" s="642">
        <f t="array" ref="AL241">iferror(if(isblank($A241),"",index('Supplemental intervention-level'!$M:$M,match(1,('Supplemental intervention-level'!$C:$C=$A241)*('Supplemental intervention-level'!$A:$A="NI"),0))),"Not specified")</f>
        <v>-0.05</v>
      </c>
    </row>
    <row r="242" outlineLevel="1">
      <c r="A242" s="91" t="str">
        <f>IFERROR(__xludf.DUMMYFUNCTION("""COMPUTED_VALUE"""),"Treatment costs averted from prevention")</f>
        <v>Treatment costs averted from prevention</v>
      </c>
      <c r="B242" s="642">
        <f t="array" ref="B242">iferror(if(isblank($A242),"",index('Supplemental intervention-level'!$M:$M,match(1,('Supplemental intervention-level'!$C:$C=$A242)*('Supplemental intervention-level'!$A:$A="NI"),0))),"Not specified")</f>
        <v>0.2</v>
      </c>
      <c r="C242" s="642">
        <f t="array" ref="C242">iferror(if(isblank($A242),"",index('Supplemental intervention-level'!$M:$M,match(1,('Supplemental intervention-level'!$C:$C=$A242)*('Supplemental intervention-level'!$A:$A="NI"),0))),"Not specified")</f>
        <v>0.2</v>
      </c>
      <c r="D242" s="642">
        <f t="array" ref="D242">iferror(if(isblank($A242),"",index('Supplemental intervention-level'!$M:$M,match(1,('Supplemental intervention-level'!$C:$C=$A242)*('Supplemental intervention-level'!$A:$A="NI"),0))),"Not specified")</f>
        <v>0.2</v>
      </c>
      <c r="E242" s="642">
        <f t="array" ref="E242">iferror(if(isblank($A242),"",index('Supplemental intervention-level'!$M:$M,match(1,('Supplemental intervention-level'!$C:$C=$A242)*('Supplemental intervention-level'!$A:$A="NI"),0))),"Not specified")</f>
        <v>0.2</v>
      </c>
      <c r="F242" s="642">
        <f t="array" ref="F242">iferror(if(isblank($A242),"",index('Supplemental intervention-level'!$M:$M,match(1,('Supplemental intervention-level'!$C:$C=$A242)*('Supplemental intervention-level'!$A:$A="NI"),0))),"Not specified")</f>
        <v>0.2</v>
      </c>
      <c r="G242" s="642">
        <f t="array" ref="G242">iferror(if(isblank($A242),"",index('Supplemental intervention-level'!$M:$M,match(1,('Supplemental intervention-level'!$C:$C=$A242)*('Supplemental intervention-level'!$A:$A="NI"),0))),"Not specified")</f>
        <v>0.2</v>
      </c>
      <c r="H242" s="642">
        <f t="array" ref="H242">iferror(if(isblank($A242),"",index('Supplemental intervention-level'!$M:$M,match(1,('Supplemental intervention-level'!$C:$C=$A242)*('Supplemental intervention-level'!$A:$A="NI"),0))),"Not specified")</f>
        <v>0.2</v>
      </c>
      <c r="I242" s="642">
        <f t="array" ref="I242">iferror(if(isblank($A242),"",index('Supplemental intervention-level'!$M:$M,match(1,('Supplemental intervention-level'!$C:$C=$A242)*('Supplemental intervention-level'!$A:$A="NI"),0))),"Not specified")</f>
        <v>0.2</v>
      </c>
      <c r="J242" s="642">
        <f t="array" ref="J242">iferror(if(isblank($A242),"",index('Supplemental intervention-level'!$M:$M,match(1,('Supplemental intervention-level'!$C:$C=$A242)*('Supplemental intervention-level'!$A:$A="NI"),0))),"Not specified")</f>
        <v>0.2</v>
      </c>
      <c r="K242" s="642">
        <f t="array" ref="K242">iferror(if(isblank($A242),"",index('Supplemental intervention-level'!$M:$M,match(1,('Supplemental intervention-level'!$C:$C=$A242)*('Supplemental intervention-level'!$A:$A="NI"),0))),"Not specified")</f>
        <v>0.2</v>
      </c>
      <c r="L242" s="642">
        <f t="array" ref="L242">iferror(if(isblank($A242),"",index('Supplemental intervention-level'!$M:$M,match(1,('Supplemental intervention-level'!$C:$C=$A242)*('Supplemental intervention-level'!$A:$A="NI"),0))),"Not specified")</f>
        <v>0.2</v>
      </c>
      <c r="M242" s="642">
        <f t="array" ref="M242">iferror(if(isblank($A242),"",index('Supplemental intervention-level'!$M:$M,match(1,('Supplemental intervention-level'!$C:$C=$A242)*('Supplemental intervention-level'!$A:$A="NI"),0))),"Not specified")</f>
        <v>0.2</v>
      </c>
      <c r="N242" s="642">
        <f t="array" ref="N242">iferror(if(isblank($A242),"",index('Supplemental intervention-level'!$M:$M,match(1,('Supplemental intervention-level'!$C:$C=$A242)*('Supplemental intervention-level'!$A:$A="NI"),0))),"Not specified")</f>
        <v>0.2</v>
      </c>
      <c r="O242" s="642">
        <f t="array" ref="O242">iferror(if(isblank($A242),"",index('Supplemental intervention-level'!$M:$M,match(1,('Supplemental intervention-level'!$C:$C=$A242)*('Supplemental intervention-level'!$A:$A="NI"),0))),"Not specified")</f>
        <v>0.2</v>
      </c>
      <c r="P242" s="642">
        <f t="array" ref="P242">iferror(if(isblank($A242),"",index('Supplemental intervention-level'!$M:$M,match(1,('Supplemental intervention-level'!$C:$C=$A242)*('Supplemental intervention-level'!$A:$A="NI"),0))),"Not specified")</f>
        <v>0.2</v>
      </c>
      <c r="Q242" s="642">
        <f t="array" ref="Q242">iferror(if(isblank($A242),"",index('Supplemental intervention-level'!$M:$M,match(1,('Supplemental intervention-level'!$C:$C=$A242)*('Supplemental intervention-level'!$A:$A="NI"),0))),"Not specified")</f>
        <v>0.2</v>
      </c>
      <c r="R242" s="642">
        <f t="array" ref="R242">iferror(if(isblank($A242),"",index('Supplemental intervention-level'!$M:$M,match(1,('Supplemental intervention-level'!$C:$C=$A242)*('Supplemental intervention-level'!$A:$A="NI"),0))),"Not specified")</f>
        <v>0.2</v>
      </c>
      <c r="S242" s="642">
        <f t="array" ref="S242">iferror(if(isblank($A242),"",index('Supplemental intervention-level'!$M:$M,match(1,('Supplemental intervention-level'!$C:$C=$A242)*('Supplemental intervention-level'!$A:$A="NI"),0))),"Not specified")</f>
        <v>0.2</v>
      </c>
      <c r="T242" s="642">
        <f t="array" ref="T242">iferror(if(isblank($A242),"",index('Supplemental intervention-level'!$M:$M,match(1,('Supplemental intervention-level'!$C:$C=$A242)*('Supplemental intervention-level'!$A:$A="NI"),0))),"Not specified")</f>
        <v>0.2</v>
      </c>
      <c r="U242" s="642">
        <f t="array" ref="U242">iferror(if(isblank($A242),"",index('Supplemental intervention-level'!$M:$M,match(1,('Supplemental intervention-level'!$C:$C=$A242)*('Supplemental intervention-level'!$A:$A="NI"),0))),"Not specified")</f>
        <v>0.2</v>
      </c>
      <c r="V242" s="642">
        <f t="array" ref="V242">iferror(if(isblank($A242),"",index('Supplemental intervention-level'!$M:$M,match(1,('Supplemental intervention-level'!$C:$C=$A242)*('Supplemental intervention-level'!$A:$A="NI"),0))),"Not specified")</f>
        <v>0.2</v>
      </c>
      <c r="W242" s="642">
        <f t="array" ref="W242">iferror(if(isblank($A242),"",index('Supplemental intervention-level'!$M:$M,match(1,('Supplemental intervention-level'!$C:$C=$A242)*('Supplemental intervention-level'!$A:$A="NI"),0))),"Not specified")</f>
        <v>0.2</v>
      </c>
      <c r="X242" s="642">
        <f t="array" ref="X242">iferror(if(isblank($A242),"",index('Supplemental intervention-level'!$M:$M,match(1,('Supplemental intervention-level'!$C:$C=$A242)*('Supplemental intervention-level'!$A:$A="NI"),0))),"Not specified")</f>
        <v>0.2</v>
      </c>
      <c r="Y242" s="642">
        <f t="array" ref="Y242">iferror(if(isblank($A242),"",index('Supplemental intervention-level'!$M:$M,match(1,('Supplemental intervention-level'!$C:$C=$A242)*('Supplemental intervention-level'!$A:$A="NI"),0))),"Not specified")</f>
        <v>0.2</v>
      </c>
      <c r="Z242" s="642">
        <f t="array" ref="Z242">iferror(if(isblank($A242),"",index('Supplemental intervention-level'!$M:$M,match(1,('Supplemental intervention-level'!$C:$C=$A242)*('Supplemental intervention-level'!$A:$A="NI"),0))),"Not specified")</f>
        <v>0.2</v>
      </c>
      <c r="AA242" s="642">
        <f t="array" ref="AA242">iferror(if(isblank($A242),"",index('Supplemental intervention-level'!$M:$M,match(1,('Supplemental intervention-level'!$C:$C=$A242)*('Supplemental intervention-level'!$A:$A="NI"),0))),"Not specified")</f>
        <v>0.2</v>
      </c>
      <c r="AB242" s="642">
        <f t="array" ref="AB242">iferror(if(isblank($A242),"",index('Supplemental intervention-level'!$M:$M,match(1,('Supplemental intervention-level'!$C:$C=$A242)*('Supplemental intervention-level'!$A:$A="NI"),0))),"Not specified")</f>
        <v>0.2</v>
      </c>
      <c r="AC242" s="642">
        <f t="array" ref="AC242">iferror(if(isblank($A242),"",index('Supplemental intervention-level'!$M:$M,match(1,('Supplemental intervention-level'!$C:$C=$A242)*('Supplemental intervention-level'!$A:$A="NI"),0))),"Not specified")</f>
        <v>0.2</v>
      </c>
      <c r="AD242" s="642">
        <f t="array" ref="AD242">iferror(if(isblank($A242),"",index('Supplemental intervention-level'!$M:$M,match(1,('Supplemental intervention-level'!$C:$C=$A242)*('Supplemental intervention-level'!$A:$A="NI"),0))),"Not specified")</f>
        <v>0.2</v>
      </c>
      <c r="AE242" s="642">
        <f t="array" ref="AE242">iferror(if(isblank($A242),"",index('Supplemental intervention-level'!$M:$M,match(1,('Supplemental intervention-level'!$C:$C=$A242)*('Supplemental intervention-level'!$A:$A="NI"),0))),"Not specified")</f>
        <v>0.2</v>
      </c>
      <c r="AF242" s="642">
        <f t="array" ref="AF242">iferror(if(isblank($A242),"",index('Supplemental intervention-level'!$M:$M,match(1,('Supplemental intervention-level'!$C:$C=$A242)*('Supplemental intervention-level'!$A:$A="NI"),0))),"Not specified")</f>
        <v>0.2</v>
      </c>
      <c r="AG242" s="642">
        <f t="array" ref="AG242">iferror(if(isblank($A242),"",index('Supplemental intervention-level'!$M:$M,match(1,('Supplemental intervention-level'!$C:$C=$A242)*('Supplemental intervention-level'!$A:$A="NI"),0))),"Not specified")</f>
        <v>0.2</v>
      </c>
      <c r="AH242" s="642">
        <f t="array" ref="AH242">iferror(if(isblank($A242),"",index('Supplemental intervention-level'!$M:$M,match(1,('Supplemental intervention-level'!$C:$C=$A242)*('Supplemental intervention-level'!$A:$A="NI"),0))),"Not specified")</f>
        <v>0.2</v>
      </c>
      <c r="AI242" s="642">
        <f t="array" ref="AI242">iferror(if(isblank($A242),"",index('Supplemental intervention-level'!$M:$M,match(1,('Supplemental intervention-level'!$C:$C=$A242)*('Supplemental intervention-level'!$A:$A="NI"),0))),"Not specified")</f>
        <v>0.2</v>
      </c>
      <c r="AJ242" s="642">
        <f t="array" ref="AJ242">iferror(if(isblank($A242),"",index('Supplemental intervention-level'!$M:$M,match(1,('Supplemental intervention-level'!$C:$C=$A242)*('Supplemental intervention-level'!$A:$A="NI"),0))),"Not specified")</f>
        <v>0.2</v>
      </c>
      <c r="AK242" s="642">
        <f t="array" ref="AK242">iferror(if(isblank($A242),"",index('Supplemental intervention-level'!$M:$M,match(1,('Supplemental intervention-level'!$C:$C=$A242)*('Supplemental intervention-level'!$A:$A="NI"),0))),"Not specified")</f>
        <v>0.2</v>
      </c>
      <c r="AL242" s="642">
        <f t="array" ref="AL242">iferror(if(isblank($A242),"",index('Supplemental intervention-level'!$M:$M,match(1,('Supplemental intervention-level'!$C:$C=$A242)*('Supplemental intervention-level'!$A:$A="NI"),0))),"Not specified")</f>
        <v>0.2</v>
      </c>
    </row>
    <row r="243" outlineLevel="1">
      <c r="A243" s="91" t="str">
        <f>IFERROR(__xludf.DUMMYFUNCTION("""COMPUTED_VALUE"""),"Increased timeliness of vaccination")</f>
        <v>Increased timeliness of vaccination</v>
      </c>
      <c r="B243" s="642">
        <f t="array" ref="B243">iferror(if(isblank($A243),"",index('Supplemental intervention-level'!$M:$M,match(1,('Supplemental intervention-level'!$C:$C=$A243)*('Supplemental intervention-level'!$A:$A="NI"),0))),"Not specified")</f>
        <v>0.035</v>
      </c>
      <c r="C243" s="642">
        <f t="array" ref="C243">iferror(if(isblank($A243),"",index('Supplemental intervention-level'!$M:$M,match(1,('Supplemental intervention-level'!$C:$C=$A243)*('Supplemental intervention-level'!$A:$A="NI"),0))),"Not specified")</f>
        <v>0.035</v>
      </c>
      <c r="D243" s="642">
        <f t="array" ref="D243">iferror(if(isblank($A243),"",index('Supplemental intervention-level'!$M:$M,match(1,('Supplemental intervention-level'!$C:$C=$A243)*('Supplemental intervention-level'!$A:$A="NI"),0))),"Not specified")</f>
        <v>0.035</v>
      </c>
      <c r="E243" s="642">
        <f t="array" ref="E243">iferror(if(isblank($A243),"",index('Supplemental intervention-level'!$M:$M,match(1,('Supplemental intervention-level'!$C:$C=$A243)*('Supplemental intervention-level'!$A:$A="NI"),0))),"Not specified")</f>
        <v>0.035</v>
      </c>
      <c r="F243" s="642">
        <f t="array" ref="F243">iferror(if(isblank($A243),"",index('Supplemental intervention-level'!$M:$M,match(1,('Supplemental intervention-level'!$C:$C=$A243)*('Supplemental intervention-level'!$A:$A="NI"),0))),"Not specified")</f>
        <v>0.035</v>
      </c>
      <c r="G243" s="642">
        <f t="array" ref="G243">iferror(if(isblank($A243),"",index('Supplemental intervention-level'!$M:$M,match(1,('Supplemental intervention-level'!$C:$C=$A243)*('Supplemental intervention-level'!$A:$A="NI"),0))),"Not specified")</f>
        <v>0.035</v>
      </c>
      <c r="H243" s="642">
        <f t="array" ref="H243">iferror(if(isblank($A243),"",index('Supplemental intervention-level'!$M:$M,match(1,('Supplemental intervention-level'!$C:$C=$A243)*('Supplemental intervention-level'!$A:$A="NI"),0))),"Not specified")</f>
        <v>0.035</v>
      </c>
      <c r="I243" s="642">
        <f t="array" ref="I243">iferror(if(isblank($A243),"",index('Supplemental intervention-level'!$M:$M,match(1,('Supplemental intervention-level'!$C:$C=$A243)*('Supplemental intervention-level'!$A:$A="NI"),0))),"Not specified")</f>
        <v>0.035</v>
      </c>
      <c r="J243" s="642">
        <f t="array" ref="J243">iferror(if(isblank($A243),"",index('Supplemental intervention-level'!$M:$M,match(1,('Supplemental intervention-level'!$C:$C=$A243)*('Supplemental intervention-level'!$A:$A="NI"),0))),"Not specified")</f>
        <v>0.035</v>
      </c>
      <c r="K243" s="642">
        <f t="array" ref="K243">iferror(if(isblank($A243),"",index('Supplemental intervention-level'!$M:$M,match(1,('Supplemental intervention-level'!$C:$C=$A243)*('Supplemental intervention-level'!$A:$A="NI"),0))),"Not specified")</f>
        <v>0.035</v>
      </c>
      <c r="L243" s="642">
        <f t="array" ref="L243">iferror(if(isblank($A243),"",index('Supplemental intervention-level'!$M:$M,match(1,('Supplemental intervention-level'!$C:$C=$A243)*('Supplemental intervention-level'!$A:$A="NI"),0))),"Not specified")</f>
        <v>0.035</v>
      </c>
      <c r="M243" s="642">
        <f t="array" ref="M243">iferror(if(isblank($A243),"",index('Supplemental intervention-level'!$M:$M,match(1,('Supplemental intervention-level'!$C:$C=$A243)*('Supplemental intervention-level'!$A:$A="NI"),0))),"Not specified")</f>
        <v>0.035</v>
      </c>
      <c r="N243" s="642">
        <f t="array" ref="N243">iferror(if(isblank($A243),"",index('Supplemental intervention-level'!$M:$M,match(1,('Supplemental intervention-level'!$C:$C=$A243)*('Supplemental intervention-level'!$A:$A="NI"),0))),"Not specified")</f>
        <v>0.035</v>
      </c>
      <c r="O243" s="642">
        <f t="array" ref="O243">iferror(if(isblank($A243),"",index('Supplemental intervention-level'!$M:$M,match(1,('Supplemental intervention-level'!$C:$C=$A243)*('Supplemental intervention-level'!$A:$A="NI"),0))),"Not specified")</f>
        <v>0.035</v>
      </c>
      <c r="P243" s="642">
        <f t="array" ref="P243">iferror(if(isblank($A243),"",index('Supplemental intervention-level'!$M:$M,match(1,('Supplemental intervention-level'!$C:$C=$A243)*('Supplemental intervention-level'!$A:$A="NI"),0))),"Not specified")</f>
        <v>0.035</v>
      </c>
      <c r="Q243" s="642">
        <f t="array" ref="Q243">iferror(if(isblank($A243),"",index('Supplemental intervention-level'!$M:$M,match(1,('Supplemental intervention-level'!$C:$C=$A243)*('Supplemental intervention-level'!$A:$A="NI"),0))),"Not specified")</f>
        <v>0.035</v>
      </c>
      <c r="R243" s="642">
        <f t="array" ref="R243">iferror(if(isblank($A243),"",index('Supplemental intervention-level'!$M:$M,match(1,('Supplemental intervention-level'!$C:$C=$A243)*('Supplemental intervention-level'!$A:$A="NI"),0))),"Not specified")</f>
        <v>0.035</v>
      </c>
      <c r="S243" s="642">
        <f t="array" ref="S243">iferror(if(isblank($A243),"",index('Supplemental intervention-level'!$M:$M,match(1,('Supplemental intervention-level'!$C:$C=$A243)*('Supplemental intervention-level'!$A:$A="NI"),0))),"Not specified")</f>
        <v>0.035</v>
      </c>
      <c r="T243" s="642">
        <f t="array" ref="T243">iferror(if(isblank($A243),"",index('Supplemental intervention-level'!$M:$M,match(1,('Supplemental intervention-level'!$C:$C=$A243)*('Supplemental intervention-level'!$A:$A="NI"),0))),"Not specified")</f>
        <v>0.035</v>
      </c>
      <c r="U243" s="642">
        <f t="array" ref="U243">iferror(if(isblank($A243),"",index('Supplemental intervention-level'!$M:$M,match(1,('Supplemental intervention-level'!$C:$C=$A243)*('Supplemental intervention-level'!$A:$A="NI"),0))),"Not specified")</f>
        <v>0.035</v>
      </c>
      <c r="V243" s="642">
        <f t="array" ref="V243">iferror(if(isblank($A243),"",index('Supplemental intervention-level'!$M:$M,match(1,('Supplemental intervention-level'!$C:$C=$A243)*('Supplemental intervention-level'!$A:$A="NI"),0))),"Not specified")</f>
        <v>0.035</v>
      </c>
      <c r="W243" s="642">
        <f t="array" ref="W243">iferror(if(isblank($A243),"",index('Supplemental intervention-level'!$M:$M,match(1,('Supplemental intervention-level'!$C:$C=$A243)*('Supplemental intervention-level'!$A:$A="NI"),0))),"Not specified")</f>
        <v>0.035</v>
      </c>
      <c r="X243" s="642">
        <f t="array" ref="X243">iferror(if(isblank($A243),"",index('Supplemental intervention-level'!$M:$M,match(1,('Supplemental intervention-level'!$C:$C=$A243)*('Supplemental intervention-level'!$A:$A="NI"),0))),"Not specified")</f>
        <v>0.035</v>
      </c>
      <c r="Y243" s="642">
        <f t="array" ref="Y243">iferror(if(isblank($A243),"",index('Supplemental intervention-level'!$M:$M,match(1,('Supplemental intervention-level'!$C:$C=$A243)*('Supplemental intervention-level'!$A:$A="NI"),0))),"Not specified")</f>
        <v>0.035</v>
      </c>
      <c r="Z243" s="642">
        <f t="array" ref="Z243">iferror(if(isblank($A243),"",index('Supplemental intervention-level'!$M:$M,match(1,('Supplemental intervention-level'!$C:$C=$A243)*('Supplemental intervention-level'!$A:$A="NI"),0))),"Not specified")</f>
        <v>0.035</v>
      </c>
      <c r="AA243" s="642">
        <f t="array" ref="AA243">iferror(if(isblank($A243),"",index('Supplemental intervention-level'!$M:$M,match(1,('Supplemental intervention-level'!$C:$C=$A243)*('Supplemental intervention-level'!$A:$A="NI"),0))),"Not specified")</f>
        <v>0.035</v>
      </c>
      <c r="AB243" s="642">
        <f t="array" ref="AB243">iferror(if(isblank($A243),"",index('Supplemental intervention-level'!$M:$M,match(1,('Supplemental intervention-level'!$C:$C=$A243)*('Supplemental intervention-level'!$A:$A="NI"),0))),"Not specified")</f>
        <v>0.035</v>
      </c>
      <c r="AC243" s="642">
        <f t="array" ref="AC243">iferror(if(isblank($A243),"",index('Supplemental intervention-level'!$M:$M,match(1,('Supplemental intervention-level'!$C:$C=$A243)*('Supplemental intervention-level'!$A:$A="NI"),0))),"Not specified")</f>
        <v>0.035</v>
      </c>
      <c r="AD243" s="642">
        <f t="array" ref="AD243">iferror(if(isblank($A243),"",index('Supplemental intervention-level'!$M:$M,match(1,('Supplemental intervention-level'!$C:$C=$A243)*('Supplemental intervention-level'!$A:$A="NI"),0))),"Not specified")</f>
        <v>0.035</v>
      </c>
      <c r="AE243" s="642">
        <f t="array" ref="AE243">iferror(if(isblank($A243),"",index('Supplemental intervention-level'!$M:$M,match(1,('Supplemental intervention-level'!$C:$C=$A243)*('Supplemental intervention-level'!$A:$A="NI"),0))),"Not specified")</f>
        <v>0.035</v>
      </c>
      <c r="AF243" s="642">
        <f t="array" ref="AF243">iferror(if(isblank($A243),"",index('Supplemental intervention-level'!$M:$M,match(1,('Supplemental intervention-level'!$C:$C=$A243)*('Supplemental intervention-level'!$A:$A="NI"),0))),"Not specified")</f>
        <v>0.035</v>
      </c>
      <c r="AG243" s="642">
        <f t="array" ref="AG243">iferror(if(isblank($A243),"",index('Supplemental intervention-level'!$M:$M,match(1,('Supplemental intervention-level'!$C:$C=$A243)*('Supplemental intervention-level'!$A:$A="NI"),0))),"Not specified")</f>
        <v>0.035</v>
      </c>
      <c r="AH243" s="642">
        <f t="array" ref="AH243">iferror(if(isblank($A243),"",index('Supplemental intervention-level'!$M:$M,match(1,('Supplemental intervention-level'!$C:$C=$A243)*('Supplemental intervention-level'!$A:$A="NI"),0))),"Not specified")</f>
        <v>0.035</v>
      </c>
      <c r="AI243" s="642">
        <f t="array" ref="AI243">iferror(if(isblank($A243),"",index('Supplemental intervention-level'!$M:$M,match(1,('Supplemental intervention-level'!$C:$C=$A243)*('Supplemental intervention-level'!$A:$A="NI"),0))),"Not specified")</f>
        <v>0.035</v>
      </c>
      <c r="AJ243" s="642">
        <f t="array" ref="AJ243">iferror(if(isblank($A243),"",index('Supplemental intervention-level'!$M:$M,match(1,('Supplemental intervention-level'!$C:$C=$A243)*('Supplemental intervention-level'!$A:$A="NI"),0))),"Not specified")</f>
        <v>0.035</v>
      </c>
      <c r="AK243" s="642">
        <f t="array" ref="AK243">iferror(if(isblank($A243),"",index('Supplemental intervention-level'!$M:$M,match(1,('Supplemental intervention-level'!$C:$C=$A243)*('Supplemental intervention-level'!$A:$A="NI"),0))),"Not specified")</f>
        <v>0.035</v>
      </c>
      <c r="AL243" s="642">
        <f t="array" ref="AL243">iferror(if(isblank($A243),"",index('Supplemental intervention-level'!$M:$M,match(1,('Supplemental intervention-level'!$C:$C=$A243)*('Supplemental intervention-level'!$A:$A="NI"),0))),"Not specified")</f>
        <v>0.035</v>
      </c>
    </row>
    <row r="244">
      <c r="A244" s="91" t="str">
        <f>IFERROR(__xludf.DUMMYFUNCTION("""COMPUTED_VALUE"""),"Investment of income increases")</f>
        <v>Investment of income increases</v>
      </c>
      <c r="B244" s="642">
        <f t="array" ref="B244">iferror(if(isblank($A244),"",index('Supplemental intervention-level'!$M:$M,match(1,('Supplemental intervention-level'!$C:$C=$A244)*('Supplemental intervention-level'!$A:$A="NI"),0))),"Not specified")</f>
        <v>0.05</v>
      </c>
      <c r="C244" s="642">
        <f t="array" ref="C244">iferror(if(isblank($A244),"",index('Supplemental intervention-level'!$M:$M,match(1,('Supplemental intervention-level'!$C:$C=$A244)*('Supplemental intervention-level'!$A:$A="NI"),0))),"Not specified")</f>
        <v>0.05</v>
      </c>
      <c r="D244" s="642">
        <f t="array" ref="D244">iferror(if(isblank($A244),"",index('Supplemental intervention-level'!$M:$M,match(1,('Supplemental intervention-level'!$C:$C=$A244)*('Supplemental intervention-level'!$A:$A="NI"),0))),"Not specified")</f>
        <v>0.05</v>
      </c>
      <c r="E244" s="642">
        <f t="array" ref="E244">iferror(if(isblank($A244),"",index('Supplemental intervention-level'!$M:$M,match(1,('Supplemental intervention-level'!$C:$C=$A244)*('Supplemental intervention-level'!$A:$A="NI"),0))),"Not specified")</f>
        <v>0.05</v>
      </c>
      <c r="F244" s="642">
        <f t="array" ref="F244">iferror(if(isblank($A244),"",index('Supplemental intervention-level'!$M:$M,match(1,('Supplemental intervention-level'!$C:$C=$A244)*('Supplemental intervention-level'!$A:$A="NI"),0))),"Not specified")</f>
        <v>0.05</v>
      </c>
      <c r="G244" s="642">
        <f t="array" ref="G244">iferror(if(isblank($A244),"",index('Supplemental intervention-level'!$M:$M,match(1,('Supplemental intervention-level'!$C:$C=$A244)*('Supplemental intervention-level'!$A:$A="NI"),0))),"Not specified")</f>
        <v>0.05</v>
      </c>
      <c r="H244" s="642">
        <f t="array" ref="H244">iferror(if(isblank($A244),"",index('Supplemental intervention-level'!$M:$M,match(1,('Supplemental intervention-level'!$C:$C=$A244)*('Supplemental intervention-level'!$A:$A="NI"),0))),"Not specified")</f>
        <v>0.05</v>
      </c>
      <c r="I244" s="642">
        <f t="array" ref="I244">iferror(if(isblank($A244),"",index('Supplemental intervention-level'!$M:$M,match(1,('Supplemental intervention-level'!$C:$C=$A244)*('Supplemental intervention-level'!$A:$A="NI"),0))),"Not specified")</f>
        <v>0.05</v>
      </c>
      <c r="J244" s="642">
        <f t="array" ref="J244">iferror(if(isblank($A244),"",index('Supplemental intervention-level'!$M:$M,match(1,('Supplemental intervention-level'!$C:$C=$A244)*('Supplemental intervention-level'!$A:$A="NI"),0))),"Not specified")</f>
        <v>0.05</v>
      </c>
      <c r="K244" s="642">
        <f t="array" ref="K244">iferror(if(isblank($A244),"",index('Supplemental intervention-level'!$M:$M,match(1,('Supplemental intervention-level'!$C:$C=$A244)*('Supplemental intervention-level'!$A:$A="NI"),0))),"Not specified")</f>
        <v>0.05</v>
      </c>
      <c r="L244" s="642">
        <f t="array" ref="L244">iferror(if(isblank($A244),"",index('Supplemental intervention-level'!$M:$M,match(1,('Supplemental intervention-level'!$C:$C=$A244)*('Supplemental intervention-level'!$A:$A="NI"),0))),"Not specified")</f>
        <v>0.05</v>
      </c>
      <c r="M244" s="642">
        <f t="array" ref="M244">iferror(if(isblank($A244),"",index('Supplemental intervention-level'!$M:$M,match(1,('Supplemental intervention-level'!$C:$C=$A244)*('Supplemental intervention-level'!$A:$A="NI"),0))),"Not specified")</f>
        <v>0.05</v>
      </c>
      <c r="N244" s="642">
        <f t="array" ref="N244">iferror(if(isblank($A244),"",index('Supplemental intervention-level'!$M:$M,match(1,('Supplemental intervention-level'!$C:$C=$A244)*('Supplemental intervention-level'!$A:$A="NI"),0))),"Not specified")</f>
        <v>0.05</v>
      </c>
      <c r="O244" s="642">
        <f t="array" ref="O244">iferror(if(isblank($A244),"",index('Supplemental intervention-level'!$M:$M,match(1,('Supplemental intervention-level'!$C:$C=$A244)*('Supplemental intervention-level'!$A:$A="NI"),0))),"Not specified")</f>
        <v>0.05</v>
      </c>
      <c r="P244" s="642">
        <f t="array" ref="P244">iferror(if(isblank($A244),"",index('Supplemental intervention-level'!$M:$M,match(1,('Supplemental intervention-level'!$C:$C=$A244)*('Supplemental intervention-level'!$A:$A="NI"),0))),"Not specified")</f>
        <v>0.05</v>
      </c>
      <c r="Q244" s="642">
        <f t="array" ref="Q244">iferror(if(isblank($A244),"",index('Supplemental intervention-level'!$M:$M,match(1,('Supplemental intervention-level'!$C:$C=$A244)*('Supplemental intervention-level'!$A:$A="NI"),0))),"Not specified")</f>
        <v>0.05</v>
      </c>
      <c r="R244" s="642">
        <f t="array" ref="R244">iferror(if(isblank($A244),"",index('Supplemental intervention-level'!$M:$M,match(1,('Supplemental intervention-level'!$C:$C=$A244)*('Supplemental intervention-level'!$A:$A="NI"),0))),"Not specified")</f>
        <v>0.05</v>
      </c>
      <c r="S244" s="642">
        <f t="array" ref="S244">iferror(if(isblank($A244),"",index('Supplemental intervention-level'!$M:$M,match(1,('Supplemental intervention-level'!$C:$C=$A244)*('Supplemental intervention-level'!$A:$A="NI"),0))),"Not specified")</f>
        <v>0.05</v>
      </c>
      <c r="T244" s="642">
        <f t="array" ref="T244">iferror(if(isblank($A244),"",index('Supplemental intervention-level'!$M:$M,match(1,('Supplemental intervention-level'!$C:$C=$A244)*('Supplemental intervention-level'!$A:$A="NI"),0))),"Not specified")</f>
        <v>0.05</v>
      </c>
      <c r="U244" s="642">
        <f t="array" ref="U244">iferror(if(isblank($A244),"",index('Supplemental intervention-level'!$M:$M,match(1,('Supplemental intervention-level'!$C:$C=$A244)*('Supplemental intervention-level'!$A:$A="NI"),0))),"Not specified")</f>
        <v>0.05</v>
      </c>
      <c r="V244" s="642">
        <f t="array" ref="V244">iferror(if(isblank($A244),"",index('Supplemental intervention-level'!$M:$M,match(1,('Supplemental intervention-level'!$C:$C=$A244)*('Supplemental intervention-level'!$A:$A="NI"),0))),"Not specified")</f>
        <v>0.05</v>
      </c>
      <c r="W244" s="642">
        <f t="array" ref="W244">iferror(if(isblank($A244),"",index('Supplemental intervention-level'!$M:$M,match(1,('Supplemental intervention-level'!$C:$C=$A244)*('Supplemental intervention-level'!$A:$A="NI"),0))),"Not specified")</f>
        <v>0.05</v>
      </c>
      <c r="X244" s="642">
        <f t="array" ref="X244">iferror(if(isblank($A244),"",index('Supplemental intervention-level'!$M:$M,match(1,('Supplemental intervention-level'!$C:$C=$A244)*('Supplemental intervention-level'!$A:$A="NI"),0))),"Not specified")</f>
        <v>0.05</v>
      </c>
      <c r="Y244" s="642">
        <f t="array" ref="Y244">iferror(if(isblank($A244),"",index('Supplemental intervention-level'!$M:$M,match(1,('Supplemental intervention-level'!$C:$C=$A244)*('Supplemental intervention-level'!$A:$A="NI"),0))),"Not specified")</f>
        <v>0.05</v>
      </c>
      <c r="Z244" s="642">
        <f t="array" ref="Z244">iferror(if(isblank($A244),"",index('Supplemental intervention-level'!$M:$M,match(1,('Supplemental intervention-level'!$C:$C=$A244)*('Supplemental intervention-level'!$A:$A="NI"),0))),"Not specified")</f>
        <v>0.05</v>
      </c>
      <c r="AA244" s="642">
        <f t="array" ref="AA244">iferror(if(isblank($A244),"",index('Supplemental intervention-level'!$M:$M,match(1,('Supplemental intervention-level'!$C:$C=$A244)*('Supplemental intervention-level'!$A:$A="NI"),0))),"Not specified")</f>
        <v>0.05</v>
      </c>
      <c r="AB244" s="642">
        <f t="array" ref="AB244">iferror(if(isblank($A244),"",index('Supplemental intervention-level'!$M:$M,match(1,('Supplemental intervention-level'!$C:$C=$A244)*('Supplemental intervention-level'!$A:$A="NI"),0))),"Not specified")</f>
        <v>0.05</v>
      </c>
      <c r="AC244" s="642">
        <f t="array" ref="AC244">iferror(if(isblank($A244),"",index('Supplemental intervention-level'!$M:$M,match(1,('Supplemental intervention-level'!$C:$C=$A244)*('Supplemental intervention-level'!$A:$A="NI"),0))),"Not specified")</f>
        <v>0.05</v>
      </c>
      <c r="AD244" s="642">
        <f t="array" ref="AD244">iferror(if(isblank($A244),"",index('Supplemental intervention-level'!$M:$M,match(1,('Supplemental intervention-level'!$C:$C=$A244)*('Supplemental intervention-level'!$A:$A="NI"),0))),"Not specified")</f>
        <v>0.05</v>
      </c>
      <c r="AE244" s="642">
        <f t="array" ref="AE244">iferror(if(isblank($A244),"",index('Supplemental intervention-level'!$M:$M,match(1,('Supplemental intervention-level'!$C:$C=$A244)*('Supplemental intervention-level'!$A:$A="NI"),0))),"Not specified")</f>
        <v>0.05</v>
      </c>
      <c r="AF244" s="642">
        <f t="array" ref="AF244">iferror(if(isblank($A244),"",index('Supplemental intervention-level'!$M:$M,match(1,('Supplemental intervention-level'!$C:$C=$A244)*('Supplemental intervention-level'!$A:$A="NI"),0))),"Not specified")</f>
        <v>0.05</v>
      </c>
      <c r="AG244" s="642">
        <f t="array" ref="AG244">iferror(if(isblank($A244),"",index('Supplemental intervention-level'!$M:$M,match(1,('Supplemental intervention-level'!$C:$C=$A244)*('Supplemental intervention-level'!$A:$A="NI"),0))),"Not specified")</f>
        <v>0.05</v>
      </c>
      <c r="AH244" s="642">
        <f t="array" ref="AH244">iferror(if(isblank($A244),"",index('Supplemental intervention-level'!$M:$M,match(1,('Supplemental intervention-level'!$C:$C=$A244)*('Supplemental intervention-level'!$A:$A="NI"),0))),"Not specified")</f>
        <v>0.05</v>
      </c>
      <c r="AI244" s="642">
        <f t="array" ref="AI244">iferror(if(isblank($A244),"",index('Supplemental intervention-level'!$M:$M,match(1,('Supplemental intervention-level'!$C:$C=$A244)*('Supplemental intervention-level'!$A:$A="NI"),0))),"Not specified")</f>
        <v>0.05</v>
      </c>
      <c r="AJ244" s="642">
        <f t="array" ref="AJ244">iferror(if(isblank($A244),"",index('Supplemental intervention-level'!$M:$M,match(1,('Supplemental intervention-level'!$C:$C=$A244)*('Supplemental intervention-level'!$A:$A="NI"),0))),"Not specified")</f>
        <v>0.05</v>
      </c>
      <c r="AK244" s="642">
        <f t="array" ref="AK244">iferror(if(isblank($A244),"",index('Supplemental intervention-level'!$M:$M,match(1,('Supplemental intervention-level'!$C:$C=$A244)*('Supplemental intervention-level'!$A:$A="NI"),0))),"Not specified")</f>
        <v>0.05</v>
      </c>
      <c r="AL244" s="642">
        <f t="array" ref="AL244">iferror(if(isblank($A244),"",index('Supplemental intervention-level'!$M:$M,match(1,('Supplemental intervention-level'!$C:$C=$A244)*('Supplemental intervention-level'!$A:$A="NI"),0))),"Not specified")</f>
        <v>0.05</v>
      </c>
    </row>
    <row r="245">
      <c r="A245" s="91" t="str">
        <f>IFERROR(__xludf.DUMMYFUNCTION("""COMPUTED_VALUE"""),"Increased clinic utilization")</f>
        <v>Increased clinic utilization</v>
      </c>
      <c r="B245" s="642">
        <f t="array" ref="B245">iferror(if(isblank($A245),"",index('Supplemental intervention-level'!$M:$M,match(1,('Supplemental intervention-level'!$C:$C=$A245)*('Supplemental intervention-level'!$A:$A="NI"),0))),"Not specified")</f>
        <v>0</v>
      </c>
      <c r="C245" s="642">
        <f t="array" ref="C245">iferror(if(isblank($A245),"",index('Supplemental intervention-level'!$M:$M,match(1,('Supplemental intervention-level'!$C:$C=$A245)*('Supplemental intervention-level'!$A:$A="NI"),0))),"Not specified")</f>
        <v>0</v>
      </c>
      <c r="D245" s="642">
        <f t="array" ref="D245">iferror(if(isblank($A245),"",index('Supplemental intervention-level'!$M:$M,match(1,('Supplemental intervention-level'!$C:$C=$A245)*('Supplemental intervention-level'!$A:$A="NI"),0))),"Not specified")</f>
        <v>0</v>
      </c>
      <c r="E245" s="642">
        <f t="array" ref="E245">iferror(if(isblank($A245),"",index('Supplemental intervention-level'!$M:$M,match(1,('Supplemental intervention-level'!$C:$C=$A245)*('Supplemental intervention-level'!$A:$A="NI"),0))),"Not specified")</f>
        <v>0</v>
      </c>
      <c r="F245" s="642">
        <f t="array" ref="F245">iferror(if(isblank($A245),"",index('Supplemental intervention-level'!$M:$M,match(1,('Supplemental intervention-level'!$C:$C=$A245)*('Supplemental intervention-level'!$A:$A="NI"),0))),"Not specified")</f>
        <v>0</v>
      </c>
      <c r="G245" s="642">
        <f t="array" ref="G245">iferror(if(isblank($A245),"",index('Supplemental intervention-level'!$M:$M,match(1,('Supplemental intervention-level'!$C:$C=$A245)*('Supplemental intervention-level'!$A:$A="NI"),0))),"Not specified")</f>
        <v>0</v>
      </c>
      <c r="H245" s="642">
        <f t="array" ref="H245">iferror(if(isblank($A245),"",index('Supplemental intervention-level'!$M:$M,match(1,('Supplemental intervention-level'!$C:$C=$A245)*('Supplemental intervention-level'!$A:$A="NI"),0))),"Not specified")</f>
        <v>0</v>
      </c>
      <c r="I245" s="642">
        <f t="array" ref="I245">iferror(if(isblank($A245),"",index('Supplemental intervention-level'!$M:$M,match(1,('Supplemental intervention-level'!$C:$C=$A245)*('Supplemental intervention-level'!$A:$A="NI"),0))),"Not specified")</f>
        <v>0</v>
      </c>
      <c r="J245" s="642">
        <f t="array" ref="J245">iferror(if(isblank($A245),"",index('Supplemental intervention-level'!$M:$M,match(1,('Supplemental intervention-level'!$C:$C=$A245)*('Supplemental intervention-level'!$A:$A="NI"),0))),"Not specified")</f>
        <v>0</v>
      </c>
      <c r="K245" s="642">
        <f t="array" ref="K245">iferror(if(isblank($A245),"",index('Supplemental intervention-level'!$M:$M,match(1,('Supplemental intervention-level'!$C:$C=$A245)*('Supplemental intervention-level'!$A:$A="NI"),0))),"Not specified")</f>
        <v>0</v>
      </c>
      <c r="L245" s="642">
        <f t="array" ref="L245">iferror(if(isblank($A245),"",index('Supplemental intervention-level'!$M:$M,match(1,('Supplemental intervention-level'!$C:$C=$A245)*('Supplemental intervention-level'!$A:$A="NI"),0))),"Not specified")</f>
        <v>0</v>
      </c>
      <c r="M245" s="642">
        <f t="array" ref="M245">iferror(if(isblank($A245),"",index('Supplemental intervention-level'!$M:$M,match(1,('Supplemental intervention-level'!$C:$C=$A245)*('Supplemental intervention-level'!$A:$A="NI"),0))),"Not specified")</f>
        <v>0</v>
      </c>
      <c r="N245" s="642">
        <f t="array" ref="N245">iferror(if(isblank($A245),"",index('Supplemental intervention-level'!$M:$M,match(1,('Supplemental intervention-level'!$C:$C=$A245)*('Supplemental intervention-level'!$A:$A="NI"),0))),"Not specified")</f>
        <v>0</v>
      </c>
      <c r="O245" s="642">
        <f t="array" ref="O245">iferror(if(isblank($A245),"",index('Supplemental intervention-level'!$M:$M,match(1,('Supplemental intervention-level'!$C:$C=$A245)*('Supplemental intervention-level'!$A:$A="NI"),0))),"Not specified")</f>
        <v>0</v>
      </c>
      <c r="P245" s="642">
        <f t="array" ref="P245">iferror(if(isblank($A245),"",index('Supplemental intervention-level'!$M:$M,match(1,('Supplemental intervention-level'!$C:$C=$A245)*('Supplemental intervention-level'!$A:$A="NI"),0))),"Not specified")</f>
        <v>0</v>
      </c>
      <c r="Q245" s="642">
        <f t="array" ref="Q245">iferror(if(isblank($A245),"",index('Supplemental intervention-level'!$M:$M,match(1,('Supplemental intervention-level'!$C:$C=$A245)*('Supplemental intervention-level'!$A:$A="NI"),0))),"Not specified")</f>
        <v>0</v>
      </c>
      <c r="R245" s="642">
        <f t="array" ref="R245">iferror(if(isblank($A245),"",index('Supplemental intervention-level'!$M:$M,match(1,('Supplemental intervention-level'!$C:$C=$A245)*('Supplemental intervention-level'!$A:$A="NI"),0))),"Not specified")</f>
        <v>0</v>
      </c>
      <c r="S245" s="642">
        <f t="array" ref="S245">iferror(if(isblank($A245),"",index('Supplemental intervention-level'!$M:$M,match(1,('Supplemental intervention-level'!$C:$C=$A245)*('Supplemental intervention-level'!$A:$A="NI"),0))),"Not specified")</f>
        <v>0</v>
      </c>
      <c r="T245" s="642">
        <f t="array" ref="T245">iferror(if(isblank($A245),"",index('Supplemental intervention-level'!$M:$M,match(1,('Supplemental intervention-level'!$C:$C=$A245)*('Supplemental intervention-level'!$A:$A="NI"),0))),"Not specified")</f>
        <v>0</v>
      </c>
      <c r="U245" s="642">
        <f t="array" ref="U245">iferror(if(isblank($A245),"",index('Supplemental intervention-level'!$M:$M,match(1,('Supplemental intervention-level'!$C:$C=$A245)*('Supplemental intervention-level'!$A:$A="NI"),0))),"Not specified")</f>
        <v>0</v>
      </c>
      <c r="V245" s="642">
        <f t="array" ref="V245">iferror(if(isblank($A245),"",index('Supplemental intervention-level'!$M:$M,match(1,('Supplemental intervention-level'!$C:$C=$A245)*('Supplemental intervention-level'!$A:$A="NI"),0))),"Not specified")</f>
        <v>0</v>
      </c>
      <c r="W245" s="642">
        <f t="array" ref="W245">iferror(if(isblank($A245),"",index('Supplemental intervention-level'!$M:$M,match(1,('Supplemental intervention-level'!$C:$C=$A245)*('Supplemental intervention-level'!$A:$A="NI"),0))),"Not specified")</f>
        <v>0</v>
      </c>
      <c r="X245" s="642">
        <f t="array" ref="X245">iferror(if(isblank($A245),"",index('Supplemental intervention-level'!$M:$M,match(1,('Supplemental intervention-level'!$C:$C=$A245)*('Supplemental intervention-level'!$A:$A="NI"),0))),"Not specified")</f>
        <v>0</v>
      </c>
      <c r="Y245" s="642">
        <f t="array" ref="Y245">iferror(if(isblank($A245),"",index('Supplemental intervention-level'!$M:$M,match(1,('Supplemental intervention-level'!$C:$C=$A245)*('Supplemental intervention-level'!$A:$A="NI"),0))),"Not specified")</f>
        <v>0</v>
      </c>
      <c r="Z245" s="642">
        <f t="array" ref="Z245">iferror(if(isblank($A245),"",index('Supplemental intervention-level'!$M:$M,match(1,('Supplemental intervention-level'!$C:$C=$A245)*('Supplemental intervention-level'!$A:$A="NI"),0))),"Not specified")</f>
        <v>0</v>
      </c>
      <c r="AA245" s="642">
        <f t="array" ref="AA245">iferror(if(isblank($A245),"",index('Supplemental intervention-level'!$M:$M,match(1,('Supplemental intervention-level'!$C:$C=$A245)*('Supplemental intervention-level'!$A:$A="NI"),0))),"Not specified")</f>
        <v>0</v>
      </c>
      <c r="AB245" s="642">
        <f t="array" ref="AB245">iferror(if(isblank($A245),"",index('Supplemental intervention-level'!$M:$M,match(1,('Supplemental intervention-level'!$C:$C=$A245)*('Supplemental intervention-level'!$A:$A="NI"),0))),"Not specified")</f>
        <v>0</v>
      </c>
      <c r="AC245" s="642">
        <f t="array" ref="AC245">iferror(if(isblank($A245),"",index('Supplemental intervention-level'!$M:$M,match(1,('Supplemental intervention-level'!$C:$C=$A245)*('Supplemental intervention-level'!$A:$A="NI"),0))),"Not specified")</f>
        <v>0</v>
      </c>
      <c r="AD245" s="642">
        <f t="array" ref="AD245">iferror(if(isblank($A245),"",index('Supplemental intervention-level'!$M:$M,match(1,('Supplemental intervention-level'!$C:$C=$A245)*('Supplemental intervention-level'!$A:$A="NI"),0))),"Not specified")</f>
        <v>0</v>
      </c>
      <c r="AE245" s="642">
        <f t="array" ref="AE245">iferror(if(isblank($A245),"",index('Supplemental intervention-level'!$M:$M,match(1,('Supplemental intervention-level'!$C:$C=$A245)*('Supplemental intervention-level'!$A:$A="NI"),0))),"Not specified")</f>
        <v>0</v>
      </c>
      <c r="AF245" s="642">
        <f t="array" ref="AF245">iferror(if(isblank($A245),"",index('Supplemental intervention-level'!$M:$M,match(1,('Supplemental intervention-level'!$C:$C=$A245)*('Supplemental intervention-level'!$A:$A="NI"),0))),"Not specified")</f>
        <v>0</v>
      </c>
      <c r="AG245" s="642">
        <f t="array" ref="AG245">iferror(if(isblank($A245),"",index('Supplemental intervention-level'!$M:$M,match(1,('Supplemental intervention-level'!$C:$C=$A245)*('Supplemental intervention-level'!$A:$A="NI"),0))),"Not specified")</f>
        <v>0</v>
      </c>
      <c r="AH245" s="642">
        <f t="array" ref="AH245">iferror(if(isblank($A245),"",index('Supplemental intervention-level'!$M:$M,match(1,('Supplemental intervention-level'!$C:$C=$A245)*('Supplemental intervention-level'!$A:$A="NI"),0))),"Not specified")</f>
        <v>0</v>
      </c>
      <c r="AI245" s="642">
        <f t="array" ref="AI245">iferror(if(isblank($A245),"",index('Supplemental intervention-level'!$M:$M,match(1,('Supplemental intervention-level'!$C:$C=$A245)*('Supplemental intervention-level'!$A:$A="NI"),0))),"Not specified")</f>
        <v>0</v>
      </c>
      <c r="AJ245" s="642">
        <f t="array" ref="AJ245">iferror(if(isblank($A245),"",index('Supplemental intervention-level'!$M:$M,match(1,('Supplemental intervention-level'!$C:$C=$A245)*('Supplemental intervention-level'!$A:$A="NI"),0))),"Not specified")</f>
        <v>0</v>
      </c>
      <c r="AK245" s="642">
        <f t="array" ref="AK245">iferror(if(isblank($A245),"",index('Supplemental intervention-level'!$M:$M,match(1,('Supplemental intervention-level'!$C:$C=$A245)*('Supplemental intervention-level'!$A:$A="NI"),0))),"Not specified")</f>
        <v>0</v>
      </c>
      <c r="AL245" s="642">
        <f t="array" ref="AL245">iferror(if(isblank($A245),"",index('Supplemental intervention-level'!$M:$M,match(1,('Supplemental intervention-level'!$C:$C=$A245)*('Supplemental intervention-level'!$A:$A="NI"),0))),"Not specified")</f>
        <v>0</v>
      </c>
    </row>
    <row r="246">
      <c r="A246" s="225"/>
      <c r="B246" s="617"/>
      <c r="C246" s="617"/>
      <c r="D246" s="617"/>
      <c r="E246" s="617"/>
      <c r="F246" s="617"/>
      <c r="G246" s="617"/>
      <c r="H246" s="617"/>
      <c r="I246" s="617"/>
      <c r="J246" s="617"/>
      <c r="K246" s="617"/>
      <c r="L246" s="617"/>
      <c r="M246" s="617"/>
      <c r="N246" s="617"/>
      <c r="O246" s="617"/>
      <c r="P246" s="617"/>
      <c r="Q246" s="617"/>
      <c r="R246" s="617"/>
      <c r="S246" s="617"/>
      <c r="T246" s="617"/>
      <c r="U246" s="617"/>
      <c r="V246" s="617"/>
      <c r="W246" s="617"/>
      <c r="X246" s="617"/>
      <c r="Y246" s="617"/>
      <c r="Z246" s="617"/>
      <c r="AA246" s="617"/>
      <c r="AB246" s="617"/>
      <c r="AC246" s="617"/>
      <c r="AD246" s="617"/>
      <c r="AE246" s="617"/>
      <c r="AF246" s="617"/>
      <c r="AG246" s="617"/>
      <c r="AH246" s="617"/>
      <c r="AI246" s="617"/>
      <c r="AJ246" s="617"/>
      <c r="AK246" s="617"/>
      <c r="AL246" s="617"/>
    </row>
    <row r="247">
      <c r="A247" s="225" t="s">
        <v>203</v>
      </c>
      <c r="B247" s="617">
        <f t="shared" ref="B247:AL247" si="91">1+sum(B230:B245)</f>
        <v>1.328</v>
      </c>
      <c r="C247" s="617">
        <f t="shared" si="91"/>
        <v>1.328</v>
      </c>
      <c r="D247" s="617">
        <f t="shared" si="91"/>
        <v>1.328</v>
      </c>
      <c r="E247" s="617">
        <f t="shared" si="91"/>
        <v>1.328</v>
      </c>
      <c r="F247" s="617">
        <f t="shared" si="91"/>
        <v>1.328</v>
      </c>
      <c r="G247" s="617">
        <f t="shared" si="91"/>
        <v>1.328</v>
      </c>
      <c r="H247" s="617">
        <f t="shared" si="91"/>
        <v>1.328</v>
      </c>
      <c r="I247" s="617">
        <f t="shared" si="91"/>
        <v>1.328</v>
      </c>
      <c r="J247" s="617">
        <f t="shared" si="91"/>
        <v>1.328</v>
      </c>
      <c r="K247" s="617">
        <f t="shared" si="91"/>
        <v>1.328</v>
      </c>
      <c r="L247" s="617">
        <f t="shared" si="91"/>
        <v>1.328</v>
      </c>
      <c r="M247" s="617">
        <f t="shared" si="91"/>
        <v>1.328</v>
      </c>
      <c r="N247" s="617">
        <f t="shared" si="91"/>
        <v>1.328</v>
      </c>
      <c r="O247" s="617">
        <f t="shared" si="91"/>
        <v>1.328</v>
      </c>
      <c r="P247" s="617">
        <f t="shared" si="91"/>
        <v>1.328</v>
      </c>
      <c r="Q247" s="617">
        <f t="shared" si="91"/>
        <v>1.328</v>
      </c>
      <c r="R247" s="617">
        <f t="shared" si="91"/>
        <v>1.328</v>
      </c>
      <c r="S247" s="617">
        <f t="shared" si="91"/>
        <v>1.328</v>
      </c>
      <c r="T247" s="617">
        <f t="shared" si="91"/>
        <v>1.328</v>
      </c>
      <c r="U247" s="617">
        <f t="shared" si="91"/>
        <v>1.328</v>
      </c>
      <c r="V247" s="617">
        <f t="shared" si="91"/>
        <v>1.328</v>
      </c>
      <c r="W247" s="617">
        <f t="shared" si="91"/>
        <v>1.328</v>
      </c>
      <c r="X247" s="617">
        <f t="shared" si="91"/>
        <v>1.328</v>
      </c>
      <c r="Y247" s="617">
        <f t="shared" si="91"/>
        <v>1.328</v>
      </c>
      <c r="Z247" s="617">
        <f t="shared" si="91"/>
        <v>1.328</v>
      </c>
      <c r="AA247" s="617">
        <f t="shared" si="91"/>
        <v>1.328</v>
      </c>
      <c r="AB247" s="617">
        <f t="shared" si="91"/>
        <v>1.328</v>
      </c>
      <c r="AC247" s="617">
        <f t="shared" si="91"/>
        <v>1.328</v>
      </c>
      <c r="AD247" s="617">
        <f t="shared" si="91"/>
        <v>1.328</v>
      </c>
      <c r="AE247" s="617">
        <f t="shared" si="91"/>
        <v>1.328</v>
      </c>
      <c r="AF247" s="617">
        <f t="shared" si="91"/>
        <v>1.328</v>
      </c>
      <c r="AG247" s="617">
        <f t="shared" si="91"/>
        <v>1.328</v>
      </c>
      <c r="AH247" s="617">
        <f t="shared" si="91"/>
        <v>1.328</v>
      </c>
      <c r="AI247" s="617">
        <f t="shared" si="91"/>
        <v>1.328</v>
      </c>
      <c r="AJ247" s="617">
        <f t="shared" si="91"/>
        <v>1.328</v>
      </c>
      <c r="AK247" s="617">
        <f t="shared" si="91"/>
        <v>1.328</v>
      </c>
      <c r="AL247" s="617">
        <f t="shared" si="91"/>
        <v>1.328</v>
      </c>
    </row>
    <row r="248">
      <c r="A248" s="91"/>
      <c r="B248" s="623"/>
      <c r="C248" s="623"/>
      <c r="D248" s="623"/>
      <c r="E248" s="623"/>
      <c r="F248" s="623"/>
      <c r="G248" s="89"/>
      <c r="H248" s="89"/>
      <c r="I248" s="89"/>
      <c r="J248" s="89"/>
      <c r="K248" s="89"/>
      <c r="L248" s="89"/>
      <c r="M248" s="89"/>
      <c r="N248" s="89"/>
      <c r="O248" s="89"/>
      <c r="P248" s="89"/>
      <c r="Q248" s="623"/>
      <c r="R248" s="623"/>
      <c r="S248" s="623"/>
      <c r="T248" s="89"/>
      <c r="U248" s="623"/>
      <c r="V248" s="623"/>
      <c r="W248" s="89"/>
      <c r="X248" s="89"/>
      <c r="Y248" s="623"/>
      <c r="Z248" s="623"/>
      <c r="AA248" s="89"/>
      <c r="AB248" s="89"/>
      <c r="AC248" s="89"/>
      <c r="AD248" s="89"/>
      <c r="AE248" s="89"/>
      <c r="AF248" s="89"/>
      <c r="AG248" s="89"/>
      <c r="AH248" s="89"/>
      <c r="AI248" s="623"/>
      <c r="AJ248" s="623"/>
      <c r="AK248" s="623"/>
      <c r="AL248" s="623"/>
    </row>
    <row r="249">
      <c r="A249" s="160" t="s">
        <v>212</v>
      </c>
      <c r="B249" s="472"/>
      <c r="C249" s="472"/>
      <c r="D249" s="472"/>
      <c r="E249" s="472"/>
      <c r="F249" s="472"/>
      <c r="G249" s="161"/>
      <c r="H249" s="161"/>
      <c r="I249" s="161"/>
      <c r="J249" s="161"/>
      <c r="K249" s="161"/>
      <c r="L249" s="161"/>
      <c r="M249" s="161"/>
      <c r="N249" s="161"/>
      <c r="O249" s="161"/>
      <c r="P249" s="161"/>
      <c r="Q249" s="472"/>
      <c r="R249" s="472"/>
      <c r="S249" s="472"/>
      <c r="T249" s="161"/>
      <c r="U249" s="472"/>
      <c r="V249" s="472"/>
      <c r="W249" s="161"/>
      <c r="X249" s="161"/>
      <c r="Y249" s="472"/>
      <c r="Z249" s="472"/>
      <c r="AA249" s="161"/>
      <c r="AB249" s="161"/>
      <c r="AC249" s="161"/>
      <c r="AD249" s="161"/>
      <c r="AE249" s="161"/>
      <c r="AF249" s="161"/>
      <c r="AG249" s="161"/>
      <c r="AH249" s="161"/>
      <c r="AI249" s="472"/>
      <c r="AJ249" s="472"/>
      <c r="AK249" s="472"/>
      <c r="AL249" s="472"/>
    </row>
    <row r="250">
      <c r="A250" s="398"/>
      <c r="B250" s="568"/>
      <c r="C250" s="568"/>
      <c r="D250" s="568"/>
      <c r="E250" s="568"/>
      <c r="F250" s="568"/>
      <c r="G250" s="151"/>
      <c r="H250" s="151"/>
      <c r="I250" s="151"/>
      <c r="J250" s="151"/>
      <c r="K250" s="151"/>
      <c r="L250" s="151"/>
      <c r="M250" s="151"/>
      <c r="N250" s="151"/>
      <c r="O250" s="151"/>
      <c r="P250" s="151"/>
      <c r="Q250" s="568"/>
      <c r="R250" s="568"/>
      <c r="S250" s="568"/>
      <c r="T250" s="151"/>
      <c r="U250" s="568"/>
      <c r="V250" s="568"/>
      <c r="W250" s="151"/>
      <c r="X250" s="151"/>
      <c r="Y250" s="568"/>
      <c r="Z250" s="568"/>
      <c r="AA250" s="151"/>
      <c r="AB250" s="151"/>
      <c r="AC250" s="151"/>
      <c r="AD250" s="151"/>
      <c r="AE250" s="151"/>
      <c r="AF250" s="151"/>
      <c r="AG250" s="151"/>
      <c r="AH250" s="151"/>
      <c r="AI250" s="568"/>
      <c r="AJ250" s="568"/>
      <c r="AK250" s="568"/>
      <c r="AL250" s="568"/>
    </row>
    <row r="251">
      <c r="A251" s="91" t="s">
        <v>757</v>
      </c>
      <c r="B251" s="575">
        <f t="shared" ref="B251:AL251" si="92">B218*B247</f>
        <v>902.4698818</v>
      </c>
      <c r="C251" s="575">
        <f t="shared" si="92"/>
        <v>2505.214714</v>
      </c>
      <c r="D251" s="575">
        <f t="shared" si="92"/>
        <v>852.4296478</v>
      </c>
      <c r="E251" s="575">
        <f t="shared" si="92"/>
        <v>1041.983878</v>
      </c>
      <c r="F251" s="575">
        <f t="shared" si="92"/>
        <v>7745.743705</v>
      </c>
      <c r="G251" s="575">
        <f t="shared" si="92"/>
        <v>1395.122015</v>
      </c>
      <c r="H251" s="575">
        <f t="shared" si="92"/>
        <v>1398.834487</v>
      </c>
      <c r="I251" s="575">
        <f t="shared" si="92"/>
        <v>2984.352998</v>
      </c>
      <c r="J251" s="575">
        <f t="shared" si="92"/>
        <v>595.6992138</v>
      </c>
      <c r="K251" s="575">
        <f t="shared" si="92"/>
        <v>1200.783938</v>
      </c>
      <c r="L251" s="575">
        <f t="shared" si="92"/>
        <v>325.1955854</v>
      </c>
      <c r="M251" s="575">
        <f t="shared" si="92"/>
        <v>705.7526944</v>
      </c>
      <c r="N251" s="575">
        <f t="shared" si="92"/>
        <v>473.0452956</v>
      </c>
      <c r="O251" s="575">
        <f t="shared" si="92"/>
        <v>355.2384452</v>
      </c>
      <c r="P251" s="575">
        <f t="shared" si="92"/>
        <v>576.9550641</v>
      </c>
      <c r="Q251" s="575">
        <f t="shared" si="92"/>
        <v>3966.713207</v>
      </c>
      <c r="R251" s="575">
        <f t="shared" si="92"/>
        <v>487.4706971</v>
      </c>
      <c r="S251" s="575">
        <f t="shared" si="92"/>
        <v>7227.383629</v>
      </c>
      <c r="T251" s="575">
        <f t="shared" si="92"/>
        <v>3131.933729</v>
      </c>
      <c r="U251" s="575">
        <f t="shared" si="92"/>
        <v>4711.584754</v>
      </c>
      <c r="V251" s="575">
        <f t="shared" si="92"/>
        <v>6842.144876</v>
      </c>
      <c r="W251" s="575">
        <f t="shared" si="92"/>
        <v>7463.525679</v>
      </c>
      <c r="X251" s="575">
        <f t="shared" si="92"/>
        <v>1050.006736</v>
      </c>
      <c r="Y251" s="575">
        <f t="shared" si="92"/>
        <v>1452.358063</v>
      </c>
      <c r="Z251" s="575">
        <f t="shared" si="92"/>
        <v>470.646602</v>
      </c>
      <c r="AA251" s="575">
        <f t="shared" si="92"/>
        <v>1854.622819</v>
      </c>
      <c r="AB251" s="575">
        <f t="shared" si="92"/>
        <v>3009.567429</v>
      </c>
      <c r="AC251" s="575">
        <f t="shared" si="92"/>
        <v>1650.739425</v>
      </c>
      <c r="AD251" s="575">
        <f t="shared" si="92"/>
        <v>1381.561314</v>
      </c>
      <c r="AE251" s="575">
        <f t="shared" si="92"/>
        <v>531.6125159</v>
      </c>
      <c r="AF251" s="575">
        <f t="shared" si="92"/>
        <v>1089.186139</v>
      </c>
      <c r="AG251" s="575">
        <f t="shared" si="92"/>
        <v>1209.329868</v>
      </c>
      <c r="AH251" s="575">
        <f t="shared" si="92"/>
        <v>745.7068917</v>
      </c>
      <c r="AI251" s="575">
        <f t="shared" si="92"/>
        <v>16605.38321</v>
      </c>
      <c r="AJ251" s="575">
        <f t="shared" si="92"/>
        <v>2971.811189</v>
      </c>
      <c r="AK251" s="575">
        <f t="shared" si="92"/>
        <v>2398.81132</v>
      </c>
      <c r="AL251" s="575">
        <f t="shared" si="92"/>
        <v>10258.36731</v>
      </c>
    </row>
    <row r="252">
      <c r="A252" s="202" t="s">
        <v>374</v>
      </c>
      <c r="B252" s="630">
        <f t="shared" ref="B252:AL252" si="93">B251/B26</f>
        <v>0.007742919145</v>
      </c>
      <c r="C252" s="630">
        <f t="shared" si="93"/>
        <v>0.01815520194</v>
      </c>
      <c r="D252" s="630">
        <f t="shared" si="93"/>
        <v>0.006998283391</v>
      </c>
      <c r="E252" s="630">
        <f t="shared" si="93"/>
        <v>0.008228204682</v>
      </c>
      <c r="F252" s="630">
        <f t="shared" si="93"/>
        <v>0.04110072894</v>
      </c>
      <c r="G252" s="630">
        <f t="shared" si="93"/>
        <v>0.01063567868</v>
      </c>
      <c r="H252" s="630">
        <f t="shared" si="93"/>
        <v>0.01065253222</v>
      </c>
      <c r="I252" s="630">
        <f t="shared" si="93"/>
        <v>0.01657457501</v>
      </c>
      <c r="J252" s="630">
        <f t="shared" si="93"/>
        <v>0.005354731447</v>
      </c>
      <c r="K252" s="630">
        <f t="shared" si="93"/>
        <v>0.009328155271</v>
      </c>
      <c r="L252" s="630">
        <f t="shared" si="93"/>
        <v>0.003187797313</v>
      </c>
      <c r="M252" s="630">
        <f t="shared" si="93"/>
        <v>0.006178776299</v>
      </c>
      <c r="N252" s="630">
        <f t="shared" si="93"/>
        <v>0.004398942425</v>
      </c>
      <c r="O252" s="630">
        <f t="shared" si="93"/>
        <v>0.003389788324</v>
      </c>
      <c r="P252" s="630">
        <f t="shared" si="93"/>
        <v>0.005219205755</v>
      </c>
      <c r="Q252" s="630">
        <f t="shared" si="93"/>
        <v>0.0247566901</v>
      </c>
      <c r="R252" s="630">
        <f t="shared" si="93"/>
        <v>0.004447710806</v>
      </c>
      <c r="S252" s="630">
        <f t="shared" si="93"/>
        <v>0.04224780999</v>
      </c>
      <c r="T252" s="630">
        <f t="shared" si="93"/>
        <v>0.02014195328</v>
      </c>
      <c r="U252" s="630">
        <f t="shared" si="93"/>
        <v>0.02646241245</v>
      </c>
      <c r="V252" s="630">
        <f t="shared" si="93"/>
        <v>0.03579735324</v>
      </c>
      <c r="W252" s="630">
        <f t="shared" si="93"/>
        <v>0.03800026646</v>
      </c>
      <c r="X252" s="630">
        <f t="shared" si="93"/>
        <v>0.008299832832</v>
      </c>
      <c r="Y252" s="630">
        <f t="shared" si="93"/>
        <v>0.009660857204</v>
      </c>
      <c r="Z252" s="630">
        <f t="shared" si="93"/>
        <v>0.004227713369</v>
      </c>
      <c r="AA252" s="630">
        <f t="shared" si="93"/>
        <v>0.01293955129</v>
      </c>
      <c r="AB252" s="630">
        <f t="shared" si="93"/>
        <v>0.01802016897</v>
      </c>
      <c r="AC252" s="630">
        <f t="shared" si="93"/>
        <v>0.01062592001</v>
      </c>
      <c r="AD252" s="630">
        <f t="shared" si="93"/>
        <v>0.009822717761</v>
      </c>
      <c r="AE252" s="630">
        <f t="shared" si="93"/>
        <v>0.004609463016</v>
      </c>
      <c r="AF252" s="630">
        <f t="shared" si="93"/>
        <v>0.007712805154</v>
      </c>
      <c r="AG252" s="630">
        <f t="shared" si="93"/>
        <v>0.009328587014</v>
      </c>
      <c r="AH252" s="630">
        <f t="shared" si="93"/>
        <v>0.0064776705</v>
      </c>
      <c r="AI252" s="630">
        <f t="shared" si="93"/>
        <v>0.06260125985</v>
      </c>
      <c r="AJ252" s="630">
        <f t="shared" si="93"/>
        <v>0.0204369721</v>
      </c>
      <c r="AK252" s="630">
        <f t="shared" si="93"/>
        <v>0.01746266228</v>
      </c>
      <c r="AL252" s="630">
        <f t="shared" si="93"/>
        <v>0.05255989731</v>
      </c>
    </row>
    <row r="253">
      <c r="A253" s="221"/>
      <c r="B253" s="644"/>
      <c r="C253" s="644"/>
      <c r="D253" s="644"/>
      <c r="E253" s="644"/>
      <c r="F253" s="644"/>
      <c r="G253" s="644"/>
      <c r="H253" s="644"/>
      <c r="I253" s="644"/>
      <c r="J253" s="644"/>
      <c r="K253" s="644"/>
      <c r="L253" s="644"/>
      <c r="M253" s="644"/>
      <c r="N253" s="644"/>
      <c r="O253" s="644"/>
      <c r="P253" s="644"/>
      <c r="Q253" s="644"/>
      <c r="R253" s="644"/>
      <c r="S253" s="644"/>
      <c r="T253" s="644"/>
      <c r="U253" s="644"/>
      <c r="V253" s="644"/>
      <c r="W253" s="644"/>
      <c r="X253" s="644"/>
      <c r="Y253" s="644"/>
      <c r="Z253" s="644"/>
      <c r="AA253" s="644"/>
      <c r="AB253" s="644"/>
      <c r="AC253" s="644"/>
      <c r="AD253" s="644"/>
      <c r="AE253" s="644"/>
      <c r="AF253" s="644"/>
      <c r="AG253" s="644"/>
      <c r="AH253" s="644"/>
      <c r="AI253" s="644"/>
      <c r="AJ253" s="644"/>
      <c r="AK253" s="644"/>
      <c r="AL253" s="644"/>
    </row>
    <row r="254">
      <c r="A254" s="221" t="s">
        <v>214</v>
      </c>
      <c r="B254" s="639">
        <f t="array" ref="B254">B252/index(GiveDirectly!$B:$B,match("Units of value generated per philanthropic dollar spent, after accounting for all adjustments",GiveDirectly!$A:$A,0))</f>
        <v>2.308195202</v>
      </c>
      <c r="C254" s="639">
        <f t="array" ref="C254">C252/index(GiveDirectly!$B:$B,match("Units of value generated per philanthropic dollar spent, after accounting for all adjustments",GiveDirectly!$A:$A,0))</f>
        <v>5.412138397</v>
      </c>
      <c r="D254" s="639">
        <f t="array" ref="D254">D252/index(GiveDirectly!$B:$B,match("Units of value generated per philanthropic dollar spent, after accounting for all adjustments",GiveDirectly!$A:$A,0))</f>
        <v>2.086216302</v>
      </c>
      <c r="E254" s="639">
        <f t="array" ref="E254">E252/index(GiveDirectly!$B:$B,match("Units of value generated per philanthropic dollar spent, after accounting for all adjustments",GiveDirectly!$A:$A,0))</f>
        <v>2.452860764</v>
      </c>
      <c r="F254" s="639">
        <f t="array" ref="F254">F252/index(GiveDirectly!$B:$B,match("Units of value generated per philanthropic dollar spent, after accounting for all adjustments",GiveDirectly!$A:$A,0))</f>
        <v>12.25229188</v>
      </c>
      <c r="G254" s="639">
        <f t="array" ref="G254">G252/index(GiveDirectly!$B:$B,match("Units of value generated per philanthropic dollar spent, after accounting for all adjustments",GiveDirectly!$A:$A,0))</f>
        <v>3.170538402</v>
      </c>
      <c r="H254" s="639">
        <f t="array" ref="H254">H252/index(GiveDirectly!$B:$B,match("Units of value generated per philanthropic dollar spent, after accounting for all adjustments",GiveDirectly!$A:$A,0))</f>
        <v>3.175562511</v>
      </c>
      <c r="I254" s="639">
        <f t="array" ref="I254">I252/index(GiveDirectly!$B:$B,match("Units of value generated per philanthropic dollar spent, after accounting for all adjustments",GiveDirectly!$A:$A,0))</f>
        <v>4.940947181</v>
      </c>
      <c r="J254" s="639">
        <f t="array" ref="J254">J252/index(GiveDirectly!$B:$B,match("Units of value generated per philanthropic dollar spent, after accounting for all adjustments",GiveDirectly!$A:$A,0))</f>
        <v>1.596266886</v>
      </c>
      <c r="K254" s="639">
        <f t="array" ref="K254">K252/index(GiveDirectly!$B:$B,match("Units of value generated per philanthropic dollar spent, after accounting for all adjustments",GiveDirectly!$A:$A,0))</f>
        <v>2.780760439</v>
      </c>
      <c r="L254" s="639">
        <f t="array" ref="L254">L252/index(GiveDirectly!$B:$B,match("Units of value generated per philanthropic dollar spent, after accounting for all adjustments",GiveDirectly!$A:$A,0))</f>
        <v>0.950295144</v>
      </c>
      <c r="M254" s="639">
        <f t="array" ref="M254">M252/index(GiveDirectly!$B:$B,match("Units of value generated per philanthropic dollar spent, after accounting for all adjustments",GiveDirectly!$A:$A,0))</f>
        <v>1.841917956</v>
      </c>
      <c r="N254" s="639">
        <f t="array" ref="N254">N252/index(GiveDirectly!$B:$B,match("Units of value generated per philanthropic dollar spent, after accounting for all adjustments",GiveDirectly!$A:$A,0))</f>
        <v>1.311342352</v>
      </c>
      <c r="O254" s="639">
        <f t="array" ref="O254">O252/index(GiveDirectly!$B:$B,match("Units of value generated per philanthropic dollar spent, after accounting for all adjustments",GiveDirectly!$A:$A,0))</f>
        <v>1.010509473</v>
      </c>
      <c r="P254" s="639">
        <f t="array" ref="P254">P252/index(GiveDirectly!$B:$B,match("Units of value generated per philanthropic dollar spent, after accounting for all adjustments",GiveDirectly!$A:$A,0))</f>
        <v>1.555866135</v>
      </c>
      <c r="Q254" s="639">
        <f t="array" ref="Q254">Q252/index(GiveDirectly!$B:$B,match("Units of value generated per philanthropic dollar spent, after accounting for all adjustments",GiveDirectly!$A:$A,0))</f>
        <v>7.380068451</v>
      </c>
      <c r="R254" s="639">
        <f t="array" ref="R254">R252/index(GiveDirectly!$B:$B,match("Units of value generated per philanthropic dollar spent, after accounting for all adjustments",GiveDirectly!$A:$A,0))</f>
        <v>1.325880401</v>
      </c>
      <c r="S254" s="639">
        <f t="array" ref="S254">S252/index(GiveDirectly!$B:$B,match("Units of value generated per philanthropic dollar spent, after accounting for all adjustments",GiveDirectly!$A:$A,0))</f>
        <v>12.59424133</v>
      </c>
      <c r="T254" s="639">
        <f t="array" ref="T254">T252/index(GiveDirectly!$B:$B,match("Units of value generated per philanthropic dollar spent, after accounting for all adjustments",GiveDirectly!$A:$A,0))</f>
        <v>6.004396928</v>
      </c>
      <c r="U254" s="639">
        <f t="array" ref="U254">U252/index(GiveDirectly!$B:$B,match("Units of value generated per philanthropic dollar spent, after accounting for all adjustments",GiveDirectly!$A:$A,0))</f>
        <v>7.888551116</v>
      </c>
      <c r="V254" s="639">
        <f t="array" ref="V254">V252/index(GiveDirectly!$B:$B,match("Units of value generated per philanthropic dollar spent, after accounting for all adjustments",GiveDirectly!$A:$A,0))</f>
        <v>10.67133434</v>
      </c>
      <c r="W254" s="639">
        <f t="array" ref="W254">W252/index(GiveDirectly!$B:$B,match("Units of value generated per philanthropic dollar spent, after accounting for all adjustments",GiveDirectly!$A:$A,0))</f>
        <v>11.3280316</v>
      </c>
      <c r="X254" s="639">
        <f t="array" ref="X254">X252/index(GiveDirectly!$B:$B,match("Units of value generated per philanthropic dollar spent, after accounting for all adjustments",GiveDirectly!$A:$A,0))</f>
        <v>2.474213402</v>
      </c>
      <c r="Y254" s="639">
        <f t="array" ref="Y254">Y252/index(GiveDirectly!$B:$B,match("Units of value generated per philanthropic dollar spent, after accounting for all adjustments",GiveDirectly!$A:$A,0))</f>
        <v>2.879940217</v>
      </c>
      <c r="Z254" s="639">
        <f t="array" ref="Z254">Z252/index(GiveDirectly!$B:$B,match("Units of value generated per philanthropic dollar spent, after accounting for all adjustments",GiveDirectly!$A:$A,0))</f>
        <v>1.260298284</v>
      </c>
      <c r="AA254" s="639">
        <f t="array" ref="AA254">AA252/index(GiveDirectly!$B:$B,match("Units of value generated per philanthropic dollar spent, after accounting for all adjustments",GiveDirectly!$A:$A,0))</f>
        <v>3.857332054</v>
      </c>
      <c r="AB254" s="639">
        <f t="array" ref="AB254">AB252/index(GiveDirectly!$B:$B,match("Units of value generated per philanthropic dollar spent, after accounting for all adjustments",GiveDirectly!$A:$A,0))</f>
        <v>5.371884528</v>
      </c>
      <c r="AC254" s="639">
        <f t="array" ref="AC254">AC252/index(GiveDirectly!$B:$B,match("Units of value generated per philanthropic dollar spent, after accounting for all adjustments",GiveDirectly!$A:$A,0))</f>
        <v>3.167629304</v>
      </c>
      <c r="AD254" s="639">
        <f t="array" ref="AD254">AD252/index(GiveDirectly!$B:$B,match("Units of value generated per philanthropic dollar spent, after accounting for all adjustments",GiveDirectly!$A:$A,0))</f>
        <v>2.928191498</v>
      </c>
      <c r="AE254" s="639">
        <f t="array" ref="AE254">AE252/index(GiveDirectly!$B:$B,match("Units of value generated per philanthropic dollar spent, after accounting for all adjustments",GiveDirectly!$A:$A,0))</f>
        <v>1.374099383</v>
      </c>
      <c r="AF254" s="639">
        <f t="array" ref="AF254">AF252/index(GiveDirectly!$B:$B,match("Units of value generated per philanthropic dollar spent, after accounting for all adjustments",GiveDirectly!$A:$A,0))</f>
        <v>2.299218101</v>
      </c>
      <c r="AG254" s="639">
        <f t="array" ref="AG254">AG252/index(GiveDirectly!$B:$B,match("Units of value generated per philanthropic dollar spent, after accounting for all adjustments",GiveDirectly!$A:$A,0))</f>
        <v>2.780889143</v>
      </c>
      <c r="AH254" s="639">
        <f t="array" ref="AH254">AH252/index(GiveDirectly!$B:$B,match("Units of value generated per philanthropic dollar spent, after accounting for all adjustments",GiveDirectly!$A:$A,0))</f>
        <v>1.931019515</v>
      </c>
      <c r="AI254" s="639">
        <f t="array" ref="AI254">AI252/index(GiveDirectly!$B:$B,match("Units of value generated per philanthropic dollar spent, after accounting for all adjustments",GiveDirectly!$A:$A,0))</f>
        <v>18.66168623</v>
      </c>
      <c r="AJ254" s="639">
        <f t="array" ref="AJ254">AJ252/index(GiveDirectly!$B:$B,match("Units of value generated per philanthropic dollar spent, after accounting for all adjustments",GiveDirectly!$A:$A,0))</f>
        <v>6.092343219</v>
      </c>
      <c r="AK254" s="639">
        <f t="array" ref="AK254">AK252/index(GiveDirectly!$B:$B,match("Units of value generated per philanthropic dollar spent, after accounting for all adjustments",GiveDirectly!$A:$A,0))</f>
        <v>5.205689551</v>
      </c>
      <c r="AL254" s="639">
        <f t="array" ref="AL254">AL252/index(GiveDirectly!$B:$B,match("Units of value generated per philanthropic dollar spent, after accounting for all adjustments",GiveDirectly!$A:$A,0))</f>
        <v>15.66831585</v>
      </c>
    </row>
    <row r="255">
      <c r="A255" s="8"/>
      <c r="B255" s="623"/>
      <c r="C255" s="623"/>
      <c r="D255" s="623"/>
      <c r="E255" s="623"/>
      <c r="F255" s="623"/>
      <c r="G255" s="89"/>
      <c r="H255" s="89"/>
      <c r="I255" s="89"/>
      <c r="J255" s="89"/>
      <c r="K255" s="89"/>
      <c r="L255" s="89"/>
      <c r="M255" s="89"/>
      <c r="N255" s="89"/>
      <c r="O255" s="89"/>
      <c r="P255" s="89"/>
      <c r="Q255" s="623"/>
      <c r="R255" s="623"/>
      <c r="S255" s="623"/>
      <c r="T255" s="89"/>
      <c r="U255" s="623"/>
      <c r="V255" s="623"/>
      <c r="W255" s="89"/>
      <c r="X255" s="89"/>
      <c r="Y255" s="623"/>
      <c r="Z255" s="623"/>
      <c r="AA255" s="89"/>
      <c r="AB255" s="89"/>
      <c r="AC255" s="89"/>
      <c r="AD255" s="89"/>
      <c r="AE255" s="89"/>
      <c r="AF255" s="89"/>
      <c r="AG255" s="89"/>
      <c r="AH255" s="89"/>
      <c r="AI255" s="623"/>
      <c r="AJ255" s="623"/>
      <c r="AK255" s="623"/>
      <c r="AL255" s="623"/>
    </row>
    <row r="256">
      <c r="A256" s="160" t="s">
        <v>215</v>
      </c>
      <c r="B256" s="472"/>
      <c r="C256" s="472"/>
      <c r="D256" s="472"/>
      <c r="E256" s="472"/>
      <c r="F256" s="472"/>
      <c r="G256" s="161"/>
      <c r="H256" s="161"/>
      <c r="I256" s="161"/>
      <c r="J256" s="161"/>
      <c r="K256" s="161"/>
      <c r="L256" s="161"/>
      <c r="M256" s="161"/>
      <c r="N256" s="161"/>
      <c r="O256" s="161"/>
      <c r="P256" s="161"/>
      <c r="Q256" s="472"/>
      <c r="R256" s="472"/>
      <c r="S256" s="472"/>
      <c r="T256" s="161"/>
      <c r="U256" s="472"/>
      <c r="V256" s="472"/>
      <c r="W256" s="161"/>
      <c r="X256" s="161"/>
      <c r="Y256" s="472"/>
      <c r="Z256" s="472"/>
      <c r="AA256" s="161"/>
      <c r="AB256" s="161"/>
      <c r="AC256" s="161"/>
      <c r="AD256" s="161"/>
      <c r="AE256" s="161"/>
      <c r="AF256" s="161"/>
      <c r="AG256" s="161"/>
      <c r="AH256" s="161"/>
      <c r="AI256" s="472"/>
      <c r="AJ256" s="472"/>
      <c r="AK256" s="472"/>
      <c r="AL256" s="472"/>
    </row>
    <row r="257">
      <c r="A257" s="291"/>
      <c r="B257" s="568"/>
      <c r="C257" s="568"/>
      <c r="D257" s="568"/>
      <c r="E257" s="568"/>
      <c r="F257" s="568"/>
      <c r="G257" s="151"/>
      <c r="H257" s="151"/>
      <c r="I257" s="151"/>
      <c r="J257" s="151"/>
      <c r="K257" s="151"/>
      <c r="L257" s="151"/>
      <c r="M257" s="151"/>
      <c r="N257" s="151"/>
      <c r="O257" s="151"/>
      <c r="P257" s="151"/>
      <c r="Q257" s="568"/>
      <c r="R257" s="568"/>
      <c r="S257" s="568"/>
      <c r="T257" s="151"/>
      <c r="U257" s="568"/>
      <c r="V257" s="568"/>
      <c r="W257" s="151"/>
      <c r="X257" s="151"/>
      <c r="Y257" s="568"/>
      <c r="Z257" s="568"/>
      <c r="AA257" s="151"/>
      <c r="AB257" s="151"/>
      <c r="AC257" s="151"/>
      <c r="AD257" s="151"/>
      <c r="AE257" s="151"/>
      <c r="AF257" s="151"/>
      <c r="AG257" s="151"/>
      <c r="AH257" s="151"/>
      <c r="AI257" s="568"/>
      <c r="AJ257" s="568"/>
      <c r="AK257" s="568"/>
      <c r="AL257" s="568"/>
    </row>
    <row r="258">
      <c r="A258" s="418" t="s">
        <v>323</v>
      </c>
      <c r="B258" s="645"/>
      <c r="C258" s="645"/>
      <c r="D258" s="645"/>
      <c r="E258" s="645"/>
      <c r="F258" s="645"/>
      <c r="G258" s="242"/>
      <c r="H258" s="242"/>
      <c r="I258" s="242"/>
      <c r="J258" s="242"/>
      <c r="K258" s="242"/>
      <c r="L258" s="242"/>
      <c r="M258" s="242"/>
      <c r="N258" s="242"/>
      <c r="O258" s="242"/>
      <c r="P258" s="242"/>
      <c r="Q258" s="645"/>
      <c r="R258" s="645"/>
      <c r="S258" s="645"/>
      <c r="T258" s="242"/>
      <c r="U258" s="645"/>
      <c r="V258" s="645"/>
      <c r="W258" s="242"/>
      <c r="X258" s="242"/>
      <c r="Y258" s="645"/>
      <c r="Z258" s="645"/>
      <c r="AA258" s="242"/>
      <c r="AB258" s="242"/>
      <c r="AC258" s="242"/>
      <c r="AD258" s="242"/>
      <c r="AE258" s="242"/>
      <c r="AF258" s="242"/>
      <c r="AG258" s="242"/>
      <c r="AH258" s="242"/>
      <c r="AI258" s="645"/>
      <c r="AJ258" s="645"/>
      <c r="AK258" s="645"/>
      <c r="AL258" s="645"/>
    </row>
    <row r="259">
      <c r="A259" s="646" t="s">
        <v>23</v>
      </c>
      <c r="B259" s="427">
        <f t="shared" ref="B259:AL259" si="94">B17</f>
        <v>100000</v>
      </c>
      <c r="C259" s="427">
        <f t="shared" si="94"/>
        <v>100000</v>
      </c>
      <c r="D259" s="427">
        <f t="shared" si="94"/>
        <v>100000</v>
      </c>
      <c r="E259" s="427">
        <f t="shared" si="94"/>
        <v>100000</v>
      </c>
      <c r="F259" s="427">
        <f t="shared" si="94"/>
        <v>100000</v>
      </c>
      <c r="G259" s="427">
        <f t="shared" si="94"/>
        <v>100000</v>
      </c>
      <c r="H259" s="427">
        <f t="shared" si="94"/>
        <v>100000</v>
      </c>
      <c r="I259" s="427">
        <f t="shared" si="94"/>
        <v>100000</v>
      </c>
      <c r="J259" s="427">
        <f t="shared" si="94"/>
        <v>100000</v>
      </c>
      <c r="K259" s="427">
        <f t="shared" si="94"/>
        <v>100000</v>
      </c>
      <c r="L259" s="427">
        <f t="shared" si="94"/>
        <v>100000</v>
      </c>
      <c r="M259" s="427">
        <f t="shared" si="94"/>
        <v>100000</v>
      </c>
      <c r="N259" s="427">
        <f t="shared" si="94"/>
        <v>100000</v>
      </c>
      <c r="O259" s="427">
        <f t="shared" si="94"/>
        <v>100000</v>
      </c>
      <c r="P259" s="427">
        <f t="shared" si="94"/>
        <v>100000</v>
      </c>
      <c r="Q259" s="427">
        <f t="shared" si="94"/>
        <v>100000</v>
      </c>
      <c r="R259" s="427">
        <f t="shared" si="94"/>
        <v>100000</v>
      </c>
      <c r="S259" s="427">
        <f t="shared" si="94"/>
        <v>100000</v>
      </c>
      <c r="T259" s="427">
        <f t="shared" si="94"/>
        <v>100000</v>
      </c>
      <c r="U259" s="427">
        <f t="shared" si="94"/>
        <v>100000</v>
      </c>
      <c r="V259" s="427">
        <f t="shared" si="94"/>
        <v>100000</v>
      </c>
      <c r="W259" s="427">
        <f t="shared" si="94"/>
        <v>100000</v>
      </c>
      <c r="X259" s="427">
        <f t="shared" si="94"/>
        <v>100000</v>
      </c>
      <c r="Y259" s="427">
        <f t="shared" si="94"/>
        <v>100000</v>
      </c>
      <c r="Z259" s="427">
        <f t="shared" si="94"/>
        <v>100000</v>
      </c>
      <c r="AA259" s="427">
        <f t="shared" si="94"/>
        <v>100000</v>
      </c>
      <c r="AB259" s="427">
        <f t="shared" si="94"/>
        <v>100000</v>
      </c>
      <c r="AC259" s="427">
        <f t="shared" si="94"/>
        <v>100000</v>
      </c>
      <c r="AD259" s="427">
        <f t="shared" si="94"/>
        <v>100000</v>
      </c>
      <c r="AE259" s="427">
        <f t="shared" si="94"/>
        <v>100000</v>
      </c>
      <c r="AF259" s="427">
        <f t="shared" si="94"/>
        <v>100000</v>
      </c>
      <c r="AG259" s="427">
        <f t="shared" si="94"/>
        <v>100000</v>
      </c>
      <c r="AH259" s="427">
        <f t="shared" si="94"/>
        <v>100000</v>
      </c>
      <c r="AI259" s="427">
        <f t="shared" si="94"/>
        <v>100000</v>
      </c>
      <c r="AJ259" s="427">
        <f t="shared" si="94"/>
        <v>100000</v>
      </c>
      <c r="AK259" s="427">
        <f t="shared" si="94"/>
        <v>100000</v>
      </c>
      <c r="AL259" s="427">
        <f t="shared" si="94"/>
        <v>100000</v>
      </c>
    </row>
    <row r="260">
      <c r="A260" s="356" t="s">
        <v>541</v>
      </c>
      <c r="B260" s="427">
        <f t="shared" ref="B260:AL260" si="95">B24</f>
        <v>9020.054826</v>
      </c>
      <c r="C260" s="427">
        <f t="shared" si="95"/>
        <v>20699.32638</v>
      </c>
      <c r="D260" s="427">
        <f t="shared" si="95"/>
        <v>11881.39007</v>
      </c>
      <c r="E260" s="427">
        <f t="shared" si="95"/>
        <v>14513.21011</v>
      </c>
      <c r="F260" s="427">
        <f t="shared" si="95"/>
        <v>48198.72502</v>
      </c>
      <c r="G260" s="427">
        <f t="shared" si="95"/>
        <v>16985.94753</v>
      </c>
      <c r="H260" s="427">
        <f t="shared" si="95"/>
        <v>17062.7613</v>
      </c>
      <c r="I260" s="427">
        <f t="shared" si="95"/>
        <v>43620.92188</v>
      </c>
      <c r="J260" s="427">
        <f t="shared" si="95"/>
        <v>6128.403393</v>
      </c>
      <c r="K260" s="427">
        <f t="shared" si="95"/>
        <v>15652.66734</v>
      </c>
      <c r="L260" s="427">
        <f t="shared" si="95"/>
        <v>1096.640546</v>
      </c>
      <c r="M260" s="427">
        <f t="shared" si="95"/>
        <v>7749.321984</v>
      </c>
      <c r="N260" s="427">
        <f t="shared" si="95"/>
        <v>4106.28957</v>
      </c>
      <c r="O260" s="427">
        <f t="shared" si="95"/>
        <v>2613.594088</v>
      </c>
      <c r="P260" s="427">
        <f t="shared" si="95"/>
        <v>5745.542452</v>
      </c>
      <c r="Q260" s="427">
        <f t="shared" si="95"/>
        <v>32816.96833</v>
      </c>
      <c r="R260" s="427">
        <f t="shared" si="95"/>
        <v>5231.038964</v>
      </c>
      <c r="S260" s="427">
        <f t="shared" si="95"/>
        <v>38725.24559</v>
      </c>
      <c r="T260" s="427">
        <f t="shared" si="95"/>
        <v>30237.02846</v>
      </c>
      <c r="U260" s="427">
        <f t="shared" si="95"/>
        <v>42526.86622</v>
      </c>
      <c r="V260" s="427">
        <f t="shared" si="95"/>
        <v>49657.86963</v>
      </c>
      <c r="W260" s="427">
        <f t="shared" si="95"/>
        <v>52530.30961</v>
      </c>
      <c r="X260" s="427">
        <f t="shared" si="95"/>
        <v>14444.42148</v>
      </c>
      <c r="Y260" s="427">
        <f t="shared" si="95"/>
        <v>27426.12352</v>
      </c>
      <c r="Z260" s="427">
        <f t="shared" si="95"/>
        <v>6170.298548</v>
      </c>
      <c r="AA260" s="427">
        <f t="shared" si="95"/>
        <v>23609.50242</v>
      </c>
      <c r="AB260" s="427">
        <f t="shared" si="95"/>
        <v>36512.9545</v>
      </c>
      <c r="AC260" s="427">
        <f t="shared" si="95"/>
        <v>30159.22505</v>
      </c>
      <c r="AD260" s="427">
        <f t="shared" si="95"/>
        <v>22149.13586</v>
      </c>
      <c r="AE260" s="427">
        <f t="shared" si="95"/>
        <v>8353.375657</v>
      </c>
      <c r="AF260" s="427">
        <f t="shared" si="95"/>
        <v>22458.79087</v>
      </c>
      <c r="AG260" s="427">
        <f t="shared" si="95"/>
        <v>16148.58595</v>
      </c>
      <c r="AH260" s="427">
        <f t="shared" si="95"/>
        <v>8238.36569</v>
      </c>
      <c r="AI260" s="427">
        <f t="shared" si="95"/>
        <v>90044.82139</v>
      </c>
      <c r="AJ260" s="427">
        <f t="shared" si="95"/>
        <v>24744.87608</v>
      </c>
      <c r="AK260" s="427">
        <f t="shared" si="95"/>
        <v>20361.06987</v>
      </c>
      <c r="AL260" s="427">
        <f t="shared" si="95"/>
        <v>51858.80227</v>
      </c>
    </row>
    <row r="261">
      <c r="A261" s="646" t="s">
        <v>758</v>
      </c>
      <c r="B261" s="427">
        <f t="shared" ref="B261:AL261" si="96">B25</f>
        <v>7534.162643</v>
      </c>
      <c r="C261" s="427">
        <f t="shared" si="96"/>
        <v>17289.48378</v>
      </c>
      <c r="D261" s="427">
        <f t="shared" si="96"/>
        <v>9924.14425</v>
      </c>
      <c r="E261" s="427">
        <f t="shared" si="96"/>
        <v>12122.41916</v>
      </c>
      <c r="F261" s="427">
        <f t="shared" si="96"/>
        <v>40258.84992</v>
      </c>
      <c r="G261" s="427">
        <f t="shared" si="96"/>
        <v>14187.81746</v>
      </c>
      <c r="H261" s="427">
        <f t="shared" si="96"/>
        <v>14251.97754</v>
      </c>
      <c r="I261" s="427">
        <f t="shared" si="96"/>
        <v>36435.15771</v>
      </c>
      <c r="J261" s="427">
        <f t="shared" si="96"/>
        <v>5118.858898</v>
      </c>
      <c r="K261" s="427">
        <f t="shared" si="96"/>
        <v>13074.17126</v>
      </c>
      <c r="L261" s="427">
        <f t="shared" si="96"/>
        <v>915.9886932</v>
      </c>
      <c r="M261" s="427">
        <f t="shared" si="96"/>
        <v>6472.760236</v>
      </c>
      <c r="N261" s="427">
        <f t="shared" si="96"/>
        <v>3429.852044</v>
      </c>
      <c r="O261" s="427">
        <f t="shared" si="96"/>
        <v>2183.051359</v>
      </c>
      <c r="P261" s="427">
        <f t="shared" si="96"/>
        <v>4799.067428</v>
      </c>
      <c r="Q261" s="427">
        <f t="shared" si="96"/>
        <v>27410.96164</v>
      </c>
      <c r="R261" s="427">
        <f t="shared" si="96"/>
        <v>4369.319157</v>
      </c>
      <c r="S261" s="427">
        <f t="shared" si="96"/>
        <v>32345.95624</v>
      </c>
      <c r="T261" s="427">
        <f t="shared" si="96"/>
        <v>25256.02057</v>
      </c>
      <c r="U261" s="427">
        <f t="shared" si="96"/>
        <v>35521.32808</v>
      </c>
      <c r="V261" s="427">
        <f t="shared" si="96"/>
        <v>41477.62664</v>
      </c>
      <c r="W261" s="427">
        <f t="shared" si="96"/>
        <v>43876.88367</v>
      </c>
      <c r="X261" s="427">
        <f t="shared" si="96"/>
        <v>12064.96223</v>
      </c>
      <c r="Y261" s="427">
        <f t="shared" si="96"/>
        <v>22908.16179</v>
      </c>
      <c r="Z261" s="427">
        <f t="shared" si="96"/>
        <v>5153.852578</v>
      </c>
      <c r="AA261" s="427">
        <f t="shared" si="96"/>
        <v>19720.26053</v>
      </c>
      <c r="AB261" s="427">
        <f t="shared" si="96"/>
        <v>30498.10041</v>
      </c>
      <c r="AC261" s="427">
        <f t="shared" si="96"/>
        <v>25191.03388</v>
      </c>
      <c r="AD261" s="427">
        <f t="shared" si="96"/>
        <v>18500.46315</v>
      </c>
      <c r="AE261" s="427">
        <f t="shared" si="96"/>
        <v>6977.306905</v>
      </c>
      <c r="AF261" s="427">
        <f t="shared" si="96"/>
        <v>18759.10806</v>
      </c>
      <c r="AG261" s="427">
        <f t="shared" si="96"/>
        <v>13488.39618</v>
      </c>
      <c r="AH261" s="427">
        <f t="shared" si="96"/>
        <v>6881.242766</v>
      </c>
      <c r="AI261" s="427">
        <f t="shared" si="96"/>
        <v>75211.55277</v>
      </c>
      <c r="AJ261" s="427">
        <f t="shared" si="96"/>
        <v>20668.60175</v>
      </c>
      <c r="AK261" s="427">
        <f t="shared" si="96"/>
        <v>17006.94895</v>
      </c>
      <c r="AL261" s="427">
        <f t="shared" si="96"/>
        <v>43315.99512</v>
      </c>
    </row>
    <row r="262" outlineLevel="1">
      <c r="A262" s="647" t="s">
        <v>324</v>
      </c>
      <c r="B262" s="648">
        <f t="shared" ref="B262:AL262" si="97">sum(B259:B261)</f>
        <v>116554.2175</v>
      </c>
      <c r="C262" s="648">
        <f t="shared" si="97"/>
        <v>137988.8102</v>
      </c>
      <c r="D262" s="648">
        <f t="shared" si="97"/>
        <v>121805.5343</v>
      </c>
      <c r="E262" s="648">
        <f t="shared" si="97"/>
        <v>126635.6293</v>
      </c>
      <c r="F262" s="648">
        <f t="shared" si="97"/>
        <v>188457.5749</v>
      </c>
      <c r="G262" s="648">
        <f t="shared" si="97"/>
        <v>131173.765</v>
      </c>
      <c r="H262" s="648">
        <f t="shared" si="97"/>
        <v>131314.7388</v>
      </c>
      <c r="I262" s="648">
        <f t="shared" si="97"/>
        <v>180056.0796</v>
      </c>
      <c r="J262" s="648">
        <f t="shared" si="97"/>
        <v>111247.2623</v>
      </c>
      <c r="K262" s="648">
        <f t="shared" si="97"/>
        <v>128726.8386</v>
      </c>
      <c r="L262" s="648">
        <f t="shared" si="97"/>
        <v>102012.6292</v>
      </c>
      <c r="M262" s="648">
        <f t="shared" si="97"/>
        <v>114222.0822</v>
      </c>
      <c r="N262" s="648">
        <f t="shared" si="97"/>
        <v>107536.1416</v>
      </c>
      <c r="O262" s="648">
        <f t="shared" si="97"/>
        <v>104796.6454</v>
      </c>
      <c r="P262" s="648">
        <f t="shared" si="97"/>
        <v>110544.6099</v>
      </c>
      <c r="Q262" s="648">
        <f t="shared" si="97"/>
        <v>160227.93</v>
      </c>
      <c r="R262" s="648">
        <f t="shared" si="97"/>
        <v>109600.3581</v>
      </c>
      <c r="S262" s="648">
        <f t="shared" si="97"/>
        <v>171071.2018</v>
      </c>
      <c r="T262" s="648">
        <f t="shared" si="97"/>
        <v>155493.049</v>
      </c>
      <c r="U262" s="648">
        <f t="shared" si="97"/>
        <v>178048.1943</v>
      </c>
      <c r="V262" s="648">
        <f t="shared" si="97"/>
        <v>191135.4963</v>
      </c>
      <c r="W262" s="648">
        <f t="shared" si="97"/>
        <v>196407.1933</v>
      </c>
      <c r="X262" s="648">
        <f t="shared" si="97"/>
        <v>126509.3837</v>
      </c>
      <c r="Y262" s="648">
        <f t="shared" si="97"/>
        <v>150334.2853</v>
      </c>
      <c r="Z262" s="648">
        <f t="shared" si="97"/>
        <v>111324.1511</v>
      </c>
      <c r="AA262" s="648">
        <f t="shared" si="97"/>
        <v>143329.763</v>
      </c>
      <c r="AB262" s="648">
        <f t="shared" si="97"/>
        <v>167011.0549</v>
      </c>
      <c r="AC262" s="648">
        <f t="shared" si="97"/>
        <v>155350.2589</v>
      </c>
      <c r="AD262" s="648">
        <f t="shared" si="97"/>
        <v>140649.599</v>
      </c>
      <c r="AE262" s="648">
        <f t="shared" si="97"/>
        <v>115330.6826</v>
      </c>
      <c r="AF262" s="648">
        <f t="shared" si="97"/>
        <v>141217.8989</v>
      </c>
      <c r="AG262" s="648">
        <f t="shared" si="97"/>
        <v>129636.9821</v>
      </c>
      <c r="AH262" s="648">
        <f t="shared" si="97"/>
        <v>115119.6085</v>
      </c>
      <c r="AI262" s="648">
        <f t="shared" si="97"/>
        <v>265256.3742</v>
      </c>
      <c r="AJ262" s="648">
        <f t="shared" si="97"/>
        <v>145413.4778</v>
      </c>
      <c r="AK262" s="648">
        <f t="shared" si="97"/>
        <v>137368.0188</v>
      </c>
      <c r="AL262" s="648">
        <f t="shared" si="97"/>
        <v>195174.7974</v>
      </c>
    </row>
    <row r="263" outlineLevel="1">
      <c r="A263" s="367"/>
      <c r="B263" s="645"/>
      <c r="C263" s="645"/>
      <c r="D263" s="645"/>
      <c r="E263" s="645"/>
      <c r="F263" s="645"/>
      <c r="G263" s="645"/>
      <c r="H263" s="645"/>
      <c r="I263" s="645"/>
      <c r="J263" s="645"/>
      <c r="K263" s="645"/>
      <c r="L263" s="645"/>
      <c r="M263" s="645"/>
      <c r="N263" s="645"/>
      <c r="O263" s="645"/>
      <c r="P263" s="645"/>
      <c r="Q263" s="645"/>
      <c r="R263" s="645"/>
      <c r="S263" s="645"/>
      <c r="T263" s="645"/>
      <c r="U263" s="645"/>
      <c r="V263" s="645"/>
      <c r="W263" s="645"/>
      <c r="X263" s="645"/>
      <c r="Y263" s="645"/>
      <c r="Z263" s="645"/>
      <c r="AA263" s="645"/>
      <c r="AB263" s="645"/>
      <c r="AC263" s="645"/>
      <c r="AD263" s="645"/>
      <c r="AE263" s="645"/>
      <c r="AF263" s="645"/>
      <c r="AG263" s="645"/>
      <c r="AH263" s="645"/>
      <c r="AI263" s="645"/>
      <c r="AJ263" s="645"/>
      <c r="AK263" s="645"/>
      <c r="AL263" s="645"/>
    </row>
    <row r="264" outlineLevel="1">
      <c r="A264" s="362" t="s">
        <v>325</v>
      </c>
      <c r="B264" s="242"/>
      <c r="C264" s="242"/>
      <c r="D264" s="242"/>
      <c r="E264" s="242"/>
      <c r="F264" s="242"/>
      <c r="G264" s="242"/>
      <c r="H264" s="242"/>
      <c r="I264" s="242"/>
      <c r="J264" s="242"/>
      <c r="K264" s="242"/>
      <c r="L264" s="242"/>
      <c r="M264" s="242"/>
      <c r="N264" s="242"/>
      <c r="O264" s="242"/>
      <c r="P264" s="242"/>
      <c r="Q264" s="242"/>
      <c r="R264" s="242"/>
      <c r="S264" s="242"/>
      <c r="T264" s="242"/>
      <c r="U264" s="242"/>
      <c r="V264" s="242"/>
      <c r="W264" s="242"/>
      <c r="X264" s="242"/>
      <c r="Y264" s="242"/>
      <c r="Z264" s="242"/>
      <c r="AA264" s="242"/>
      <c r="AB264" s="242"/>
      <c r="AC264" s="242"/>
      <c r="AD264" s="242"/>
      <c r="AE264" s="242"/>
      <c r="AF264" s="242"/>
      <c r="AG264" s="242"/>
      <c r="AH264" s="242"/>
      <c r="AI264" s="242"/>
      <c r="AJ264" s="242"/>
      <c r="AK264" s="242"/>
      <c r="AL264" s="242"/>
    </row>
    <row r="265" outlineLevel="1">
      <c r="A265" s="195" t="s">
        <v>326</v>
      </c>
      <c r="B265" s="427">
        <f t="shared" ref="B265:AL265" si="98">B259</f>
        <v>100000</v>
      </c>
      <c r="C265" s="427">
        <f t="shared" si="98"/>
        <v>100000</v>
      </c>
      <c r="D265" s="427">
        <f t="shared" si="98"/>
        <v>100000</v>
      </c>
      <c r="E265" s="427">
        <f t="shared" si="98"/>
        <v>100000</v>
      </c>
      <c r="F265" s="427">
        <f t="shared" si="98"/>
        <v>100000</v>
      </c>
      <c r="G265" s="427">
        <f t="shared" si="98"/>
        <v>100000</v>
      </c>
      <c r="H265" s="427">
        <f t="shared" si="98"/>
        <v>100000</v>
      </c>
      <c r="I265" s="427">
        <f t="shared" si="98"/>
        <v>100000</v>
      </c>
      <c r="J265" s="427">
        <f t="shared" si="98"/>
        <v>100000</v>
      </c>
      <c r="K265" s="427">
        <f t="shared" si="98"/>
        <v>100000</v>
      </c>
      <c r="L265" s="427">
        <f t="shared" si="98"/>
        <v>100000</v>
      </c>
      <c r="M265" s="427">
        <f t="shared" si="98"/>
        <v>100000</v>
      </c>
      <c r="N265" s="427">
        <f t="shared" si="98"/>
        <v>100000</v>
      </c>
      <c r="O265" s="427">
        <f t="shared" si="98"/>
        <v>100000</v>
      </c>
      <c r="P265" s="427">
        <f t="shared" si="98"/>
        <v>100000</v>
      </c>
      <c r="Q265" s="427">
        <f t="shared" si="98"/>
        <v>100000</v>
      </c>
      <c r="R265" s="427">
        <f t="shared" si="98"/>
        <v>100000</v>
      </c>
      <c r="S265" s="427">
        <f t="shared" si="98"/>
        <v>100000</v>
      </c>
      <c r="T265" s="427">
        <f t="shared" si="98"/>
        <v>100000</v>
      </c>
      <c r="U265" s="427">
        <f t="shared" si="98"/>
        <v>100000</v>
      </c>
      <c r="V265" s="427">
        <f t="shared" si="98"/>
        <v>100000</v>
      </c>
      <c r="W265" s="427">
        <f t="shared" si="98"/>
        <v>100000</v>
      </c>
      <c r="X265" s="427">
        <f t="shared" si="98"/>
        <v>100000</v>
      </c>
      <c r="Y265" s="427">
        <f t="shared" si="98"/>
        <v>100000</v>
      </c>
      <c r="Z265" s="427">
        <f t="shared" si="98"/>
        <v>100000</v>
      </c>
      <c r="AA265" s="427">
        <f t="shared" si="98"/>
        <v>100000</v>
      </c>
      <c r="AB265" s="427">
        <f t="shared" si="98"/>
        <v>100000</v>
      </c>
      <c r="AC265" s="427">
        <f t="shared" si="98"/>
        <v>100000</v>
      </c>
      <c r="AD265" s="427">
        <f t="shared" si="98"/>
        <v>100000</v>
      </c>
      <c r="AE265" s="427">
        <f t="shared" si="98"/>
        <v>100000</v>
      </c>
      <c r="AF265" s="427">
        <f t="shared" si="98"/>
        <v>100000</v>
      </c>
      <c r="AG265" s="427">
        <f t="shared" si="98"/>
        <v>100000</v>
      </c>
      <c r="AH265" s="427">
        <f t="shared" si="98"/>
        <v>100000</v>
      </c>
      <c r="AI265" s="427">
        <f t="shared" si="98"/>
        <v>100000</v>
      </c>
      <c r="AJ265" s="427">
        <f t="shared" si="98"/>
        <v>100000</v>
      </c>
      <c r="AK265" s="427">
        <f t="shared" si="98"/>
        <v>100000</v>
      </c>
      <c r="AL265" s="427">
        <f t="shared" si="98"/>
        <v>100000</v>
      </c>
    </row>
    <row r="266" outlineLevel="1">
      <c r="A266" s="195" t="s">
        <v>327</v>
      </c>
      <c r="B266" s="248">
        <f t="shared" ref="B266:AL266" si="99">sum(B260:B261)</f>
        <v>16554.21747</v>
      </c>
      <c r="C266" s="248">
        <f t="shared" si="99"/>
        <v>37988.81016</v>
      </c>
      <c r="D266" s="248">
        <f t="shared" si="99"/>
        <v>21805.53432</v>
      </c>
      <c r="E266" s="248">
        <f t="shared" si="99"/>
        <v>26635.62928</v>
      </c>
      <c r="F266" s="248">
        <f t="shared" si="99"/>
        <v>88457.57494</v>
      </c>
      <c r="G266" s="248">
        <f t="shared" si="99"/>
        <v>31173.76498</v>
      </c>
      <c r="H266" s="248">
        <f t="shared" si="99"/>
        <v>31314.73884</v>
      </c>
      <c r="I266" s="248">
        <f t="shared" si="99"/>
        <v>80056.07959</v>
      </c>
      <c r="J266" s="248">
        <f t="shared" si="99"/>
        <v>11247.26229</v>
      </c>
      <c r="K266" s="248">
        <f t="shared" si="99"/>
        <v>28726.8386</v>
      </c>
      <c r="L266" s="248">
        <f t="shared" si="99"/>
        <v>2012.629239</v>
      </c>
      <c r="M266" s="248">
        <f t="shared" si="99"/>
        <v>14222.08222</v>
      </c>
      <c r="N266" s="248">
        <f t="shared" si="99"/>
        <v>7536.141614</v>
      </c>
      <c r="O266" s="248">
        <f t="shared" si="99"/>
        <v>4796.645446</v>
      </c>
      <c r="P266" s="248">
        <f t="shared" si="99"/>
        <v>10544.60988</v>
      </c>
      <c r="Q266" s="248">
        <f t="shared" si="99"/>
        <v>60227.92997</v>
      </c>
      <c r="R266" s="248">
        <f t="shared" si="99"/>
        <v>9600.358121</v>
      </c>
      <c r="S266" s="248">
        <f t="shared" si="99"/>
        <v>71071.20183</v>
      </c>
      <c r="T266" s="248">
        <f t="shared" si="99"/>
        <v>55493.04903</v>
      </c>
      <c r="U266" s="248">
        <f t="shared" si="99"/>
        <v>78048.1943</v>
      </c>
      <c r="V266" s="248">
        <f t="shared" si="99"/>
        <v>91135.49627</v>
      </c>
      <c r="W266" s="248">
        <f t="shared" si="99"/>
        <v>96407.19328</v>
      </c>
      <c r="X266" s="248">
        <f t="shared" si="99"/>
        <v>26509.38371</v>
      </c>
      <c r="Y266" s="248">
        <f t="shared" si="99"/>
        <v>50334.28531</v>
      </c>
      <c r="Z266" s="248">
        <f t="shared" si="99"/>
        <v>11324.15113</v>
      </c>
      <c r="AA266" s="248">
        <f t="shared" si="99"/>
        <v>43329.76295</v>
      </c>
      <c r="AB266" s="248">
        <f t="shared" si="99"/>
        <v>67011.05491</v>
      </c>
      <c r="AC266" s="248">
        <f t="shared" si="99"/>
        <v>55350.25893</v>
      </c>
      <c r="AD266" s="248">
        <f t="shared" si="99"/>
        <v>40649.59901</v>
      </c>
      <c r="AE266" s="248">
        <f t="shared" si="99"/>
        <v>15330.68256</v>
      </c>
      <c r="AF266" s="248">
        <f t="shared" si="99"/>
        <v>41217.89894</v>
      </c>
      <c r="AG266" s="248">
        <f t="shared" si="99"/>
        <v>29636.98213</v>
      </c>
      <c r="AH266" s="248">
        <f t="shared" si="99"/>
        <v>15119.60846</v>
      </c>
      <c r="AI266" s="248">
        <f t="shared" si="99"/>
        <v>165256.3742</v>
      </c>
      <c r="AJ266" s="248">
        <f t="shared" si="99"/>
        <v>45413.47783</v>
      </c>
      <c r="AK266" s="248">
        <f t="shared" si="99"/>
        <v>37368.01882</v>
      </c>
      <c r="AL266" s="248">
        <f t="shared" si="99"/>
        <v>95174.79738</v>
      </c>
    </row>
    <row r="267" outlineLevel="1">
      <c r="A267" s="367"/>
      <c r="B267" s="645"/>
      <c r="C267" s="645"/>
      <c r="D267" s="645"/>
      <c r="E267" s="645"/>
      <c r="F267" s="645"/>
      <c r="G267" s="645"/>
      <c r="H267" s="645"/>
      <c r="I267" s="645"/>
      <c r="J267" s="645"/>
      <c r="K267" s="645"/>
      <c r="L267" s="645"/>
      <c r="M267" s="645"/>
      <c r="N267" s="645"/>
      <c r="O267" s="645"/>
      <c r="P267" s="645"/>
      <c r="Q267" s="645"/>
      <c r="R267" s="645"/>
      <c r="S267" s="645"/>
      <c r="T267" s="645"/>
      <c r="U267" s="645"/>
      <c r="V267" s="645"/>
      <c r="W267" s="645"/>
      <c r="X267" s="645"/>
      <c r="Y267" s="645"/>
      <c r="Z267" s="645"/>
      <c r="AA267" s="645"/>
      <c r="AB267" s="645"/>
      <c r="AC267" s="645"/>
      <c r="AD267" s="645"/>
      <c r="AE267" s="645"/>
      <c r="AF267" s="645"/>
      <c r="AG267" s="645"/>
      <c r="AH267" s="645"/>
      <c r="AI267" s="645"/>
      <c r="AJ267" s="645"/>
      <c r="AK267" s="645"/>
      <c r="AL267" s="645"/>
    </row>
    <row r="268" outlineLevel="1">
      <c r="A268" s="365" t="s">
        <v>328</v>
      </c>
      <c r="B268" s="649"/>
      <c r="C268" s="649"/>
      <c r="D268" s="649"/>
      <c r="E268" s="649"/>
      <c r="F268" s="649"/>
      <c r="G268" s="649"/>
      <c r="H268" s="649"/>
      <c r="I268" s="649"/>
      <c r="J268" s="649"/>
      <c r="K268" s="649"/>
      <c r="L268" s="649"/>
      <c r="M268" s="649"/>
      <c r="N268" s="649"/>
      <c r="O268" s="649"/>
      <c r="P268" s="649"/>
      <c r="Q268" s="649"/>
      <c r="R268" s="649"/>
      <c r="S268" s="649"/>
      <c r="T268" s="649"/>
      <c r="U268" s="649"/>
      <c r="V268" s="649"/>
      <c r="W268" s="649"/>
      <c r="X268" s="649"/>
      <c r="Y268" s="649"/>
      <c r="Z268" s="649"/>
      <c r="AA268" s="649"/>
      <c r="AB268" s="649"/>
      <c r="AC268" s="649"/>
      <c r="AD268" s="649"/>
      <c r="AE268" s="649"/>
      <c r="AF268" s="649"/>
      <c r="AG268" s="649"/>
      <c r="AH268" s="649"/>
      <c r="AI268" s="649"/>
      <c r="AJ268" s="649"/>
      <c r="AK268" s="649"/>
      <c r="AL268" s="649"/>
    </row>
    <row r="269" outlineLevel="1">
      <c r="A269" s="356" t="s">
        <v>541</v>
      </c>
      <c r="B269" s="334">
        <f>'Value of counterfactual spendin'!$B$42</f>
        <v>0.005071038557</v>
      </c>
      <c r="C269" s="334">
        <f>'Value of counterfactual spendin'!$B$42</f>
        <v>0.005071038557</v>
      </c>
      <c r="D269" s="334">
        <f>'Value of counterfactual spendin'!$B$42</f>
        <v>0.005071038557</v>
      </c>
      <c r="E269" s="334">
        <f>'Value of counterfactual spendin'!$B$42</f>
        <v>0.005071038557</v>
      </c>
      <c r="F269" s="334">
        <f>'Value of counterfactual spendin'!$B$42</f>
        <v>0.005071038557</v>
      </c>
      <c r="G269" s="334">
        <f>'Value of counterfactual spendin'!$B$42</f>
        <v>0.005071038557</v>
      </c>
      <c r="H269" s="334">
        <f>'Value of counterfactual spendin'!$B$42</f>
        <v>0.005071038557</v>
      </c>
      <c r="I269" s="334">
        <f>'Value of counterfactual spendin'!$B$42</f>
        <v>0.005071038557</v>
      </c>
      <c r="J269" s="334">
        <f>'Value of counterfactual spendin'!$B$42</f>
        <v>0.005071038557</v>
      </c>
      <c r="K269" s="334">
        <f>'Value of counterfactual spendin'!$B$42</f>
        <v>0.005071038557</v>
      </c>
      <c r="L269" s="334">
        <f>'Value of counterfactual spendin'!$B$42</f>
        <v>0.005071038557</v>
      </c>
      <c r="M269" s="334">
        <f>'Value of counterfactual spendin'!$B$42</f>
        <v>0.005071038557</v>
      </c>
      <c r="N269" s="334">
        <f>'Value of counterfactual spendin'!$B$42</f>
        <v>0.005071038557</v>
      </c>
      <c r="O269" s="334">
        <f>'Value of counterfactual spendin'!$B$42</f>
        <v>0.005071038557</v>
      </c>
      <c r="P269" s="334">
        <f>'Value of counterfactual spendin'!$B$42</f>
        <v>0.005071038557</v>
      </c>
      <c r="Q269" s="334">
        <f>'Value of counterfactual spendin'!$B$42</f>
        <v>0.005071038557</v>
      </c>
      <c r="R269" s="334">
        <f>'Value of counterfactual spendin'!$B$42</f>
        <v>0.005071038557</v>
      </c>
      <c r="S269" s="334">
        <f>'Value of counterfactual spendin'!$B$42</f>
        <v>0.005071038557</v>
      </c>
      <c r="T269" s="334">
        <f>'Value of counterfactual spendin'!$B$42</f>
        <v>0.005071038557</v>
      </c>
      <c r="U269" s="334">
        <f>'Value of counterfactual spendin'!$B$42</f>
        <v>0.005071038557</v>
      </c>
      <c r="V269" s="334">
        <f>'Value of counterfactual spendin'!$B$42</f>
        <v>0.005071038557</v>
      </c>
      <c r="W269" s="334">
        <f>'Value of counterfactual spendin'!$B$42</f>
        <v>0.005071038557</v>
      </c>
      <c r="X269" s="334">
        <f>'Value of counterfactual spendin'!$B$42</f>
        <v>0.005071038557</v>
      </c>
      <c r="Y269" s="334">
        <f>'Value of counterfactual spendin'!$B$42</f>
        <v>0.005071038557</v>
      </c>
      <c r="Z269" s="334">
        <f>'Value of counterfactual spendin'!$B$42</f>
        <v>0.005071038557</v>
      </c>
      <c r="AA269" s="334">
        <f>'Value of counterfactual spendin'!$B$42</f>
        <v>0.005071038557</v>
      </c>
      <c r="AB269" s="334">
        <f>'Value of counterfactual spendin'!$B$42</f>
        <v>0.005071038557</v>
      </c>
      <c r="AC269" s="334">
        <f>'Value of counterfactual spendin'!$B$42</f>
        <v>0.005071038557</v>
      </c>
      <c r="AD269" s="334">
        <f>'Value of counterfactual spendin'!$B$42</f>
        <v>0.005071038557</v>
      </c>
      <c r="AE269" s="334">
        <f>'Value of counterfactual spendin'!$B$42</f>
        <v>0.005071038557</v>
      </c>
      <c r="AF269" s="334">
        <f>'Value of counterfactual spendin'!$B$42</f>
        <v>0.005071038557</v>
      </c>
      <c r="AG269" s="334">
        <f>'Value of counterfactual spendin'!$B$42</f>
        <v>0.005071038557</v>
      </c>
      <c r="AH269" s="334">
        <f>'Value of counterfactual spendin'!$B$42</f>
        <v>0.005071038557</v>
      </c>
      <c r="AI269" s="334">
        <f>'Value of counterfactual spendin'!$B$42</f>
        <v>0.005071038557</v>
      </c>
      <c r="AJ269" s="334">
        <f>'Value of counterfactual spendin'!$B$42</f>
        <v>0.005071038557</v>
      </c>
      <c r="AK269" s="334">
        <f>'Value of counterfactual spendin'!$B$42</f>
        <v>0.005071038557</v>
      </c>
      <c r="AL269" s="334">
        <f>'Value of counterfactual spendin'!$B$42</f>
        <v>0.005071038557</v>
      </c>
    </row>
    <row r="270" outlineLevel="1">
      <c r="A270" s="356" t="s">
        <v>758</v>
      </c>
      <c r="B270" s="334">
        <f>'Value of counterfactual spendin'!$B$47</f>
        <v>0.007</v>
      </c>
      <c r="C270" s="334">
        <f>'Value of counterfactual spendin'!$B$47</f>
        <v>0.007</v>
      </c>
      <c r="D270" s="334">
        <f>'Value of counterfactual spendin'!$B$47</f>
        <v>0.007</v>
      </c>
      <c r="E270" s="334">
        <f>'Value of counterfactual spendin'!$B$47</f>
        <v>0.007</v>
      </c>
      <c r="F270" s="334">
        <f>'Value of counterfactual spendin'!$B$47</f>
        <v>0.007</v>
      </c>
      <c r="G270" s="334">
        <f>'Value of counterfactual spendin'!$B$47</f>
        <v>0.007</v>
      </c>
      <c r="H270" s="334">
        <f>'Value of counterfactual spendin'!$B$47</f>
        <v>0.007</v>
      </c>
      <c r="I270" s="334">
        <f>'Value of counterfactual spendin'!$B$47</f>
        <v>0.007</v>
      </c>
      <c r="J270" s="334">
        <f>'Value of counterfactual spendin'!$B$47</f>
        <v>0.007</v>
      </c>
      <c r="K270" s="334">
        <f>'Value of counterfactual spendin'!$B$47</f>
        <v>0.007</v>
      </c>
      <c r="L270" s="334">
        <f>'Value of counterfactual spendin'!$B$47</f>
        <v>0.007</v>
      </c>
      <c r="M270" s="334">
        <f>'Value of counterfactual spendin'!$B$47</f>
        <v>0.007</v>
      </c>
      <c r="N270" s="334">
        <f>'Value of counterfactual spendin'!$B$47</f>
        <v>0.007</v>
      </c>
      <c r="O270" s="334">
        <f>'Value of counterfactual spendin'!$B$47</f>
        <v>0.007</v>
      </c>
      <c r="P270" s="334">
        <f>'Value of counterfactual spendin'!$B$47</f>
        <v>0.007</v>
      </c>
      <c r="Q270" s="334">
        <f>'Value of counterfactual spendin'!$B$47</f>
        <v>0.007</v>
      </c>
      <c r="R270" s="334">
        <f>'Value of counterfactual spendin'!$B$47</f>
        <v>0.007</v>
      </c>
      <c r="S270" s="334">
        <f>'Value of counterfactual spendin'!$B$47</f>
        <v>0.007</v>
      </c>
      <c r="T270" s="334">
        <f>'Value of counterfactual spendin'!$B$47</f>
        <v>0.007</v>
      </c>
      <c r="U270" s="334">
        <f>'Value of counterfactual spendin'!$B$47</f>
        <v>0.007</v>
      </c>
      <c r="V270" s="334">
        <f>'Value of counterfactual spendin'!$B$47</f>
        <v>0.007</v>
      </c>
      <c r="W270" s="334">
        <f>'Value of counterfactual spendin'!$B$47</f>
        <v>0.007</v>
      </c>
      <c r="X270" s="334">
        <f>'Value of counterfactual spendin'!$B$47</f>
        <v>0.007</v>
      </c>
      <c r="Y270" s="334">
        <f>'Value of counterfactual spendin'!$B$47</f>
        <v>0.007</v>
      </c>
      <c r="Z270" s="334">
        <f>'Value of counterfactual spendin'!$B$47</f>
        <v>0.007</v>
      </c>
      <c r="AA270" s="334">
        <f>'Value of counterfactual spendin'!$B$47</f>
        <v>0.007</v>
      </c>
      <c r="AB270" s="334">
        <f>'Value of counterfactual spendin'!$B$47</f>
        <v>0.007</v>
      </c>
      <c r="AC270" s="334">
        <f>'Value of counterfactual spendin'!$B$47</f>
        <v>0.007</v>
      </c>
      <c r="AD270" s="334">
        <f>'Value of counterfactual spendin'!$B$47</f>
        <v>0.007</v>
      </c>
      <c r="AE270" s="334">
        <f>'Value of counterfactual spendin'!$B$47</f>
        <v>0.007</v>
      </c>
      <c r="AF270" s="334">
        <f>'Value of counterfactual spendin'!$B$47</f>
        <v>0.007</v>
      </c>
      <c r="AG270" s="334">
        <f>'Value of counterfactual spendin'!$B$47</f>
        <v>0.007</v>
      </c>
      <c r="AH270" s="334">
        <f>'Value of counterfactual spendin'!$B$47</f>
        <v>0.007</v>
      </c>
      <c r="AI270" s="334">
        <f>'Value of counterfactual spendin'!$B$47</f>
        <v>0.007</v>
      </c>
      <c r="AJ270" s="334">
        <f>'Value of counterfactual spendin'!$B$47</f>
        <v>0.007</v>
      </c>
      <c r="AK270" s="334">
        <f>'Value of counterfactual spendin'!$B$47</f>
        <v>0.007</v>
      </c>
      <c r="AL270" s="334">
        <f>'Value of counterfactual spendin'!$B$47</f>
        <v>0.007</v>
      </c>
    </row>
    <row r="271" outlineLevel="1">
      <c r="A271" s="142"/>
      <c r="B271" s="650"/>
      <c r="C271" s="650"/>
      <c r="D271" s="650"/>
      <c r="E271" s="650"/>
      <c r="F271" s="650"/>
      <c r="G271" s="650"/>
      <c r="H271" s="650"/>
      <c r="I271" s="650"/>
      <c r="J271" s="650"/>
      <c r="K271" s="650"/>
      <c r="L271" s="650"/>
      <c r="M271" s="650"/>
      <c r="N271" s="650"/>
      <c r="O271" s="650"/>
      <c r="P271" s="650"/>
      <c r="Q271" s="650"/>
      <c r="R271" s="650"/>
      <c r="S271" s="650"/>
      <c r="T271" s="650"/>
      <c r="U271" s="650"/>
      <c r="V271" s="650"/>
      <c r="W271" s="650"/>
      <c r="X271" s="650"/>
      <c r="Y271" s="650"/>
      <c r="Z271" s="650"/>
      <c r="AA271" s="650"/>
      <c r="AB271" s="650"/>
      <c r="AC271" s="650"/>
      <c r="AD271" s="650"/>
      <c r="AE271" s="650"/>
      <c r="AF271" s="650"/>
      <c r="AG271" s="650"/>
      <c r="AH271" s="650"/>
      <c r="AI271" s="650"/>
      <c r="AJ271" s="650"/>
      <c r="AK271" s="650"/>
      <c r="AL271" s="650"/>
    </row>
    <row r="272" outlineLevel="1">
      <c r="A272" s="365" t="s">
        <v>759</v>
      </c>
      <c r="B272" s="242"/>
      <c r="C272" s="242"/>
      <c r="D272" s="242"/>
      <c r="E272" s="242"/>
      <c r="F272" s="242"/>
      <c r="G272" s="242"/>
      <c r="H272" s="242"/>
      <c r="I272" s="242"/>
      <c r="J272" s="242"/>
      <c r="K272" s="242"/>
      <c r="L272" s="242"/>
      <c r="M272" s="242"/>
      <c r="N272" s="242"/>
      <c r="O272" s="242"/>
      <c r="P272" s="242"/>
      <c r="Q272" s="242"/>
      <c r="R272" s="242"/>
      <c r="S272" s="242"/>
      <c r="T272" s="242"/>
      <c r="U272" s="242"/>
      <c r="V272" s="242"/>
      <c r="W272" s="242"/>
      <c r="X272" s="242"/>
      <c r="Y272" s="242"/>
      <c r="Z272" s="242"/>
      <c r="AA272" s="242"/>
      <c r="AB272" s="242"/>
      <c r="AC272" s="242"/>
      <c r="AD272" s="242"/>
      <c r="AE272" s="242"/>
      <c r="AF272" s="242"/>
      <c r="AG272" s="242"/>
      <c r="AH272" s="242"/>
      <c r="AI272" s="242"/>
      <c r="AJ272" s="242"/>
      <c r="AK272" s="242"/>
      <c r="AL272" s="242"/>
    </row>
    <row r="273" outlineLevel="1">
      <c r="A273" s="356" t="s">
        <v>760</v>
      </c>
      <c r="B273" s="92">
        <v>0.1</v>
      </c>
      <c r="C273" s="92">
        <v>0.1</v>
      </c>
      <c r="D273" s="92">
        <v>0.1</v>
      </c>
      <c r="E273" s="92">
        <v>0.1</v>
      </c>
      <c r="F273" s="92">
        <v>0.1</v>
      </c>
      <c r="G273" s="92">
        <v>0.1</v>
      </c>
      <c r="H273" s="92">
        <v>0.1</v>
      </c>
      <c r="I273" s="92">
        <v>0.1</v>
      </c>
      <c r="J273" s="92">
        <v>0.1</v>
      </c>
      <c r="K273" s="92">
        <v>0.1</v>
      </c>
      <c r="L273" s="92">
        <v>0.1</v>
      </c>
      <c r="M273" s="92">
        <v>0.1</v>
      </c>
      <c r="N273" s="92">
        <v>0.1</v>
      </c>
      <c r="O273" s="92">
        <v>0.1</v>
      </c>
      <c r="P273" s="92">
        <v>0.1</v>
      </c>
      <c r="Q273" s="92">
        <v>0.1</v>
      </c>
      <c r="R273" s="92">
        <v>0.1</v>
      </c>
      <c r="S273" s="92">
        <v>0.1</v>
      </c>
      <c r="T273" s="92">
        <v>0.1</v>
      </c>
      <c r="U273" s="92">
        <v>0.1</v>
      </c>
      <c r="V273" s="92">
        <v>0.1</v>
      </c>
      <c r="W273" s="92">
        <v>0.1</v>
      </c>
      <c r="X273" s="92">
        <v>0.1</v>
      </c>
      <c r="Y273" s="92">
        <v>0.1</v>
      </c>
      <c r="Z273" s="92">
        <v>0.1</v>
      </c>
      <c r="AA273" s="92">
        <v>0.1</v>
      </c>
      <c r="AB273" s="92">
        <v>0.1</v>
      </c>
      <c r="AC273" s="92">
        <v>0.1</v>
      </c>
      <c r="AD273" s="92">
        <v>0.1</v>
      </c>
      <c r="AE273" s="92">
        <v>0.1</v>
      </c>
      <c r="AF273" s="92">
        <v>0.1</v>
      </c>
      <c r="AG273" s="92">
        <v>0.1</v>
      </c>
      <c r="AH273" s="92">
        <v>0.1</v>
      </c>
      <c r="AI273" s="92">
        <v>0.1</v>
      </c>
      <c r="AJ273" s="92">
        <v>0.1</v>
      </c>
      <c r="AK273" s="92">
        <v>0.1</v>
      </c>
      <c r="AL273" s="92">
        <v>0.1</v>
      </c>
    </row>
    <row r="274" outlineLevel="1">
      <c r="A274" s="356" t="s">
        <v>761</v>
      </c>
      <c r="B274" s="92">
        <v>0.0</v>
      </c>
      <c r="C274" s="92">
        <v>0.0</v>
      </c>
      <c r="D274" s="92">
        <v>0.0</v>
      </c>
      <c r="E274" s="92">
        <v>0.0</v>
      </c>
      <c r="F274" s="92">
        <v>0.0</v>
      </c>
      <c r="G274" s="92">
        <v>0.0</v>
      </c>
      <c r="H274" s="92">
        <v>0.0</v>
      </c>
      <c r="I274" s="92">
        <v>0.0</v>
      </c>
      <c r="J274" s="92">
        <v>0.0</v>
      </c>
      <c r="K274" s="92">
        <v>0.0</v>
      </c>
      <c r="L274" s="92">
        <v>0.0</v>
      </c>
      <c r="M274" s="92">
        <v>0.0</v>
      </c>
      <c r="N274" s="92">
        <v>0.0</v>
      </c>
      <c r="O274" s="92">
        <v>0.0</v>
      </c>
      <c r="P274" s="92">
        <v>0.0</v>
      </c>
      <c r="Q274" s="92">
        <v>0.0</v>
      </c>
      <c r="R274" s="92">
        <v>0.0</v>
      </c>
      <c r="S274" s="92">
        <v>0.0</v>
      </c>
      <c r="T274" s="92">
        <v>0.0</v>
      </c>
      <c r="U274" s="92">
        <v>0.0</v>
      </c>
      <c r="V274" s="92">
        <v>0.0</v>
      </c>
      <c r="W274" s="92">
        <v>0.0</v>
      </c>
      <c r="X274" s="92">
        <v>0.0</v>
      </c>
      <c r="Y274" s="92">
        <v>0.0</v>
      </c>
      <c r="Z274" s="92">
        <v>0.0</v>
      </c>
      <c r="AA274" s="92">
        <v>0.0</v>
      </c>
      <c r="AB274" s="92">
        <v>0.0</v>
      </c>
      <c r="AC274" s="92">
        <v>0.0</v>
      </c>
      <c r="AD274" s="92">
        <v>0.0</v>
      </c>
      <c r="AE274" s="92">
        <v>0.0</v>
      </c>
      <c r="AF274" s="92">
        <v>0.0</v>
      </c>
      <c r="AG274" s="92">
        <v>0.0</v>
      </c>
      <c r="AH274" s="92">
        <v>0.0</v>
      </c>
      <c r="AI274" s="92">
        <v>0.0</v>
      </c>
      <c r="AJ274" s="92">
        <v>0.0</v>
      </c>
      <c r="AK274" s="92">
        <v>0.0</v>
      </c>
      <c r="AL274" s="92">
        <v>0.0</v>
      </c>
    </row>
    <row r="275" outlineLevel="1">
      <c r="A275" s="651" t="s">
        <v>762</v>
      </c>
      <c r="B275" s="92">
        <v>0.9</v>
      </c>
      <c r="C275" s="92">
        <v>0.9</v>
      </c>
      <c r="D275" s="92">
        <v>0.9</v>
      </c>
      <c r="E275" s="92">
        <v>0.9</v>
      </c>
      <c r="F275" s="92">
        <v>0.9</v>
      </c>
      <c r="G275" s="92">
        <v>0.9</v>
      </c>
      <c r="H275" s="92">
        <v>0.9</v>
      </c>
      <c r="I275" s="92">
        <v>0.9</v>
      </c>
      <c r="J275" s="92">
        <v>0.9</v>
      </c>
      <c r="K275" s="92">
        <v>0.9</v>
      </c>
      <c r="L275" s="92">
        <v>0.9</v>
      </c>
      <c r="M275" s="92">
        <v>0.9</v>
      </c>
      <c r="N275" s="92">
        <v>0.9</v>
      </c>
      <c r="O275" s="92">
        <v>0.899999999999999</v>
      </c>
      <c r="P275" s="92">
        <v>0.899999999999999</v>
      </c>
      <c r="Q275" s="92">
        <v>0.899999999999999</v>
      </c>
      <c r="R275" s="92">
        <v>0.899999999999999</v>
      </c>
      <c r="S275" s="92">
        <v>0.899999999999999</v>
      </c>
      <c r="T275" s="92">
        <v>0.899999999999999</v>
      </c>
      <c r="U275" s="92">
        <v>0.899999999999998</v>
      </c>
      <c r="V275" s="92">
        <v>0.899999999999998</v>
      </c>
      <c r="W275" s="92">
        <v>0.899999999999998</v>
      </c>
      <c r="X275" s="92">
        <v>0.899999999999998</v>
      </c>
      <c r="Y275" s="92">
        <v>0.899999999999998</v>
      </c>
      <c r="Z275" s="92">
        <v>0.899999999999998</v>
      </c>
      <c r="AA275" s="92">
        <v>0.899999999999998</v>
      </c>
      <c r="AB275" s="92">
        <v>0.899999999999997</v>
      </c>
      <c r="AC275" s="92">
        <v>0.899999999999997</v>
      </c>
      <c r="AD275" s="92">
        <v>0.899999999999997</v>
      </c>
      <c r="AE275" s="92">
        <v>0.899999999999997</v>
      </c>
      <c r="AF275" s="92">
        <v>0.899999999999997</v>
      </c>
      <c r="AG275" s="92">
        <v>0.899999999999997</v>
      </c>
      <c r="AH275" s="92">
        <v>0.899999999999997</v>
      </c>
      <c r="AI275" s="92">
        <v>0.899999999999996</v>
      </c>
      <c r="AJ275" s="92">
        <v>0.899999999999996</v>
      </c>
      <c r="AK275" s="92">
        <v>0.899999999999996</v>
      </c>
      <c r="AL275" s="92">
        <v>0.899999999999996</v>
      </c>
    </row>
    <row r="276" outlineLevel="1">
      <c r="A276" s="142"/>
      <c r="B276" s="242"/>
      <c r="C276" s="242"/>
      <c r="D276" s="242"/>
      <c r="E276" s="242"/>
      <c r="F276" s="242"/>
      <c r="G276" s="242"/>
      <c r="H276" s="242"/>
      <c r="I276" s="242"/>
      <c r="J276" s="242"/>
      <c r="K276" s="242"/>
      <c r="L276" s="242"/>
      <c r="M276" s="242"/>
      <c r="N276" s="242"/>
      <c r="O276" s="242"/>
      <c r="P276" s="242"/>
      <c r="Q276" s="242"/>
      <c r="R276" s="242"/>
      <c r="S276" s="242"/>
      <c r="T276" s="242"/>
      <c r="U276" s="242"/>
      <c r="V276" s="242"/>
      <c r="W276" s="242"/>
      <c r="X276" s="242"/>
      <c r="Y276" s="242"/>
      <c r="Z276" s="242"/>
      <c r="AA276" s="242"/>
      <c r="AB276" s="242"/>
      <c r="AC276" s="242"/>
      <c r="AD276" s="242"/>
      <c r="AE276" s="242"/>
      <c r="AF276" s="242"/>
      <c r="AG276" s="242"/>
      <c r="AH276" s="242"/>
      <c r="AI276" s="242"/>
      <c r="AJ276" s="242"/>
      <c r="AK276" s="242"/>
      <c r="AL276" s="242"/>
    </row>
    <row r="277" outlineLevel="1">
      <c r="A277" s="233" t="s">
        <v>334</v>
      </c>
      <c r="B277" s="242"/>
      <c r="C277" s="242"/>
      <c r="D277" s="242"/>
      <c r="E277" s="242"/>
      <c r="F277" s="242"/>
      <c r="G277" s="242"/>
      <c r="H277" s="242"/>
      <c r="I277" s="242"/>
      <c r="J277" s="242"/>
      <c r="K277" s="242"/>
      <c r="L277" s="242"/>
      <c r="M277" s="242"/>
      <c r="N277" s="242"/>
      <c r="O277" s="242"/>
      <c r="P277" s="242"/>
      <c r="Q277" s="242"/>
      <c r="R277" s="242"/>
      <c r="S277" s="242"/>
      <c r="T277" s="242"/>
      <c r="U277" s="242"/>
      <c r="V277" s="242"/>
      <c r="W277" s="242"/>
      <c r="X277" s="242"/>
      <c r="Y277" s="242"/>
      <c r="Z277" s="242"/>
      <c r="AA277" s="242"/>
      <c r="AB277" s="242"/>
      <c r="AC277" s="242"/>
      <c r="AD277" s="242"/>
      <c r="AE277" s="242"/>
      <c r="AF277" s="242"/>
      <c r="AG277" s="242"/>
      <c r="AH277" s="242"/>
      <c r="AI277" s="242"/>
      <c r="AJ277" s="242"/>
      <c r="AK277" s="242"/>
      <c r="AL277" s="242"/>
    </row>
    <row r="278" outlineLevel="1">
      <c r="A278" s="356" t="s">
        <v>760</v>
      </c>
      <c r="B278" s="92">
        <v>1.0</v>
      </c>
      <c r="C278" s="92">
        <v>1.0</v>
      </c>
      <c r="D278" s="92">
        <v>1.0</v>
      </c>
      <c r="E278" s="92">
        <v>1.0</v>
      </c>
      <c r="F278" s="92">
        <v>1.0</v>
      </c>
      <c r="G278" s="92">
        <v>1.0</v>
      </c>
      <c r="H278" s="92">
        <v>1.0</v>
      </c>
      <c r="I278" s="92">
        <v>1.0</v>
      </c>
      <c r="J278" s="92">
        <v>1.0</v>
      </c>
      <c r="K278" s="92">
        <v>1.0</v>
      </c>
      <c r="L278" s="92">
        <v>1.0</v>
      </c>
      <c r="M278" s="92">
        <v>1.0</v>
      </c>
      <c r="N278" s="92">
        <v>1.0</v>
      </c>
      <c r="O278" s="92">
        <v>1.0</v>
      </c>
      <c r="P278" s="92">
        <v>1.0</v>
      </c>
      <c r="Q278" s="92">
        <v>1.0</v>
      </c>
      <c r="R278" s="92">
        <v>1.0</v>
      </c>
      <c r="S278" s="92">
        <v>1.0</v>
      </c>
      <c r="T278" s="92">
        <v>1.0</v>
      </c>
      <c r="U278" s="92">
        <v>1.0</v>
      </c>
      <c r="V278" s="92">
        <v>1.0</v>
      </c>
      <c r="W278" s="92">
        <v>1.0</v>
      </c>
      <c r="X278" s="92">
        <v>1.0</v>
      </c>
      <c r="Y278" s="92">
        <v>1.0</v>
      </c>
      <c r="Z278" s="92">
        <v>1.0</v>
      </c>
      <c r="AA278" s="92">
        <v>1.0</v>
      </c>
      <c r="AB278" s="92">
        <v>1.0</v>
      </c>
      <c r="AC278" s="92">
        <v>1.0</v>
      </c>
      <c r="AD278" s="92">
        <v>1.0</v>
      </c>
      <c r="AE278" s="92">
        <v>1.0</v>
      </c>
      <c r="AF278" s="92">
        <v>1.0</v>
      </c>
      <c r="AG278" s="92">
        <v>1.0</v>
      </c>
      <c r="AH278" s="92">
        <v>1.0</v>
      </c>
      <c r="AI278" s="92">
        <v>1.0</v>
      </c>
      <c r="AJ278" s="92">
        <v>1.0</v>
      </c>
      <c r="AK278" s="92">
        <v>1.0</v>
      </c>
      <c r="AL278" s="92">
        <v>1.0</v>
      </c>
    </row>
    <row r="279" outlineLevel="1">
      <c r="A279" s="356" t="s">
        <v>761</v>
      </c>
      <c r="B279" s="92">
        <v>0.0</v>
      </c>
      <c r="C279" s="92">
        <v>0.0</v>
      </c>
      <c r="D279" s="92">
        <v>0.0</v>
      </c>
      <c r="E279" s="92">
        <v>0.0</v>
      </c>
      <c r="F279" s="92">
        <v>0.0</v>
      </c>
      <c r="G279" s="92">
        <v>0.0</v>
      </c>
      <c r="H279" s="92">
        <v>0.0</v>
      </c>
      <c r="I279" s="92">
        <v>0.0</v>
      </c>
      <c r="J279" s="92">
        <v>0.0</v>
      </c>
      <c r="K279" s="92">
        <v>0.0</v>
      </c>
      <c r="L279" s="92">
        <v>0.0</v>
      </c>
      <c r="M279" s="92">
        <v>0.0</v>
      </c>
      <c r="N279" s="92">
        <v>0.0</v>
      </c>
      <c r="O279" s="92">
        <v>0.0</v>
      </c>
      <c r="P279" s="92">
        <v>0.0</v>
      </c>
      <c r="Q279" s="92">
        <v>0.0</v>
      </c>
      <c r="R279" s="92">
        <v>0.0</v>
      </c>
      <c r="S279" s="92">
        <v>0.0</v>
      </c>
      <c r="T279" s="92">
        <v>0.0</v>
      </c>
      <c r="U279" s="92">
        <v>0.0</v>
      </c>
      <c r="V279" s="92">
        <v>0.0</v>
      </c>
      <c r="W279" s="92">
        <v>0.0</v>
      </c>
      <c r="X279" s="92">
        <v>0.0</v>
      </c>
      <c r="Y279" s="92">
        <v>0.0</v>
      </c>
      <c r="Z279" s="92">
        <v>0.0</v>
      </c>
      <c r="AA279" s="92">
        <v>0.0</v>
      </c>
      <c r="AB279" s="92">
        <v>0.0</v>
      </c>
      <c r="AC279" s="92">
        <v>0.0</v>
      </c>
      <c r="AD279" s="92">
        <v>0.0</v>
      </c>
      <c r="AE279" s="92">
        <v>0.0</v>
      </c>
      <c r="AF279" s="92">
        <v>0.0</v>
      </c>
      <c r="AG279" s="92">
        <v>0.0</v>
      </c>
      <c r="AH279" s="92">
        <v>0.0</v>
      </c>
      <c r="AI279" s="92">
        <v>0.0</v>
      </c>
      <c r="AJ279" s="92">
        <v>0.0</v>
      </c>
      <c r="AK279" s="92">
        <v>0.0</v>
      </c>
      <c r="AL279" s="92">
        <v>0.0</v>
      </c>
    </row>
    <row r="280" outlineLevel="1">
      <c r="A280" s="651" t="s">
        <v>762</v>
      </c>
      <c r="B280" s="92">
        <v>0.0</v>
      </c>
      <c r="C280" s="92">
        <v>0.0</v>
      </c>
      <c r="D280" s="92">
        <v>0.0</v>
      </c>
      <c r="E280" s="92">
        <v>0.0</v>
      </c>
      <c r="F280" s="92">
        <v>0.0</v>
      </c>
      <c r="G280" s="92">
        <v>0.0</v>
      </c>
      <c r="H280" s="92">
        <v>0.0</v>
      </c>
      <c r="I280" s="92">
        <v>0.0</v>
      </c>
      <c r="J280" s="92">
        <v>0.0</v>
      </c>
      <c r="K280" s="92">
        <v>0.0</v>
      </c>
      <c r="L280" s="92">
        <v>0.0</v>
      </c>
      <c r="M280" s="92">
        <v>0.0</v>
      </c>
      <c r="N280" s="92">
        <v>0.0</v>
      </c>
      <c r="O280" s="92">
        <v>0.0</v>
      </c>
      <c r="P280" s="92">
        <v>0.0</v>
      </c>
      <c r="Q280" s="92">
        <v>0.0</v>
      </c>
      <c r="R280" s="92">
        <v>0.0</v>
      </c>
      <c r="S280" s="92">
        <v>0.0</v>
      </c>
      <c r="T280" s="92">
        <v>0.0</v>
      </c>
      <c r="U280" s="92">
        <v>0.0</v>
      </c>
      <c r="V280" s="92">
        <v>0.0</v>
      </c>
      <c r="W280" s="92">
        <v>0.0</v>
      </c>
      <c r="X280" s="92">
        <v>0.0</v>
      </c>
      <c r="Y280" s="92">
        <v>0.0</v>
      </c>
      <c r="Z280" s="92">
        <v>0.0</v>
      </c>
      <c r="AA280" s="92">
        <v>0.0</v>
      </c>
      <c r="AB280" s="92">
        <v>0.0</v>
      </c>
      <c r="AC280" s="92">
        <v>0.0</v>
      </c>
      <c r="AD280" s="92">
        <v>0.0</v>
      </c>
      <c r="AE280" s="92">
        <v>0.0</v>
      </c>
      <c r="AF280" s="92">
        <v>0.0</v>
      </c>
      <c r="AG280" s="92">
        <v>0.0</v>
      </c>
      <c r="AH280" s="92">
        <v>0.0</v>
      </c>
      <c r="AI280" s="92">
        <v>0.0</v>
      </c>
      <c r="AJ280" s="92">
        <v>0.0</v>
      </c>
      <c r="AK280" s="92">
        <v>0.0</v>
      </c>
      <c r="AL280" s="92">
        <v>0.0</v>
      </c>
    </row>
    <row r="281" outlineLevel="1">
      <c r="A281" s="142"/>
      <c r="B281" s="242"/>
      <c r="C281" s="242"/>
      <c r="D281" s="242"/>
      <c r="E281" s="242"/>
      <c r="F281" s="242"/>
      <c r="G281" s="242"/>
      <c r="H281" s="242"/>
      <c r="I281" s="242"/>
      <c r="J281" s="242"/>
      <c r="K281" s="242"/>
      <c r="L281" s="242"/>
      <c r="M281" s="242"/>
      <c r="N281" s="242"/>
      <c r="O281" s="242"/>
      <c r="P281" s="242"/>
      <c r="Q281" s="242"/>
      <c r="R281" s="242"/>
      <c r="S281" s="242"/>
      <c r="T281" s="242"/>
      <c r="U281" s="242"/>
      <c r="V281" s="242"/>
      <c r="W281" s="242"/>
      <c r="X281" s="242"/>
      <c r="Y281" s="242"/>
      <c r="Z281" s="242"/>
      <c r="AA281" s="242"/>
      <c r="AB281" s="242"/>
      <c r="AC281" s="242"/>
      <c r="AD281" s="242"/>
      <c r="AE281" s="242"/>
      <c r="AF281" s="242"/>
      <c r="AG281" s="242"/>
      <c r="AH281" s="242"/>
      <c r="AI281" s="242"/>
      <c r="AJ281" s="242"/>
      <c r="AK281" s="242"/>
      <c r="AL281" s="242"/>
    </row>
    <row r="282" outlineLevel="1">
      <c r="A282" s="365" t="s">
        <v>763</v>
      </c>
      <c r="B282" s="242"/>
      <c r="C282" s="242"/>
      <c r="D282" s="242"/>
      <c r="E282" s="242"/>
      <c r="F282" s="242"/>
      <c r="G282" s="242"/>
      <c r="H282" s="242"/>
      <c r="I282" s="242"/>
      <c r="J282" s="242"/>
      <c r="K282" s="242"/>
      <c r="L282" s="242"/>
      <c r="M282" s="242"/>
      <c r="N282" s="242"/>
      <c r="O282" s="242"/>
      <c r="P282" s="242"/>
      <c r="Q282" s="242"/>
      <c r="R282" s="242"/>
      <c r="S282" s="242"/>
      <c r="T282" s="242"/>
      <c r="U282" s="242"/>
      <c r="V282" s="242"/>
      <c r="W282" s="242"/>
      <c r="X282" s="242"/>
      <c r="Y282" s="242"/>
      <c r="Z282" s="242"/>
      <c r="AA282" s="242"/>
      <c r="AB282" s="242"/>
      <c r="AC282" s="242"/>
      <c r="AD282" s="242"/>
      <c r="AE282" s="242"/>
      <c r="AF282" s="242"/>
      <c r="AG282" s="242"/>
      <c r="AH282" s="242"/>
      <c r="AI282" s="242"/>
      <c r="AJ282" s="242"/>
      <c r="AK282" s="242"/>
      <c r="AL282" s="242"/>
    </row>
    <row r="283" outlineLevel="1">
      <c r="A283" s="356" t="s">
        <v>760</v>
      </c>
      <c r="B283" s="242"/>
      <c r="C283" s="242"/>
      <c r="D283" s="242"/>
      <c r="E283" s="242"/>
      <c r="F283" s="242"/>
      <c r="G283" s="242"/>
      <c r="H283" s="242"/>
      <c r="I283" s="242"/>
      <c r="J283" s="242"/>
      <c r="K283" s="242"/>
      <c r="L283" s="242"/>
      <c r="M283" s="242"/>
      <c r="N283" s="242"/>
      <c r="O283" s="242"/>
      <c r="P283" s="242"/>
      <c r="Q283" s="242"/>
      <c r="R283" s="242"/>
      <c r="S283" s="242"/>
      <c r="T283" s="242"/>
      <c r="U283" s="242"/>
      <c r="V283" s="242"/>
      <c r="W283" s="242"/>
      <c r="X283" s="242"/>
      <c r="Y283" s="242"/>
      <c r="Z283" s="242"/>
      <c r="AA283" s="242"/>
      <c r="AB283" s="242"/>
      <c r="AC283" s="242"/>
      <c r="AD283" s="242"/>
      <c r="AE283" s="242"/>
      <c r="AF283" s="242"/>
      <c r="AG283" s="242"/>
      <c r="AH283" s="242"/>
      <c r="AI283" s="242"/>
      <c r="AJ283" s="242"/>
      <c r="AK283" s="242"/>
      <c r="AL283" s="242"/>
    </row>
    <row r="284" outlineLevel="1">
      <c r="A284" s="356" t="s">
        <v>764</v>
      </c>
      <c r="B284" s="427">
        <f t="shared" ref="B284:AL284" si="100">B265</f>
        <v>100000</v>
      </c>
      <c r="C284" s="427">
        <f t="shared" si="100"/>
        <v>100000</v>
      </c>
      <c r="D284" s="427">
        <f t="shared" si="100"/>
        <v>100000</v>
      </c>
      <c r="E284" s="427">
        <f t="shared" si="100"/>
        <v>100000</v>
      </c>
      <c r="F284" s="427">
        <f t="shared" si="100"/>
        <v>100000</v>
      </c>
      <c r="G284" s="427">
        <f t="shared" si="100"/>
        <v>100000</v>
      </c>
      <c r="H284" s="427">
        <f t="shared" si="100"/>
        <v>100000</v>
      </c>
      <c r="I284" s="427">
        <f t="shared" si="100"/>
        <v>100000</v>
      </c>
      <c r="J284" s="427">
        <f t="shared" si="100"/>
        <v>100000</v>
      </c>
      <c r="K284" s="427">
        <f t="shared" si="100"/>
        <v>100000</v>
      </c>
      <c r="L284" s="427">
        <f t="shared" si="100"/>
        <v>100000</v>
      </c>
      <c r="M284" s="427">
        <f t="shared" si="100"/>
        <v>100000</v>
      </c>
      <c r="N284" s="427">
        <f t="shared" si="100"/>
        <v>100000</v>
      </c>
      <c r="O284" s="427">
        <f t="shared" si="100"/>
        <v>100000</v>
      </c>
      <c r="P284" s="427">
        <f t="shared" si="100"/>
        <v>100000</v>
      </c>
      <c r="Q284" s="427">
        <f t="shared" si="100"/>
        <v>100000</v>
      </c>
      <c r="R284" s="427">
        <f t="shared" si="100"/>
        <v>100000</v>
      </c>
      <c r="S284" s="427">
        <f t="shared" si="100"/>
        <v>100000</v>
      </c>
      <c r="T284" s="427">
        <f t="shared" si="100"/>
        <v>100000</v>
      </c>
      <c r="U284" s="427">
        <f t="shared" si="100"/>
        <v>100000</v>
      </c>
      <c r="V284" s="427">
        <f t="shared" si="100"/>
        <v>100000</v>
      </c>
      <c r="W284" s="427">
        <f t="shared" si="100"/>
        <v>100000</v>
      </c>
      <c r="X284" s="427">
        <f t="shared" si="100"/>
        <v>100000</v>
      </c>
      <c r="Y284" s="427">
        <f t="shared" si="100"/>
        <v>100000</v>
      </c>
      <c r="Z284" s="427">
        <f t="shared" si="100"/>
        <v>100000</v>
      </c>
      <c r="AA284" s="427">
        <f t="shared" si="100"/>
        <v>100000</v>
      </c>
      <c r="AB284" s="427">
        <f t="shared" si="100"/>
        <v>100000</v>
      </c>
      <c r="AC284" s="427">
        <f t="shared" si="100"/>
        <v>100000</v>
      </c>
      <c r="AD284" s="427">
        <f t="shared" si="100"/>
        <v>100000</v>
      </c>
      <c r="AE284" s="427">
        <f t="shared" si="100"/>
        <v>100000</v>
      </c>
      <c r="AF284" s="427">
        <f t="shared" si="100"/>
        <v>100000</v>
      </c>
      <c r="AG284" s="427">
        <f t="shared" si="100"/>
        <v>100000</v>
      </c>
      <c r="AH284" s="427">
        <f t="shared" si="100"/>
        <v>100000</v>
      </c>
      <c r="AI284" s="427">
        <f t="shared" si="100"/>
        <v>100000</v>
      </c>
      <c r="AJ284" s="427">
        <f t="shared" si="100"/>
        <v>100000</v>
      </c>
      <c r="AK284" s="427">
        <f t="shared" si="100"/>
        <v>100000</v>
      </c>
      <c r="AL284" s="427">
        <f t="shared" si="100"/>
        <v>100000</v>
      </c>
    </row>
    <row r="285" outlineLevel="1">
      <c r="A285" s="356" t="s">
        <v>765</v>
      </c>
      <c r="B285" s="100">
        <v>0.0</v>
      </c>
      <c r="C285" s="100">
        <v>0.0</v>
      </c>
      <c r="D285" s="100">
        <v>0.0</v>
      </c>
      <c r="E285" s="100">
        <v>0.0</v>
      </c>
      <c r="F285" s="100">
        <v>0.0</v>
      </c>
      <c r="G285" s="100">
        <v>0.0</v>
      </c>
      <c r="H285" s="100">
        <v>0.0</v>
      </c>
      <c r="I285" s="100">
        <v>0.0</v>
      </c>
      <c r="J285" s="100">
        <v>0.0</v>
      </c>
      <c r="K285" s="100">
        <v>0.0</v>
      </c>
      <c r="L285" s="100">
        <v>0.0</v>
      </c>
      <c r="M285" s="100">
        <v>0.0</v>
      </c>
      <c r="N285" s="100">
        <v>0.0</v>
      </c>
      <c r="O285" s="100">
        <v>0.0</v>
      </c>
      <c r="P285" s="100">
        <v>0.0</v>
      </c>
      <c r="Q285" s="100">
        <v>0.0</v>
      </c>
      <c r="R285" s="100">
        <v>0.0</v>
      </c>
      <c r="S285" s="100">
        <v>0.0</v>
      </c>
      <c r="T285" s="100">
        <v>0.0</v>
      </c>
      <c r="U285" s="100">
        <v>0.0</v>
      </c>
      <c r="V285" s="100">
        <v>0.0</v>
      </c>
      <c r="W285" s="100">
        <v>0.0</v>
      </c>
      <c r="X285" s="100">
        <v>0.0</v>
      </c>
      <c r="Y285" s="100">
        <v>0.0</v>
      </c>
      <c r="Z285" s="100">
        <v>0.0</v>
      </c>
      <c r="AA285" s="100">
        <v>0.0</v>
      </c>
      <c r="AB285" s="100">
        <v>0.0</v>
      </c>
      <c r="AC285" s="100">
        <v>0.0</v>
      </c>
      <c r="AD285" s="100">
        <v>0.0</v>
      </c>
      <c r="AE285" s="100">
        <v>0.0</v>
      </c>
      <c r="AF285" s="100">
        <v>0.0</v>
      </c>
      <c r="AG285" s="100">
        <v>0.0</v>
      </c>
      <c r="AH285" s="100">
        <v>0.0</v>
      </c>
      <c r="AI285" s="100">
        <v>0.0</v>
      </c>
      <c r="AJ285" s="100">
        <v>0.0</v>
      </c>
      <c r="AK285" s="100">
        <v>0.0</v>
      </c>
      <c r="AL285" s="100">
        <v>0.0</v>
      </c>
    </row>
    <row r="286" outlineLevel="1">
      <c r="A286" s="142"/>
      <c r="B286" s="242"/>
      <c r="C286" s="242"/>
      <c r="D286" s="242"/>
      <c r="E286" s="242"/>
      <c r="F286" s="242"/>
      <c r="G286" s="242"/>
      <c r="H286" s="242"/>
      <c r="I286" s="242"/>
      <c r="J286" s="242"/>
      <c r="K286" s="242"/>
      <c r="L286" s="242"/>
      <c r="M286" s="242"/>
      <c r="N286" s="242"/>
      <c r="O286" s="242"/>
      <c r="P286" s="242"/>
      <c r="Q286" s="242"/>
      <c r="R286" s="242"/>
      <c r="S286" s="242"/>
      <c r="T286" s="242"/>
      <c r="U286" s="242"/>
      <c r="V286" s="242"/>
      <c r="W286" s="242"/>
      <c r="X286" s="242"/>
      <c r="Y286" s="242"/>
      <c r="Z286" s="242"/>
      <c r="AA286" s="242"/>
      <c r="AB286" s="242"/>
      <c r="AC286" s="242"/>
      <c r="AD286" s="242"/>
      <c r="AE286" s="242"/>
      <c r="AF286" s="242"/>
      <c r="AG286" s="242"/>
      <c r="AH286" s="242"/>
      <c r="AI286" s="242"/>
      <c r="AJ286" s="242"/>
      <c r="AK286" s="242"/>
      <c r="AL286" s="242"/>
    </row>
    <row r="287" outlineLevel="1">
      <c r="A287" s="356" t="s">
        <v>761</v>
      </c>
      <c r="B287" s="100"/>
      <c r="C287" s="100"/>
      <c r="D287" s="100"/>
      <c r="E287" s="100"/>
      <c r="F287" s="100"/>
      <c r="G287" s="100"/>
      <c r="H287" s="100"/>
      <c r="I287" s="100"/>
      <c r="J287" s="100"/>
      <c r="K287" s="100"/>
      <c r="L287" s="100"/>
      <c r="M287" s="100"/>
      <c r="N287" s="100"/>
      <c r="O287" s="100"/>
      <c r="P287" s="100"/>
      <c r="Q287" s="100"/>
      <c r="R287" s="100"/>
      <c r="S287" s="100"/>
      <c r="T287" s="100"/>
      <c r="U287" s="100"/>
      <c r="V287" s="100"/>
      <c r="W287" s="100"/>
      <c r="X287" s="100"/>
      <c r="Y287" s="100"/>
      <c r="Z287" s="100"/>
      <c r="AA287" s="100"/>
      <c r="AB287" s="100"/>
      <c r="AC287" s="100"/>
      <c r="AD287" s="100"/>
      <c r="AE287" s="100"/>
      <c r="AF287" s="100"/>
      <c r="AG287" s="100"/>
      <c r="AH287" s="100"/>
      <c r="AI287" s="100"/>
      <c r="AJ287" s="100"/>
      <c r="AK287" s="100"/>
      <c r="AL287" s="100"/>
    </row>
    <row r="288" outlineLevel="1">
      <c r="A288" s="356" t="s">
        <v>764</v>
      </c>
      <c r="B288" s="100">
        <v>0.0</v>
      </c>
      <c r="C288" s="100">
        <v>0.0</v>
      </c>
      <c r="D288" s="100">
        <v>0.0</v>
      </c>
      <c r="E288" s="100">
        <v>0.0</v>
      </c>
      <c r="F288" s="100">
        <v>0.0</v>
      </c>
      <c r="G288" s="100">
        <v>0.0</v>
      </c>
      <c r="H288" s="100">
        <v>0.0</v>
      </c>
      <c r="I288" s="100">
        <v>0.0</v>
      </c>
      <c r="J288" s="100">
        <v>0.0</v>
      </c>
      <c r="K288" s="100">
        <v>0.0</v>
      </c>
      <c r="L288" s="100">
        <v>0.0</v>
      </c>
      <c r="M288" s="100">
        <v>0.0</v>
      </c>
      <c r="N288" s="100">
        <v>0.0</v>
      </c>
      <c r="O288" s="100">
        <v>0.0</v>
      </c>
      <c r="P288" s="100">
        <v>0.0</v>
      </c>
      <c r="Q288" s="100">
        <v>0.0</v>
      </c>
      <c r="R288" s="100">
        <v>0.0</v>
      </c>
      <c r="S288" s="100">
        <v>0.0</v>
      </c>
      <c r="T288" s="100">
        <v>0.0</v>
      </c>
      <c r="U288" s="100">
        <v>0.0</v>
      </c>
      <c r="V288" s="100">
        <v>0.0</v>
      </c>
      <c r="W288" s="100">
        <v>0.0</v>
      </c>
      <c r="X288" s="100">
        <v>0.0</v>
      </c>
      <c r="Y288" s="100">
        <v>0.0</v>
      </c>
      <c r="Z288" s="100">
        <v>0.0</v>
      </c>
      <c r="AA288" s="100">
        <v>0.0</v>
      </c>
      <c r="AB288" s="100">
        <v>0.0</v>
      </c>
      <c r="AC288" s="100">
        <v>0.0</v>
      </c>
      <c r="AD288" s="100">
        <v>0.0</v>
      </c>
      <c r="AE288" s="100">
        <v>0.0</v>
      </c>
      <c r="AF288" s="100">
        <v>0.0</v>
      </c>
      <c r="AG288" s="100">
        <v>0.0</v>
      </c>
      <c r="AH288" s="100">
        <v>0.0</v>
      </c>
      <c r="AI288" s="100">
        <v>0.0</v>
      </c>
      <c r="AJ288" s="100">
        <v>0.0</v>
      </c>
      <c r="AK288" s="100">
        <v>0.0</v>
      </c>
      <c r="AL288" s="100">
        <v>0.0</v>
      </c>
    </row>
    <row r="289" outlineLevel="1">
      <c r="A289" s="356" t="s">
        <v>765</v>
      </c>
      <c r="B289" s="100">
        <v>0.0</v>
      </c>
      <c r="C289" s="100">
        <v>0.0</v>
      </c>
      <c r="D289" s="100">
        <v>0.0</v>
      </c>
      <c r="E289" s="100">
        <v>0.0</v>
      </c>
      <c r="F289" s="100">
        <v>0.0</v>
      </c>
      <c r="G289" s="100">
        <v>0.0</v>
      </c>
      <c r="H289" s="100">
        <v>0.0</v>
      </c>
      <c r="I289" s="100">
        <v>0.0</v>
      </c>
      <c r="J289" s="100">
        <v>0.0</v>
      </c>
      <c r="K289" s="100">
        <v>0.0</v>
      </c>
      <c r="L289" s="100">
        <v>0.0</v>
      </c>
      <c r="M289" s="100">
        <v>0.0</v>
      </c>
      <c r="N289" s="100">
        <v>0.0</v>
      </c>
      <c r="O289" s="100">
        <v>0.0</v>
      </c>
      <c r="P289" s="100">
        <v>0.0</v>
      </c>
      <c r="Q289" s="100">
        <v>0.0</v>
      </c>
      <c r="R289" s="100">
        <v>0.0</v>
      </c>
      <c r="S289" s="100">
        <v>0.0</v>
      </c>
      <c r="T289" s="100">
        <v>0.0</v>
      </c>
      <c r="U289" s="100">
        <v>0.0</v>
      </c>
      <c r="V289" s="100">
        <v>0.0</v>
      </c>
      <c r="W289" s="100">
        <v>0.0</v>
      </c>
      <c r="X289" s="100">
        <v>0.0</v>
      </c>
      <c r="Y289" s="100">
        <v>0.0</v>
      </c>
      <c r="Z289" s="100">
        <v>0.0</v>
      </c>
      <c r="AA289" s="100">
        <v>0.0</v>
      </c>
      <c r="AB289" s="100">
        <v>0.0</v>
      </c>
      <c r="AC289" s="100">
        <v>0.0</v>
      </c>
      <c r="AD289" s="100">
        <v>0.0</v>
      </c>
      <c r="AE289" s="100">
        <v>0.0</v>
      </c>
      <c r="AF289" s="100">
        <v>0.0</v>
      </c>
      <c r="AG289" s="100">
        <v>0.0</v>
      </c>
      <c r="AH289" s="100">
        <v>0.0</v>
      </c>
      <c r="AI289" s="100">
        <v>0.0</v>
      </c>
      <c r="AJ289" s="100">
        <v>0.0</v>
      </c>
      <c r="AK289" s="100">
        <v>0.0</v>
      </c>
      <c r="AL289" s="100">
        <v>0.0</v>
      </c>
    </row>
    <row r="290" outlineLevel="1">
      <c r="A290" s="142"/>
      <c r="B290" s="242"/>
      <c r="C290" s="242"/>
      <c r="D290" s="242"/>
      <c r="E290" s="242"/>
      <c r="F290" s="242"/>
      <c r="G290" s="242"/>
      <c r="H290" s="242"/>
      <c r="I290" s="242"/>
      <c r="J290" s="242"/>
      <c r="K290" s="242"/>
      <c r="L290" s="242"/>
      <c r="M290" s="242"/>
      <c r="N290" s="242"/>
      <c r="O290" s="242"/>
      <c r="P290" s="242"/>
      <c r="Q290" s="242"/>
      <c r="R290" s="242"/>
      <c r="S290" s="242"/>
      <c r="T290" s="242"/>
      <c r="U290" s="242"/>
      <c r="V290" s="242"/>
      <c r="W290" s="242"/>
      <c r="X290" s="242"/>
      <c r="Y290" s="242"/>
      <c r="Z290" s="242"/>
      <c r="AA290" s="242"/>
      <c r="AB290" s="242"/>
      <c r="AC290" s="242"/>
      <c r="AD290" s="242"/>
      <c r="AE290" s="242"/>
      <c r="AF290" s="242"/>
      <c r="AG290" s="242"/>
      <c r="AH290" s="242"/>
      <c r="AI290" s="242"/>
      <c r="AJ290" s="242"/>
      <c r="AK290" s="242"/>
      <c r="AL290" s="242"/>
    </row>
    <row r="291" outlineLevel="1">
      <c r="A291" s="651" t="s">
        <v>762</v>
      </c>
      <c r="B291" s="242"/>
      <c r="C291" s="242"/>
      <c r="D291" s="242"/>
      <c r="E291" s="242"/>
      <c r="F291" s="242"/>
      <c r="G291" s="242"/>
      <c r="H291" s="242"/>
      <c r="I291" s="242"/>
      <c r="J291" s="242"/>
      <c r="K291" s="242"/>
      <c r="L291" s="242"/>
      <c r="M291" s="242"/>
      <c r="N291" s="242"/>
      <c r="O291" s="242"/>
      <c r="P291" s="242"/>
      <c r="Q291" s="242"/>
      <c r="R291" s="242"/>
      <c r="S291" s="242"/>
      <c r="T291" s="242"/>
      <c r="U291" s="242"/>
      <c r="V291" s="242"/>
      <c r="W291" s="242"/>
      <c r="X291" s="242"/>
      <c r="Y291" s="242"/>
      <c r="Z291" s="242"/>
      <c r="AA291" s="242"/>
      <c r="AB291" s="242"/>
      <c r="AC291" s="242"/>
      <c r="AD291" s="242"/>
      <c r="AE291" s="242"/>
      <c r="AF291" s="242"/>
      <c r="AG291" s="242"/>
      <c r="AH291" s="242"/>
      <c r="AI291" s="242"/>
      <c r="AJ291" s="242"/>
      <c r="AK291" s="242"/>
      <c r="AL291" s="242"/>
    </row>
    <row r="292" outlineLevel="1">
      <c r="A292" s="356" t="s">
        <v>764</v>
      </c>
      <c r="B292" s="427">
        <f t="shared" ref="B292:AL292" si="101">-B260</f>
        <v>-9020.054826</v>
      </c>
      <c r="C292" s="427">
        <f t="shared" si="101"/>
        <v>-20699.32638</v>
      </c>
      <c r="D292" s="427">
        <f t="shared" si="101"/>
        <v>-11881.39007</v>
      </c>
      <c r="E292" s="427">
        <f t="shared" si="101"/>
        <v>-14513.21011</v>
      </c>
      <c r="F292" s="427">
        <f t="shared" si="101"/>
        <v>-48198.72502</v>
      </c>
      <c r="G292" s="427">
        <f t="shared" si="101"/>
        <v>-16985.94753</v>
      </c>
      <c r="H292" s="427">
        <f t="shared" si="101"/>
        <v>-17062.7613</v>
      </c>
      <c r="I292" s="427">
        <f t="shared" si="101"/>
        <v>-43620.92188</v>
      </c>
      <c r="J292" s="427">
        <f t="shared" si="101"/>
        <v>-6128.403393</v>
      </c>
      <c r="K292" s="427">
        <f t="shared" si="101"/>
        <v>-15652.66734</v>
      </c>
      <c r="L292" s="427">
        <f t="shared" si="101"/>
        <v>-1096.640546</v>
      </c>
      <c r="M292" s="427">
        <f t="shared" si="101"/>
        <v>-7749.321984</v>
      </c>
      <c r="N292" s="427">
        <f t="shared" si="101"/>
        <v>-4106.28957</v>
      </c>
      <c r="O292" s="427">
        <f t="shared" si="101"/>
        <v>-2613.594088</v>
      </c>
      <c r="P292" s="427">
        <f t="shared" si="101"/>
        <v>-5745.542452</v>
      </c>
      <c r="Q292" s="427">
        <f t="shared" si="101"/>
        <v>-32816.96833</v>
      </c>
      <c r="R292" s="427">
        <f t="shared" si="101"/>
        <v>-5231.038964</v>
      </c>
      <c r="S292" s="427">
        <f t="shared" si="101"/>
        <v>-38725.24559</v>
      </c>
      <c r="T292" s="427">
        <f t="shared" si="101"/>
        <v>-30237.02846</v>
      </c>
      <c r="U292" s="427">
        <f t="shared" si="101"/>
        <v>-42526.86622</v>
      </c>
      <c r="V292" s="427">
        <f t="shared" si="101"/>
        <v>-49657.86963</v>
      </c>
      <c r="W292" s="427">
        <f t="shared" si="101"/>
        <v>-52530.30961</v>
      </c>
      <c r="X292" s="427">
        <f t="shared" si="101"/>
        <v>-14444.42148</v>
      </c>
      <c r="Y292" s="427">
        <f t="shared" si="101"/>
        <v>-27426.12352</v>
      </c>
      <c r="Z292" s="427">
        <f t="shared" si="101"/>
        <v>-6170.298548</v>
      </c>
      <c r="AA292" s="427">
        <f t="shared" si="101"/>
        <v>-23609.50242</v>
      </c>
      <c r="AB292" s="427">
        <f t="shared" si="101"/>
        <v>-36512.9545</v>
      </c>
      <c r="AC292" s="427">
        <f t="shared" si="101"/>
        <v>-30159.22505</v>
      </c>
      <c r="AD292" s="427">
        <f t="shared" si="101"/>
        <v>-22149.13586</v>
      </c>
      <c r="AE292" s="427">
        <f t="shared" si="101"/>
        <v>-8353.375657</v>
      </c>
      <c r="AF292" s="427">
        <f t="shared" si="101"/>
        <v>-22458.79087</v>
      </c>
      <c r="AG292" s="427">
        <f t="shared" si="101"/>
        <v>-16148.58595</v>
      </c>
      <c r="AH292" s="427">
        <f t="shared" si="101"/>
        <v>-8238.36569</v>
      </c>
      <c r="AI292" s="427">
        <f t="shared" si="101"/>
        <v>-90044.82139</v>
      </c>
      <c r="AJ292" s="427">
        <f t="shared" si="101"/>
        <v>-24744.87608</v>
      </c>
      <c r="AK292" s="427">
        <f t="shared" si="101"/>
        <v>-20361.06987</v>
      </c>
      <c r="AL292" s="427">
        <f t="shared" si="101"/>
        <v>-51858.80227</v>
      </c>
    </row>
    <row r="293" outlineLevel="1">
      <c r="A293" s="356" t="s">
        <v>765</v>
      </c>
      <c r="B293" s="427">
        <f t="shared" ref="B293:AL293" si="102">-B261</f>
        <v>-7534.162643</v>
      </c>
      <c r="C293" s="427">
        <f t="shared" si="102"/>
        <v>-17289.48378</v>
      </c>
      <c r="D293" s="427">
        <f t="shared" si="102"/>
        <v>-9924.14425</v>
      </c>
      <c r="E293" s="427">
        <f t="shared" si="102"/>
        <v>-12122.41916</v>
      </c>
      <c r="F293" s="427">
        <f t="shared" si="102"/>
        <v>-40258.84992</v>
      </c>
      <c r="G293" s="427">
        <f t="shared" si="102"/>
        <v>-14187.81746</v>
      </c>
      <c r="H293" s="427">
        <f t="shared" si="102"/>
        <v>-14251.97754</v>
      </c>
      <c r="I293" s="427">
        <f t="shared" si="102"/>
        <v>-36435.15771</v>
      </c>
      <c r="J293" s="427">
        <f t="shared" si="102"/>
        <v>-5118.858898</v>
      </c>
      <c r="K293" s="427">
        <f t="shared" si="102"/>
        <v>-13074.17126</v>
      </c>
      <c r="L293" s="427">
        <f t="shared" si="102"/>
        <v>-915.9886932</v>
      </c>
      <c r="M293" s="427">
        <f t="shared" si="102"/>
        <v>-6472.760236</v>
      </c>
      <c r="N293" s="427">
        <f t="shared" si="102"/>
        <v>-3429.852044</v>
      </c>
      <c r="O293" s="427">
        <f t="shared" si="102"/>
        <v>-2183.051359</v>
      </c>
      <c r="P293" s="427">
        <f t="shared" si="102"/>
        <v>-4799.067428</v>
      </c>
      <c r="Q293" s="427">
        <f t="shared" si="102"/>
        <v>-27410.96164</v>
      </c>
      <c r="R293" s="427">
        <f t="shared" si="102"/>
        <v>-4369.319157</v>
      </c>
      <c r="S293" s="427">
        <f t="shared" si="102"/>
        <v>-32345.95624</v>
      </c>
      <c r="T293" s="427">
        <f t="shared" si="102"/>
        <v>-25256.02057</v>
      </c>
      <c r="U293" s="427">
        <f t="shared" si="102"/>
        <v>-35521.32808</v>
      </c>
      <c r="V293" s="427">
        <f t="shared" si="102"/>
        <v>-41477.62664</v>
      </c>
      <c r="W293" s="427">
        <f t="shared" si="102"/>
        <v>-43876.88367</v>
      </c>
      <c r="X293" s="427">
        <f t="shared" si="102"/>
        <v>-12064.96223</v>
      </c>
      <c r="Y293" s="427">
        <f t="shared" si="102"/>
        <v>-22908.16179</v>
      </c>
      <c r="Z293" s="427">
        <f t="shared" si="102"/>
        <v>-5153.852578</v>
      </c>
      <c r="AA293" s="427">
        <f t="shared" si="102"/>
        <v>-19720.26053</v>
      </c>
      <c r="AB293" s="427">
        <f t="shared" si="102"/>
        <v>-30498.10041</v>
      </c>
      <c r="AC293" s="427">
        <f t="shared" si="102"/>
        <v>-25191.03388</v>
      </c>
      <c r="AD293" s="427">
        <f t="shared" si="102"/>
        <v>-18500.46315</v>
      </c>
      <c r="AE293" s="427">
        <f t="shared" si="102"/>
        <v>-6977.306905</v>
      </c>
      <c r="AF293" s="427">
        <f t="shared" si="102"/>
        <v>-18759.10806</v>
      </c>
      <c r="AG293" s="427">
        <f t="shared" si="102"/>
        <v>-13488.39618</v>
      </c>
      <c r="AH293" s="427">
        <f t="shared" si="102"/>
        <v>-6881.242766</v>
      </c>
      <c r="AI293" s="427">
        <f t="shared" si="102"/>
        <v>-75211.55277</v>
      </c>
      <c r="AJ293" s="427">
        <f t="shared" si="102"/>
        <v>-20668.60175</v>
      </c>
      <c r="AK293" s="427">
        <f t="shared" si="102"/>
        <v>-17006.94895</v>
      </c>
      <c r="AL293" s="427">
        <f t="shared" si="102"/>
        <v>-43315.99512</v>
      </c>
    </row>
    <row r="294" outlineLevel="1">
      <c r="A294" s="142"/>
      <c r="B294" s="242"/>
      <c r="C294" s="242"/>
      <c r="D294" s="242"/>
      <c r="E294" s="242"/>
      <c r="F294" s="242"/>
      <c r="G294" s="242"/>
      <c r="H294" s="242"/>
      <c r="I294" s="242"/>
      <c r="J294" s="242"/>
      <c r="K294" s="242"/>
      <c r="L294" s="242"/>
      <c r="M294" s="242"/>
      <c r="N294" s="242"/>
      <c r="O294" s="242"/>
      <c r="P294" s="242"/>
      <c r="Q294" s="242"/>
      <c r="R294" s="242"/>
      <c r="S294" s="242"/>
      <c r="T294" s="242"/>
      <c r="U294" s="242"/>
      <c r="V294" s="242"/>
      <c r="W294" s="242"/>
      <c r="X294" s="242"/>
      <c r="Y294" s="242"/>
      <c r="Z294" s="242"/>
      <c r="AA294" s="242"/>
      <c r="AB294" s="242"/>
      <c r="AC294" s="242"/>
      <c r="AD294" s="242"/>
      <c r="AE294" s="242"/>
      <c r="AF294" s="242"/>
      <c r="AG294" s="242"/>
      <c r="AH294" s="242"/>
      <c r="AI294" s="242"/>
      <c r="AJ294" s="242"/>
      <c r="AK294" s="242"/>
      <c r="AL294" s="242"/>
    </row>
    <row r="295" outlineLevel="1">
      <c r="A295" s="652" t="s">
        <v>766</v>
      </c>
      <c r="B295" s="95"/>
      <c r="C295" s="95"/>
      <c r="D295" s="95"/>
      <c r="E295" s="95"/>
      <c r="F295" s="95"/>
      <c r="G295" s="95"/>
      <c r="H295" s="95"/>
      <c r="I295" s="95"/>
      <c r="J295" s="95"/>
      <c r="K295" s="95"/>
      <c r="L295" s="95"/>
      <c r="M295" s="95"/>
      <c r="N295" s="95"/>
      <c r="O295" s="95"/>
      <c r="P295" s="95"/>
      <c r="Q295" s="95"/>
      <c r="R295" s="95"/>
      <c r="S295" s="95"/>
      <c r="T295" s="95"/>
      <c r="U295" s="95"/>
      <c r="V295" s="95"/>
      <c r="W295" s="95"/>
      <c r="X295" s="95"/>
      <c r="Y295" s="95"/>
      <c r="Z295" s="95"/>
      <c r="AA295" s="95"/>
      <c r="AB295" s="95"/>
      <c r="AC295" s="95"/>
      <c r="AD295" s="95"/>
      <c r="AE295" s="95"/>
      <c r="AF295" s="95"/>
      <c r="AG295" s="95"/>
      <c r="AH295" s="95"/>
      <c r="AI295" s="95"/>
      <c r="AJ295" s="95"/>
      <c r="AK295" s="95"/>
      <c r="AL295" s="95"/>
    </row>
    <row r="296" outlineLevel="1">
      <c r="A296" s="142" t="s">
        <v>217</v>
      </c>
      <c r="B296" s="95"/>
      <c r="C296" s="95"/>
      <c r="D296" s="95"/>
      <c r="E296" s="95"/>
      <c r="F296" s="95"/>
      <c r="G296" s="95"/>
      <c r="H296" s="95"/>
      <c r="I296" s="95"/>
      <c r="J296" s="95"/>
      <c r="K296" s="95"/>
      <c r="L296" s="95"/>
      <c r="M296" s="95"/>
      <c r="N296" s="95"/>
      <c r="O296" s="95"/>
      <c r="P296" s="95"/>
      <c r="Q296" s="95"/>
      <c r="R296" s="95"/>
      <c r="S296" s="95"/>
      <c r="T296" s="95"/>
      <c r="U296" s="95"/>
      <c r="V296" s="95"/>
      <c r="W296" s="95"/>
      <c r="X296" s="95"/>
      <c r="Y296" s="95"/>
      <c r="Z296" s="95"/>
      <c r="AA296" s="95"/>
      <c r="AB296" s="95"/>
      <c r="AC296" s="95"/>
      <c r="AD296" s="95"/>
      <c r="AE296" s="95"/>
      <c r="AF296" s="95"/>
      <c r="AG296" s="95"/>
      <c r="AH296" s="95"/>
      <c r="AI296" s="95"/>
      <c r="AJ296" s="95"/>
      <c r="AK296" s="95"/>
      <c r="AL296" s="95"/>
    </row>
    <row r="297" outlineLevel="1">
      <c r="A297" s="356" t="s">
        <v>764</v>
      </c>
      <c r="B297" s="168">
        <f t="shared" ref="B297:AL297" si="103">B284*B$252</f>
        <v>774.2919145</v>
      </c>
      <c r="C297" s="168">
        <f t="shared" si="103"/>
        <v>1815.520194</v>
      </c>
      <c r="D297" s="168">
        <f t="shared" si="103"/>
        <v>699.8283391</v>
      </c>
      <c r="E297" s="168">
        <f t="shared" si="103"/>
        <v>822.8204682</v>
      </c>
      <c r="F297" s="168">
        <f t="shared" si="103"/>
        <v>4110.072894</v>
      </c>
      <c r="G297" s="168">
        <f t="shared" si="103"/>
        <v>1063.567868</v>
      </c>
      <c r="H297" s="168">
        <f t="shared" si="103"/>
        <v>1065.253222</v>
      </c>
      <c r="I297" s="168">
        <f t="shared" si="103"/>
        <v>1657.457501</v>
      </c>
      <c r="J297" s="168">
        <f t="shared" si="103"/>
        <v>535.4731447</v>
      </c>
      <c r="K297" s="168">
        <f t="shared" si="103"/>
        <v>932.8155271</v>
      </c>
      <c r="L297" s="168">
        <f t="shared" si="103"/>
        <v>318.7797313</v>
      </c>
      <c r="M297" s="168">
        <f t="shared" si="103"/>
        <v>617.8776299</v>
      </c>
      <c r="N297" s="168">
        <f t="shared" si="103"/>
        <v>439.8942425</v>
      </c>
      <c r="O297" s="168">
        <f t="shared" si="103"/>
        <v>338.9788324</v>
      </c>
      <c r="P297" s="168">
        <f t="shared" si="103"/>
        <v>521.9205755</v>
      </c>
      <c r="Q297" s="168">
        <f t="shared" si="103"/>
        <v>2475.66901</v>
      </c>
      <c r="R297" s="168">
        <f t="shared" si="103"/>
        <v>444.7710806</v>
      </c>
      <c r="S297" s="168">
        <f t="shared" si="103"/>
        <v>4224.780999</v>
      </c>
      <c r="T297" s="168">
        <f t="shared" si="103"/>
        <v>2014.195328</v>
      </c>
      <c r="U297" s="168">
        <f t="shared" si="103"/>
        <v>2646.241245</v>
      </c>
      <c r="V297" s="168">
        <f t="shared" si="103"/>
        <v>3579.735324</v>
      </c>
      <c r="W297" s="168">
        <f t="shared" si="103"/>
        <v>3800.026646</v>
      </c>
      <c r="X297" s="168">
        <f t="shared" si="103"/>
        <v>829.9832832</v>
      </c>
      <c r="Y297" s="168">
        <f t="shared" si="103"/>
        <v>966.0857204</v>
      </c>
      <c r="Z297" s="168">
        <f t="shared" si="103"/>
        <v>422.7713369</v>
      </c>
      <c r="AA297" s="168">
        <f t="shared" si="103"/>
        <v>1293.955129</v>
      </c>
      <c r="AB297" s="168">
        <f t="shared" si="103"/>
        <v>1802.016897</v>
      </c>
      <c r="AC297" s="168">
        <f t="shared" si="103"/>
        <v>1062.592001</v>
      </c>
      <c r="AD297" s="168">
        <f t="shared" si="103"/>
        <v>982.2717761</v>
      </c>
      <c r="AE297" s="168">
        <f t="shared" si="103"/>
        <v>460.9463016</v>
      </c>
      <c r="AF297" s="168">
        <f t="shared" si="103"/>
        <v>771.2805154</v>
      </c>
      <c r="AG297" s="168">
        <f t="shared" si="103"/>
        <v>932.8587014</v>
      </c>
      <c r="AH297" s="168">
        <f t="shared" si="103"/>
        <v>647.76705</v>
      </c>
      <c r="AI297" s="168">
        <f t="shared" si="103"/>
        <v>6260.125985</v>
      </c>
      <c r="AJ297" s="168">
        <f t="shared" si="103"/>
        <v>2043.69721</v>
      </c>
      <c r="AK297" s="168">
        <f t="shared" si="103"/>
        <v>1746.266228</v>
      </c>
      <c r="AL297" s="168">
        <f t="shared" si="103"/>
        <v>5255.989731</v>
      </c>
    </row>
    <row r="298" outlineLevel="1">
      <c r="A298" s="356" t="s">
        <v>765</v>
      </c>
      <c r="B298" s="168">
        <f t="shared" ref="B298:AL298" si="104">B285*B$252</f>
        <v>0</v>
      </c>
      <c r="C298" s="168">
        <f t="shared" si="104"/>
        <v>0</v>
      </c>
      <c r="D298" s="168">
        <f t="shared" si="104"/>
        <v>0</v>
      </c>
      <c r="E298" s="168">
        <f t="shared" si="104"/>
        <v>0</v>
      </c>
      <c r="F298" s="168">
        <f t="shared" si="104"/>
        <v>0</v>
      </c>
      <c r="G298" s="168">
        <f t="shared" si="104"/>
        <v>0</v>
      </c>
      <c r="H298" s="168">
        <f t="shared" si="104"/>
        <v>0</v>
      </c>
      <c r="I298" s="168">
        <f t="shared" si="104"/>
        <v>0</v>
      </c>
      <c r="J298" s="168">
        <f t="shared" si="104"/>
        <v>0</v>
      </c>
      <c r="K298" s="168">
        <f t="shared" si="104"/>
        <v>0</v>
      </c>
      <c r="L298" s="168">
        <f t="shared" si="104"/>
        <v>0</v>
      </c>
      <c r="M298" s="168">
        <f t="shared" si="104"/>
        <v>0</v>
      </c>
      <c r="N298" s="168">
        <f t="shared" si="104"/>
        <v>0</v>
      </c>
      <c r="O298" s="168">
        <f t="shared" si="104"/>
        <v>0</v>
      </c>
      <c r="P298" s="168">
        <f t="shared" si="104"/>
        <v>0</v>
      </c>
      <c r="Q298" s="168">
        <f t="shared" si="104"/>
        <v>0</v>
      </c>
      <c r="R298" s="168">
        <f t="shared" si="104"/>
        <v>0</v>
      </c>
      <c r="S298" s="168">
        <f t="shared" si="104"/>
        <v>0</v>
      </c>
      <c r="T298" s="168">
        <f t="shared" si="104"/>
        <v>0</v>
      </c>
      <c r="U298" s="168">
        <f t="shared" si="104"/>
        <v>0</v>
      </c>
      <c r="V298" s="168">
        <f t="shared" si="104"/>
        <v>0</v>
      </c>
      <c r="W298" s="168">
        <f t="shared" si="104"/>
        <v>0</v>
      </c>
      <c r="X298" s="168">
        <f t="shared" si="104"/>
        <v>0</v>
      </c>
      <c r="Y298" s="168">
        <f t="shared" si="104"/>
        <v>0</v>
      </c>
      <c r="Z298" s="168">
        <f t="shared" si="104"/>
        <v>0</v>
      </c>
      <c r="AA298" s="168">
        <f t="shared" si="104"/>
        <v>0</v>
      </c>
      <c r="AB298" s="168">
        <f t="shared" si="104"/>
        <v>0</v>
      </c>
      <c r="AC298" s="168">
        <f t="shared" si="104"/>
        <v>0</v>
      </c>
      <c r="AD298" s="168">
        <f t="shared" si="104"/>
        <v>0</v>
      </c>
      <c r="AE298" s="168">
        <f t="shared" si="104"/>
        <v>0</v>
      </c>
      <c r="AF298" s="168">
        <f t="shared" si="104"/>
        <v>0</v>
      </c>
      <c r="AG298" s="168">
        <f t="shared" si="104"/>
        <v>0</v>
      </c>
      <c r="AH298" s="168">
        <f t="shared" si="104"/>
        <v>0</v>
      </c>
      <c r="AI298" s="168">
        <f t="shared" si="104"/>
        <v>0</v>
      </c>
      <c r="AJ298" s="168">
        <f t="shared" si="104"/>
        <v>0</v>
      </c>
      <c r="AK298" s="168">
        <f t="shared" si="104"/>
        <v>0</v>
      </c>
      <c r="AL298" s="168">
        <f t="shared" si="104"/>
        <v>0</v>
      </c>
    </row>
    <row r="299" outlineLevel="1">
      <c r="A299" s="142"/>
      <c r="B299" s="95"/>
      <c r="C299" s="95"/>
      <c r="D299" s="95"/>
      <c r="E299" s="95"/>
      <c r="F299" s="95"/>
      <c r="G299" s="95"/>
      <c r="H299" s="95"/>
      <c r="I299" s="95"/>
      <c r="J299" s="95"/>
      <c r="K299" s="95"/>
      <c r="L299" s="95"/>
      <c r="M299" s="95"/>
      <c r="N299" s="95"/>
      <c r="O299" s="95"/>
      <c r="P299" s="95"/>
      <c r="Q299" s="95"/>
      <c r="R299" s="95"/>
      <c r="S299" s="95"/>
      <c r="T299" s="95"/>
      <c r="U299" s="95"/>
      <c r="V299" s="95"/>
      <c r="W299" s="95"/>
      <c r="X299" s="95"/>
      <c r="Y299" s="95"/>
      <c r="Z299" s="95"/>
      <c r="AA299" s="95"/>
      <c r="AB299" s="95"/>
      <c r="AC299" s="95"/>
      <c r="AD299" s="95"/>
      <c r="AE299" s="95"/>
      <c r="AF299" s="95"/>
      <c r="AG299" s="95"/>
      <c r="AH299" s="95"/>
      <c r="AI299" s="95"/>
      <c r="AJ299" s="95"/>
      <c r="AK299" s="95"/>
      <c r="AL299" s="95"/>
    </row>
    <row r="300" outlineLevel="1">
      <c r="A300" s="356" t="s">
        <v>761</v>
      </c>
      <c r="B300" s="95"/>
      <c r="C300" s="95"/>
      <c r="D300" s="95"/>
      <c r="E300" s="95"/>
      <c r="F300" s="95"/>
      <c r="G300" s="95"/>
      <c r="H300" s="95"/>
      <c r="I300" s="95"/>
      <c r="J300" s="95"/>
      <c r="K300" s="95"/>
      <c r="L300" s="95"/>
      <c r="M300" s="95"/>
      <c r="N300" s="95"/>
      <c r="O300" s="95"/>
      <c r="P300" s="95"/>
      <c r="Q300" s="95"/>
      <c r="R300" s="95"/>
      <c r="S300" s="95"/>
      <c r="T300" s="95"/>
      <c r="U300" s="95"/>
      <c r="V300" s="95"/>
      <c r="W300" s="95"/>
      <c r="X300" s="95"/>
      <c r="Y300" s="95"/>
      <c r="Z300" s="95"/>
      <c r="AA300" s="95"/>
      <c r="AB300" s="95"/>
      <c r="AC300" s="95"/>
      <c r="AD300" s="95"/>
      <c r="AE300" s="95"/>
      <c r="AF300" s="95"/>
      <c r="AG300" s="95"/>
      <c r="AH300" s="95"/>
      <c r="AI300" s="95"/>
      <c r="AJ300" s="95"/>
      <c r="AK300" s="95"/>
      <c r="AL300" s="95"/>
    </row>
    <row r="301" outlineLevel="1">
      <c r="A301" s="356" t="s">
        <v>764</v>
      </c>
      <c r="B301" s="168">
        <f t="shared" ref="B301:AL301" si="105">B288*B$252</f>
        <v>0</v>
      </c>
      <c r="C301" s="168">
        <f t="shared" si="105"/>
        <v>0</v>
      </c>
      <c r="D301" s="168">
        <f t="shared" si="105"/>
        <v>0</v>
      </c>
      <c r="E301" s="168">
        <f t="shared" si="105"/>
        <v>0</v>
      </c>
      <c r="F301" s="168">
        <f t="shared" si="105"/>
        <v>0</v>
      </c>
      <c r="G301" s="168">
        <f t="shared" si="105"/>
        <v>0</v>
      </c>
      <c r="H301" s="168">
        <f t="shared" si="105"/>
        <v>0</v>
      </c>
      <c r="I301" s="168">
        <f t="shared" si="105"/>
        <v>0</v>
      </c>
      <c r="J301" s="168">
        <f t="shared" si="105"/>
        <v>0</v>
      </c>
      <c r="K301" s="168">
        <f t="shared" si="105"/>
        <v>0</v>
      </c>
      <c r="L301" s="168">
        <f t="shared" si="105"/>
        <v>0</v>
      </c>
      <c r="M301" s="168">
        <f t="shared" si="105"/>
        <v>0</v>
      </c>
      <c r="N301" s="168">
        <f t="shared" si="105"/>
        <v>0</v>
      </c>
      <c r="O301" s="168">
        <f t="shared" si="105"/>
        <v>0</v>
      </c>
      <c r="P301" s="168">
        <f t="shared" si="105"/>
        <v>0</v>
      </c>
      <c r="Q301" s="168">
        <f t="shared" si="105"/>
        <v>0</v>
      </c>
      <c r="R301" s="168">
        <f t="shared" si="105"/>
        <v>0</v>
      </c>
      <c r="S301" s="168">
        <f t="shared" si="105"/>
        <v>0</v>
      </c>
      <c r="T301" s="168">
        <f t="shared" si="105"/>
        <v>0</v>
      </c>
      <c r="U301" s="168">
        <f t="shared" si="105"/>
        <v>0</v>
      </c>
      <c r="V301" s="168">
        <f t="shared" si="105"/>
        <v>0</v>
      </c>
      <c r="W301" s="168">
        <f t="shared" si="105"/>
        <v>0</v>
      </c>
      <c r="X301" s="168">
        <f t="shared" si="105"/>
        <v>0</v>
      </c>
      <c r="Y301" s="168">
        <f t="shared" si="105"/>
        <v>0</v>
      </c>
      <c r="Z301" s="168">
        <f t="shared" si="105"/>
        <v>0</v>
      </c>
      <c r="AA301" s="168">
        <f t="shared" si="105"/>
        <v>0</v>
      </c>
      <c r="AB301" s="168">
        <f t="shared" si="105"/>
        <v>0</v>
      </c>
      <c r="AC301" s="168">
        <f t="shared" si="105"/>
        <v>0</v>
      </c>
      <c r="AD301" s="168">
        <f t="shared" si="105"/>
        <v>0</v>
      </c>
      <c r="AE301" s="168">
        <f t="shared" si="105"/>
        <v>0</v>
      </c>
      <c r="AF301" s="168">
        <f t="shared" si="105"/>
        <v>0</v>
      </c>
      <c r="AG301" s="168">
        <f t="shared" si="105"/>
        <v>0</v>
      </c>
      <c r="AH301" s="168">
        <f t="shared" si="105"/>
        <v>0</v>
      </c>
      <c r="AI301" s="168">
        <f t="shared" si="105"/>
        <v>0</v>
      </c>
      <c r="AJ301" s="168">
        <f t="shared" si="105"/>
        <v>0</v>
      </c>
      <c r="AK301" s="168">
        <f t="shared" si="105"/>
        <v>0</v>
      </c>
      <c r="AL301" s="168">
        <f t="shared" si="105"/>
        <v>0</v>
      </c>
    </row>
    <row r="302" outlineLevel="1">
      <c r="A302" s="356" t="s">
        <v>765</v>
      </c>
      <c r="B302" s="168">
        <f t="shared" ref="B302:AL302" si="106">B289*B$252</f>
        <v>0</v>
      </c>
      <c r="C302" s="168">
        <f t="shared" si="106"/>
        <v>0</v>
      </c>
      <c r="D302" s="168">
        <f t="shared" si="106"/>
        <v>0</v>
      </c>
      <c r="E302" s="168">
        <f t="shared" si="106"/>
        <v>0</v>
      </c>
      <c r="F302" s="168">
        <f t="shared" si="106"/>
        <v>0</v>
      </c>
      <c r="G302" s="168">
        <f t="shared" si="106"/>
        <v>0</v>
      </c>
      <c r="H302" s="168">
        <f t="shared" si="106"/>
        <v>0</v>
      </c>
      <c r="I302" s="168">
        <f t="shared" si="106"/>
        <v>0</v>
      </c>
      <c r="J302" s="168">
        <f t="shared" si="106"/>
        <v>0</v>
      </c>
      <c r="K302" s="168">
        <f t="shared" si="106"/>
        <v>0</v>
      </c>
      <c r="L302" s="168">
        <f t="shared" si="106"/>
        <v>0</v>
      </c>
      <c r="M302" s="168">
        <f t="shared" si="106"/>
        <v>0</v>
      </c>
      <c r="N302" s="168">
        <f t="shared" si="106"/>
        <v>0</v>
      </c>
      <c r="O302" s="168">
        <f t="shared" si="106"/>
        <v>0</v>
      </c>
      <c r="P302" s="168">
        <f t="shared" si="106"/>
        <v>0</v>
      </c>
      <c r="Q302" s="168">
        <f t="shared" si="106"/>
        <v>0</v>
      </c>
      <c r="R302" s="168">
        <f t="shared" si="106"/>
        <v>0</v>
      </c>
      <c r="S302" s="168">
        <f t="shared" si="106"/>
        <v>0</v>
      </c>
      <c r="T302" s="168">
        <f t="shared" si="106"/>
        <v>0</v>
      </c>
      <c r="U302" s="168">
        <f t="shared" si="106"/>
        <v>0</v>
      </c>
      <c r="V302" s="168">
        <f t="shared" si="106"/>
        <v>0</v>
      </c>
      <c r="W302" s="168">
        <f t="shared" si="106"/>
        <v>0</v>
      </c>
      <c r="X302" s="168">
        <f t="shared" si="106"/>
        <v>0</v>
      </c>
      <c r="Y302" s="168">
        <f t="shared" si="106"/>
        <v>0</v>
      </c>
      <c r="Z302" s="168">
        <f t="shared" si="106"/>
        <v>0</v>
      </c>
      <c r="AA302" s="168">
        <f t="shared" si="106"/>
        <v>0</v>
      </c>
      <c r="AB302" s="168">
        <f t="shared" si="106"/>
        <v>0</v>
      </c>
      <c r="AC302" s="168">
        <f t="shared" si="106"/>
        <v>0</v>
      </c>
      <c r="AD302" s="168">
        <f t="shared" si="106"/>
        <v>0</v>
      </c>
      <c r="AE302" s="168">
        <f t="shared" si="106"/>
        <v>0</v>
      </c>
      <c r="AF302" s="168">
        <f t="shared" si="106"/>
        <v>0</v>
      </c>
      <c r="AG302" s="168">
        <f t="shared" si="106"/>
        <v>0</v>
      </c>
      <c r="AH302" s="168">
        <f t="shared" si="106"/>
        <v>0</v>
      </c>
      <c r="AI302" s="168">
        <f t="shared" si="106"/>
        <v>0</v>
      </c>
      <c r="AJ302" s="168">
        <f t="shared" si="106"/>
        <v>0</v>
      </c>
      <c r="AK302" s="168">
        <f t="shared" si="106"/>
        <v>0</v>
      </c>
      <c r="AL302" s="168">
        <f t="shared" si="106"/>
        <v>0</v>
      </c>
    </row>
    <row r="303" outlineLevel="1">
      <c r="A303" s="142"/>
      <c r="B303" s="95"/>
      <c r="C303" s="95"/>
      <c r="D303" s="95"/>
      <c r="E303" s="95"/>
      <c r="F303" s="95"/>
      <c r="G303" s="95"/>
      <c r="H303" s="95"/>
      <c r="I303" s="95"/>
      <c r="J303" s="95"/>
      <c r="K303" s="95"/>
      <c r="L303" s="95"/>
      <c r="M303" s="95"/>
      <c r="N303" s="95"/>
      <c r="O303" s="95"/>
      <c r="P303" s="95"/>
      <c r="Q303" s="95"/>
      <c r="R303" s="95"/>
      <c r="S303" s="95"/>
      <c r="T303" s="95"/>
      <c r="U303" s="95"/>
      <c r="V303" s="95"/>
      <c r="W303" s="95"/>
      <c r="X303" s="95"/>
      <c r="Y303" s="95"/>
      <c r="Z303" s="95"/>
      <c r="AA303" s="95"/>
      <c r="AB303" s="95"/>
      <c r="AC303" s="95"/>
      <c r="AD303" s="95"/>
      <c r="AE303" s="95"/>
      <c r="AF303" s="95"/>
      <c r="AG303" s="95"/>
      <c r="AH303" s="95"/>
      <c r="AI303" s="95"/>
      <c r="AJ303" s="95"/>
      <c r="AK303" s="95"/>
      <c r="AL303" s="95"/>
    </row>
    <row r="304" outlineLevel="1">
      <c r="A304" s="651" t="s">
        <v>762</v>
      </c>
      <c r="B304" s="95"/>
      <c r="C304" s="95"/>
      <c r="D304" s="95"/>
      <c r="E304" s="95"/>
      <c r="F304" s="95"/>
      <c r="G304" s="95"/>
      <c r="H304" s="95"/>
      <c r="I304" s="95"/>
      <c r="J304" s="95"/>
      <c r="K304" s="95"/>
      <c r="L304" s="95"/>
      <c r="M304" s="95"/>
      <c r="N304" s="95"/>
      <c r="O304" s="95"/>
      <c r="P304" s="95"/>
      <c r="Q304" s="95"/>
      <c r="R304" s="95"/>
      <c r="S304" s="95"/>
      <c r="T304" s="95"/>
      <c r="U304" s="95"/>
      <c r="V304" s="95"/>
      <c r="W304" s="95"/>
      <c r="X304" s="95"/>
      <c r="Y304" s="95"/>
      <c r="Z304" s="95"/>
      <c r="AA304" s="95"/>
      <c r="AB304" s="95"/>
      <c r="AC304" s="95"/>
      <c r="AD304" s="95"/>
      <c r="AE304" s="95"/>
      <c r="AF304" s="95"/>
      <c r="AG304" s="95"/>
      <c r="AH304" s="95"/>
      <c r="AI304" s="95"/>
      <c r="AJ304" s="95"/>
      <c r="AK304" s="95"/>
      <c r="AL304" s="95"/>
    </row>
    <row r="305" outlineLevel="1">
      <c r="A305" s="356" t="s">
        <v>764</v>
      </c>
      <c r="B305" s="168">
        <f t="shared" ref="B305:AL305" si="107">B292*B$252</f>
        <v>-69.8415552</v>
      </c>
      <c r="C305" s="168">
        <f t="shared" si="107"/>
        <v>-375.8004505</v>
      </c>
      <c r="D305" s="168">
        <f t="shared" si="107"/>
        <v>-83.14933481</v>
      </c>
      <c r="E305" s="168">
        <f t="shared" si="107"/>
        <v>-119.4176634</v>
      </c>
      <c r="F305" s="168">
        <f t="shared" si="107"/>
        <v>-1981.002732</v>
      </c>
      <c r="G305" s="168">
        <f t="shared" si="107"/>
        <v>-180.6570799</v>
      </c>
      <c r="H305" s="168">
        <f t="shared" si="107"/>
        <v>-181.7616145</v>
      </c>
      <c r="I305" s="168">
        <f t="shared" si="107"/>
        <v>-722.998242</v>
      </c>
      <c r="J305" s="168">
        <f t="shared" si="107"/>
        <v>-32.81595437</v>
      </c>
      <c r="K305" s="168">
        <f t="shared" si="107"/>
        <v>-146.0105114</v>
      </c>
      <c r="L305" s="168">
        <f t="shared" si="107"/>
        <v>-3.495867785</v>
      </c>
      <c r="M305" s="168">
        <f t="shared" si="107"/>
        <v>-47.88132701</v>
      </c>
      <c r="N305" s="168">
        <f t="shared" si="107"/>
        <v>-18.0633314</v>
      </c>
      <c r="O305" s="168">
        <f t="shared" si="107"/>
        <v>-8.859530724</v>
      </c>
      <c r="P305" s="168">
        <f t="shared" si="107"/>
        <v>-29.98716823</v>
      </c>
      <c r="Q305" s="168">
        <f t="shared" si="107"/>
        <v>-812.4395149</v>
      </c>
      <c r="R305" s="168">
        <f t="shared" si="107"/>
        <v>-23.26614852</v>
      </c>
      <c r="S305" s="168">
        <f t="shared" si="107"/>
        <v>-1636.056817</v>
      </c>
      <c r="T305" s="168">
        <f t="shared" si="107"/>
        <v>-609.0328145</v>
      </c>
      <c r="U305" s="168">
        <f t="shared" si="107"/>
        <v>-1125.363474</v>
      </c>
      <c r="V305" s="168">
        <f t="shared" si="107"/>
        <v>-1777.6203</v>
      </c>
      <c r="W305" s="168">
        <f t="shared" si="107"/>
        <v>-1996.165762</v>
      </c>
      <c r="X305" s="168">
        <f t="shared" si="107"/>
        <v>-119.8862837</v>
      </c>
      <c r="Y305" s="168">
        <f t="shared" si="107"/>
        <v>-264.959863</v>
      </c>
      <c r="Z305" s="168">
        <f t="shared" si="107"/>
        <v>-26.08625366</v>
      </c>
      <c r="AA305" s="168">
        <f t="shared" si="107"/>
        <v>-305.4963675</v>
      </c>
      <c r="AB305" s="168">
        <f t="shared" si="107"/>
        <v>-657.9696096</v>
      </c>
      <c r="AC305" s="168">
        <f t="shared" si="107"/>
        <v>-320.4695129</v>
      </c>
      <c r="AD305" s="168">
        <f t="shared" si="107"/>
        <v>-217.5647102</v>
      </c>
      <c r="AE305" s="168">
        <f t="shared" si="107"/>
        <v>-38.50457615</v>
      </c>
      <c r="AF305" s="168">
        <f t="shared" si="107"/>
        <v>-173.220278</v>
      </c>
      <c r="AG305" s="168">
        <f t="shared" si="107"/>
        <v>-150.6434892</v>
      </c>
      <c r="AH305" s="168">
        <f t="shared" si="107"/>
        <v>-53.3654184</v>
      </c>
      <c r="AI305" s="168">
        <f t="shared" si="107"/>
        <v>-5636.919262</v>
      </c>
      <c r="AJ305" s="168">
        <f t="shared" si="107"/>
        <v>-505.7103421</v>
      </c>
      <c r="AK305" s="168">
        <f t="shared" si="107"/>
        <v>-355.5584867</v>
      </c>
      <c r="AL305" s="168">
        <f t="shared" si="107"/>
        <v>-2725.693322</v>
      </c>
    </row>
    <row r="306" outlineLevel="1">
      <c r="A306" s="356" t="s">
        <v>765</v>
      </c>
      <c r="B306" s="168">
        <f t="shared" ref="B306:AL306" si="108">B293*B$252</f>
        <v>-58.33641217</v>
      </c>
      <c r="C306" s="168">
        <f t="shared" si="108"/>
        <v>-313.8940694</v>
      </c>
      <c r="D306" s="168">
        <f t="shared" si="108"/>
        <v>-69.45197388</v>
      </c>
      <c r="E306" s="168">
        <f t="shared" si="108"/>
        <v>-99.74574612</v>
      </c>
      <c r="F306" s="168">
        <f t="shared" si="108"/>
        <v>-1654.668078</v>
      </c>
      <c r="G306" s="168">
        <f t="shared" si="108"/>
        <v>-150.8970676</v>
      </c>
      <c r="H306" s="168">
        <f t="shared" si="108"/>
        <v>-151.81965</v>
      </c>
      <c r="I306" s="168">
        <f t="shared" si="108"/>
        <v>-603.8972546</v>
      </c>
      <c r="J306" s="168">
        <f t="shared" si="108"/>
        <v>-27.41011471</v>
      </c>
      <c r="K306" s="168">
        <f t="shared" si="108"/>
        <v>-121.9578995</v>
      </c>
      <c r="L306" s="168">
        <f t="shared" si="108"/>
        <v>-2.919986295</v>
      </c>
      <c r="M306" s="168">
        <f t="shared" si="108"/>
        <v>-39.99373753</v>
      </c>
      <c r="N306" s="168">
        <f t="shared" si="108"/>
        <v>-15.08772167</v>
      </c>
      <c r="O306" s="168">
        <f t="shared" si="108"/>
        <v>-7.400082007</v>
      </c>
      <c r="P306" s="168">
        <f t="shared" si="108"/>
        <v>-25.04732034</v>
      </c>
      <c r="Q306" s="168">
        <f t="shared" si="108"/>
        <v>-678.6046827</v>
      </c>
      <c r="R306" s="168">
        <f t="shared" si="108"/>
        <v>-19.43346803</v>
      </c>
      <c r="S306" s="168">
        <f t="shared" si="108"/>
        <v>-1366.545813</v>
      </c>
      <c r="T306" s="168">
        <f t="shared" si="108"/>
        <v>-508.7055864</v>
      </c>
      <c r="U306" s="168">
        <f t="shared" si="108"/>
        <v>-939.9800347</v>
      </c>
      <c r="V306" s="168">
        <f t="shared" si="108"/>
        <v>-1484.789252</v>
      </c>
      <c r="W306" s="168">
        <f t="shared" si="108"/>
        <v>-1667.333271</v>
      </c>
      <c r="X306" s="168">
        <f t="shared" si="108"/>
        <v>-100.1371696</v>
      </c>
      <c r="Y306" s="168">
        <f t="shared" si="108"/>
        <v>-221.3124798</v>
      </c>
      <c r="Z306" s="168">
        <f t="shared" si="108"/>
        <v>-21.78901145</v>
      </c>
      <c r="AA306" s="168">
        <f t="shared" si="108"/>
        <v>-255.1713226</v>
      </c>
      <c r="AB306" s="168">
        <f t="shared" si="108"/>
        <v>-549.5809226</v>
      </c>
      <c r="AC306" s="168">
        <f t="shared" si="108"/>
        <v>-267.677911</v>
      </c>
      <c r="AD306" s="168">
        <f t="shared" si="108"/>
        <v>-181.724828</v>
      </c>
      <c r="AE306" s="168">
        <f t="shared" si="108"/>
        <v>-32.16163813</v>
      </c>
      <c r="AF306" s="168">
        <f t="shared" si="108"/>
        <v>-144.6853454</v>
      </c>
      <c r="AG306" s="168">
        <f t="shared" si="108"/>
        <v>-125.8276774</v>
      </c>
      <c r="AH306" s="168">
        <f t="shared" si="108"/>
        <v>-44.57442327</v>
      </c>
      <c r="AI306" s="168">
        <f t="shared" si="108"/>
        <v>-4708.337959</v>
      </c>
      <c r="AJ306" s="168">
        <f t="shared" si="108"/>
        <v>-422.4036374</v>
      </c>
      <c r="AK306" s="168">
        <f t="shared" si="108"/>
        <v>-296.9866059</v>
      </c>
      <c r="AL306" s="168">
        <f t="shared" si="108"/>
        <v>-2276.684255</v>
      </c>
    </row>
    <row r="307" outlineLevel="1">
      <c r="A307" s="142"/>
      <c r="B307" s="95"/>
      <c r="C307" s="95"/>
      <c r="D307" s="95"/>
      <c r="E307" s="95"/>
      <c r="F307" s="95"/>
      <c r="G307" s="95"/>
      <c r="H307" s="95"/>
      <c r="I307" s="95"/>
      <c r="J307" s="95"/>
      <c r="K307" s="95"/>
      <c r="L307" s="95"/>
      <c r="M307" s="95"/>
      <c r="N307" s="95"/>
      <c r="O307" s="95"/>
      <c r="P307" s="95"/>
      <c r="Q307" s="95"/>
      <c r="R307" s="95"/>
      <c r="S307" s="95"/>
      <c r="T307" s="95"/>
      <c r="U307" s="95"/>
      <c r="V307" s="95"/>
      <c r="W307" s="95"/>
      <c r="X307" s="95"/>
      <c r="Y307" s="95"/>
      <c r="Z307" s="95"/>
      <c r="AA307" s="95"/>
      <c r="AB307" s="95"/>
      <c r="AC307" s="95"/>
      <c r="AD307" s="95"/>
      <c r="AE307" s="95"/>
      <c r="AF307" s="95"/>
      <c r="AG307" s="95"/>
      <c r="AH307" s="95"/>
      <c r="AI307" s="95"/>
      <c r="AJ307" s="95"/>
      <c r="AK307" s="95"/>
      <c r="AL307" s="95"/>
    </row>
    <row r="308" outlineLevel="1">
      <c r="A308" s="652" t="s">
        <v>767</v>
      </c>
      <c r="B308" s="95"/>
      <c r="C308" s="95"/>
      <c r="D308" s="95"/>
      <c r="E308" s="95"/>
      <c r="F308" s="95"/>
      <c r="G308" s="95"/>
      <c r="H308" s="95"/>
      <c r="I308" s="95"/>
      <c r="J308" s="95"/>
      <c r="K308" s="95"/>
      <c r="L308" s="95"/>
      <c r="M308" s="95"/>
      <c r="N308" s="95"/>
      <c r="O308" s="95"/>
      <c r="P308" s="95"/>
      <c r="Q308" s="95"/>
      <c r="R308" s="95"/>
      <c r="S308" s="95"/>
      <c r="T308" s="95"/>
      <c r="U308" s="95"/>
      <c r="V308" s="95"/>
      <c r="W308" s="95"/>
      <c r="X308" s="95"/>
      <c r="Y308" s="95"/>
      <c r="Z308" s="95"/>
      <c r="AA308" s="95"/>
      <c r="AB308" s="95"/>
      <c r="AC308" s="95"/>
      <c r="AD308" s="95"/>
      <c r="AE308" s="95"/>
      <c r="AF308" s="95"/>
      <c r="AG308" s="95"/>
      <c r="AH308" s="95"/>
      <c r="AI308" s="95"/>
      <c r="AJ308" s="95"/>
      <c r="AK308" s="95"/>
      <c r="AL308" s="95"/>
    </row>
    <row r="309" outlineLevel="1">
      <c r="A309" s="142" t="s">
        <v>217</v>
      </c>
      <c r="B309" s="95"/>
      <c r="C309" s="95"/>
      <c r="D309" s="95"/>
      <c r="E309" s="95"/>
      <c r="F309" s="95"/>
      <c r="G309" s="95"/>
      <c r="H309" s="95"/>
      <c r="I309" s="95"/>
      <c r="J309" s="95"/>
      <c r="K309" s="95"/>
      <c r="L309" s="95"/>
      <c r="M309" s="95"/>
      <c r="N309" s="95"/>
      <c r="O309" s="95"/>
      <c r="P309" s="95"/>
      <c r="Q309" s="95"/>
      <c r="R309" s="95"/>
      <c r="S309" s="95"/>
      <c r="T309" s="95"/>
      <c r="U309" s="95"/>
      <c r="V309" s="95"/>
      <c r="W309" s="95"/>
      <c r="X309" s="95"/>
      <c r="Y309" s="95"/>
      <c r="Z309" s="95"/>
      <c r="AA309" s="95"/>
      <c r="AB309" s="95"/>
      <c r="AC309" s="95"/>
      <c r="AD309" s="95"/>
      <c r="AE309" s="95"/>
      <c r="AF309" s="95"/>
      <c r="AG309" s="95"/>
      <c r="AH309" s="95"/>
      <c r="AI309" s="95"/>
      <c r="AJ309" s="95"/>
      <c r="AK309" s="95"/>
      <c r="AL309" s="95"/>
    </row>
    <row r="310" outlineLevel="1">
      <c r="A310" s="356" t="s">
        <v>764</v>
      </c>
      <c r="B310" s="84">
        <f t="shared" ref="B310:AL310" si="109">-B284*B269</f>
        <v>-507.1038557</v>
      </c>
      <c r="C310" s="84">
        <f t="shared" si="109"/>
        <v>-507.1038557</v>
      </c>
      <c r="D310" s="84">
        <f t="shared" si="109"/>
        <v>-507.1038557</v>
      </c>
      <c r="E310" s="84">
        <f t="shared" si="109"/>
        <v>-507.1038557</v>
      </c>
      <c r="F310" s="84">
        <f t="shared" si="109"/>
        <v>-507.1038557</v>
      </c>
      <c r="G310" s="84">
        <f t="shared" si="109"/>
        <v>-507.1038557</v>
      </c>
      <c r="H310" s="84">
        <f t="shared" si="109"/>
        <v>-507.1038557</v>
      </c>
      <c r="I310" s="84">
        <f t="shared" si="109"/>
        <v>-507.1038557</v>
      </c>
      <c r="J310" s="84">
        <f t="shared" si="109"/>
        <v>-507.1038557</v>
      </c>
      <c r="K310" s="84">
        <f t="shared" si="109"/>
        <v>-507.1038557</v>
      </c>
      <c r="L310" s="84">
        <f t="shared" si="109"/>
        <v>-507.1038557</v>
      </c>
      <c r="M310" s="84">
        <f t="shared" si="109"/>
        <v>-507.1038557</v>
      </c>
      <c r="N310" s="84">
        <f t="shared" si="109"/>
        <v>-507.1038557</v>
      </c>
      <c r="O310" s="84">
        <f t="shared" si="109"/>
        <v>-507.1038557</v>
      </c>
      <c r="P310" s="84">
        <f t="shared" si="109"/>
        <v>-507.1038557</v>
      </c>
      <c r="Q310" s="84">
        <f t="shared" si="109"/>
        <v>-507.1038557</v>
      </c>
      <c r="R310" s="84">
        <f t="shared" si="109"/>
        <v>-507.1038557</v>
      </c>
      <c r="S310" s="84">
        <f t="shared" si="109"/>
        <v>-507.1038557</v>
      </c>
      <c r="T310" s="84">
        <f t="shared" si="109"/>
        <v>-507.1038557</v>
      </c>
      <c r="U310" s="84">
        <f t="shared" si="109"/>
        <v>-507.1038557</v>
      </c>
      <c r="V310" s="84">
        <f t="shared" si="109"/>
        <v>-507.1038557</v>
      </c>
      <c r="W310" s="84">
        <f t="shared" si="109"/>
        <v>-507.1038557</v>
      </c>
      <c r="X310" s="84">
        <f t="shared" si="109"/>
        <v>-507.1038557</v>
      </c>
      <c r="Y310" s="84">
        <f t="shared" si="109"/>
        <v>-507.1038557</v>
      </c>
      <c r="Z310" s="84">
        <f t="shared" si="109"/>
        <v>-507.1038557</v>
      </c>
      <c r="AA310" s="84">
        <f t="shared" si="109"/>
        <v>-507.1038557</v>
      </c>
      <c r="AB310" s="84">
        <f t="shared" si="109"/>
        <v>-507.1038557</v>
      </c>
      <c r="AC310" s="84">
        <f t="shared" si="109"/>
        <v>-507.1038557</v>
      </c>
      <c r="AD310" s="84">
        <f t="shared" si="109"/>
        <v>-507.1038557</v>
      </c>
      <c r="AE310" s="84">
        <f t="shared" si="109"/>
        <v>-507.1038557</v>
      </c>
      <c r="AF310" s="84">
        <f t="shared" si="109"/>
        <v>-507.1038557</v>
      </c>
      <c r="AG310" s="84">
        <f t="shared" si="109"/>
        <v>-507.1038557</v>
      </c>
      <c r="AH310" s="84">
        <f t="shared" si="109"/>
        <v>-507.1038557</v>
      </c>
      <c r="AI310" s="84">
        <f t="shared" si="109"/>
        <v>-507.1038557</v>
      </c>
      <c r="AJ310" s="84">
        <f t="shared" si="109"/>
        <v>-507.1038557</v>
      </c>
      <c r="AK310" s="84">
        <f t="shared" si="109"/>
        <v>-507.1038557</v>
      </c>
      <c r="AL310" s="84">
        <f t="shared" si="109"/>
        <v>-507.1038557</v>
      </c>
    </row>
    <row r="311" outlineLevel="1">
      <c r="A311" s="356" t="s">
        <v>765</v>
      </c>
      <c r="B311" s="84">
        <f t="shared" ref="B311:AL311" si="110">-B285*B270</f>
        <v>0</v>
      </c>
      <c r="C311" s="84">
        <f t="shared" si="110"/>
        <v>0</v>
      </c>
      <c r="D311" s="84">
        <f t="shared" si="110"/>
        <v>0</v>
      </c>
      <c r="E311" s="84">
        <f t="shared" si="110"/>
        <v>0</v>
      </c>
      <c r="F311" s="84">
        <f t="shared" si="110"/>
        <v>0</v>
      </c>
      <c r="G311" s="84">
        <f t="shared" si="110"/>
        <v>0</v>
      </c>
      <c r="H311" s="84">
        <f t="shared" si="110"/>
        <v>0</v>
      </c>
      <c r="I311" s="84">
        <f t="shared" si="110"/>
        <v>0</v>
      </c>
      <c r="J311" s="84">
        <f t="shared" si="110"/>
        <v>0</v>
      </c>
      <c r="K311" s="84">
        <f t="shared" si="110"/>
        <v>0</v>
      </c>
      <c r="L311" s="84">
        <f t="shared" si="110"/>
        <v>0</v>
      </c>
      <c r="M311" s="84">
        <f t="shared" si="110"/>
        <v>0</v>
      </c>
      <c r="N311" s="84">
        <f t="shared" si="110"/>
        <v>0</v>
      </c>
      <c r="O311" s="84">
        <f t="shared" si="110"/>
        <v>0</v>
      </c>
      <c r="P311" s="84">
        <f t="shared" si="110"/>
        <v>0</v>
      </c>
      <c r="Q311" s="84">
        <f t="shared" si="110"/>
        <v>0</v>
      </c>
      <c r="R311" s="84">
        <f t="shared" si="110"/>
        <v>0</v>
      </c>
      <c r="S311" s="84">
        <f t="shared" si="110"/>
        <v>0</v>
      </c>
      <c r="T311" s="84">
        <f t="shared" si="110"/>
        <v>0</v>
      </c>
      <c r="U311" s="84">
        <f t="shared" si="110"/>
        <v>0</v>
      </c>
      <c r="V311" s="84">
        <f t="shared" si="110"/>
        <v>0</v>
      </c>
      <c r="W311" s="84">
        <f t="shared" si="110"/>
        <v>0</v>
      </c>
      <c r="X311" s="84">
        <f t="shared" si="110"/>
        <v>0</v>
      </c>
      <c r="Y311" s="84">
        <f t="shared" si="110"/>
        <v>0</v>
      </c>
      <c r="Z311" s="84">
        <f t="shared" si="110"/>
        <v>0</v>
      </c>
      <c r="AA311" s="84">
        <f t="shared" si="110"/>
        <v>0</v>
      </c>
      <c r="AB311" s="84">
        <f t="shared" si="110"/>
        <v>0</v>
      </c>
      <c r="AC311" s="84">
        <f t="shared" si="110"/>
        <v>0</v>
      </c>
      <c r="AD311" s="84">
        <f t="shared" si="110"/>
        <v>0</v>
      </c>
      <c r="AE311" s="84">
        <f t="shared" si="110"/>
        <v>0</v>
      </c>
      <c r="AF311" s="84">
        <f t="shared" si="110"/>
        <v>0</v>
      </c>
      <c r="AG311" s="84">
        <f t="shared" si="110"/>
        <v>0</v>
      </c>
      <c r="AH311" s="84">
        <f t="shared" si="110"/>
        <v>0</v>
      </c>
      <c r="AI311" s="84">
        <f t="shared" si="110"/>
        <v>0</v>
      </c>
      <c r="AJ311" s="84">
        <f t="shared" si="110"/>
        <v>0</v>
      </c>
      <c r="AK311" s="84">
        <f t="shared" si="110"/>
        <v>0</v>
      </c>
      <c r="AL311" s="84">
        <f t="shared" si="110"/>
        <v>0</v>
      </c>
    </row>
    <row r="312" outlineLevel="1">
      <c r="A312" s="142"/>
      <c r="B312" s="95"/>
      <c r="C312" s="95"/>
      <c r="D312" s="95"/>
      <c r="E312" s="95"/>
      <c r="F312" s="95"/>
      <c r="G312" s="95"/>
      <c r="H312" s="95"/>
      <c r="I312" s="95"/>
      <c r="J312" s="95"/>
      <c r="K312" s="95"/>
      <c r="L312" s="95"/>
      <c r="M312" s="95"/>
      <c r="N312" s="95"/>
      <c r="O312" s="95"/>
      <c r="P312" s="95"/>
      <c r="Q312" s="95"/>
      <c r="R312" s="95"/>
      <c r="S312" s="95"/>
      <c r="T312" s="95"/>
      <c r="U312" s="95"/>
      <c r="V312" s="95"/>
      <c r="W312" s="95"/>
      <c r="X312" s="95"/>
      <c r="Y312" s="95"/>
      <c r="Z312" s="95"/>
      <c r="AA312" s="95"/>
      <c r="AB312" s="95"/>
      <c r="AC312" s="95"/>
      <c r="AD312" s="95"/>
      <c r="AE312" s="95"/>
      <c r="AF312" s="95"/>
      <c r="AG312" s="95"/>
      <c r="AH312" s="95"/>
      <c r="AI312" s="95"/>
      <c r="AJ312" s="95"/>
      <c r="AK312" s="95"/>
      <c r="AL312" s="95"/>
    </row>
    <row r="313" outlineLevel="1">
      <c r="A313" s="356" t="s">
        <v>761</v>
      </c>
      <c r="B313" s="95"/>
      <c r="C313" s="95"/>
      <c r="D313" s="95"/>
      <c r="E313" s="95"/>
      <c r="F313" s="95"/>
      <c r="G313" s="95"/>
      <c r="H313" s="95"/>
      <c r="I313" s="95"/>
      <c r="J313" s="95"/>
      <c r="K313" s="95"/>
      <c r="L313" s="95"/>
      <c r="M313" s="95"/>
      <c r="N313" s="95"/>
      <c r="O313" s="95"/>
      <c r="P313" s="95"/>
      <c r="Q313" s="95"/>
      <c r="R313" s="95"/>
      <c r="S313" s="95"/>
      <c r="T313" s="95"/>
      <c r="U313" s="95"/>
      <c r="V313" s="95"/>
      <c r="W313" s="95"/>
      <c r="X313" s="95"/>
      <c r="Y313" s="95"/>
      <c r="Z313" s="95"/>
      <c r="AA313" s="95"/>
      <c r="AB313" s="95"/>
      <c r="AC313" s="95"/>
      <c r="AD313" s="95"/>
      <c r="AE313" s="95"/>
      <c r="AF313" s="95"/>
      <c r="AG313" s="95"/>
      <c r="AH313" s="95"/>
      <c r="AI313" s="95"/>
      <c r="AJ313" s="95"/>
      <c r="AK313" s="95"/>
      <c r="AL313" s="95"/>
    </row>
    <row r="314" outlineLevel="1">
      <c r="A314" s="356" t="s">
        <v>764</v>
      </c>
      <c r="B314" s="84">
        <f t="shared" ref="B314:AL314" si="111">-B288*B269</f>
        <v>0</v>
      </c>
      <c r="C314" s="84">
        <f t="shared" si="111"/>
        <v>0</v>
      </c>
      <c r="D314" s="84">
        <f t="shared" si="111"/>
        <v>0</v>
      </c>
      <c r="E314" s="84">
        <f t="shared" si="111"/>
        <v>0</v>
      </c>
      <c r="F314" s="84">
        <f t="shared" si="111"/>
        <v>0</v>
      </c>
      <c r="G314" s="84">
        <f t="shared" si="111"/>
        <v>0</v>
      </c>
      <c r="H314" s="84">
        <f t="shared" si="111"/>
        <v>0</v>
      </c>
      <c r="I314" s="84">
        <f t="shared" si="111"/>
        <v>0</v>
      </c>
      <c r="J314" s="84">
        <f t="shared" si="111"/>
        <v>0</v>
      </c>
      <c r="K314" s="84">
        <f t="shared" si="111"/>
        <v>0</v>
      </c>
      <c r="L314" s="84">
        <f t="shared" si="111"/>
        <v>0</v>
      </c>
      <c r="M314" s="84">
        <f t="shared" si="111"/>
        <v>0</v>
      </c>
      <c r="N314" s="84">
        <f t="shared" si="111"/>
        <v>0</v>
      </c>
      <c r="O314" s="84">
        <f t="shared" si="111"/>
        <v>0</v>
      </c>
      <c r="P314" s="84">
        <f t="shared" si="111"/>
        <v>0</v>
      </c>
      <c r="Q314" s="84">
        <f t="shared" si="111"/>
        <v>0</v>
      </c>
      <c r="R314" s="84">
        <f t="shared" si="111"/>
        <v>0</v>
      </c>
      <c r="S314" s="84">
        <f t="shared" si="111"/>
        <v>0</v>
      </c>
      <c r="T314" s="84">
        <f t="shared" si="111"/>
        <v>0</v>
      </c>
      <c r="U314" s="84">
        <f t="shared" si="111"/>
        <v>0</v>
      </c>
      <c r="V314" s="84">
        <f t="shared" si="111"/>
        <v>0</v>
      </c>
      <c r="W314" s="84">
        <f t="shared" si="111"/>
        <v>0</v>
      </c>
      <c r="X314" s="84">
        <f t="shared" si="111"/>
        <v>0</v>
      </c>
      <c r="Y314" s="84">
        <f t="shared" si="111"/>
        <v>0</v>
      </c>
      <c r="Z314" s="84">
        <f t="shared" si="111"/>
        <v>0</v>
      </c>
      <c r="AA314" s="84">
        <f t="shared" si="111"/>
        <v>0</v>
      </c>
      <c r="AB314" s="84">
        <f t="shared" si="111"/>
        <v>0</v>
      </c>
      <c r="AC314" s="84">
        <f t="shared" si="111"/>
        <v>0</v>
      </c>
      <c r="AD314" s="84">
        <f t="shared" si="111"/>
        <v>0</v>
      </c>
      <c r="AE314" s="84">
        <f t="shared" si="111"/>
        <v>0</v>
      </c>
      <c r="AF314" s="84">
        <f t="shared" si="111"/>
        <v>0</v>
      </c>
      <c r="AG314" s="84">
        <f t="shared" si="111"/>
        <v>0</v>
      </c>
      <c r="AH314" s="84">
        <f t="shared" si="111"/>
        <v>0</v>
      </c>
      <c r="AI314" s="84">
        <f t="shared" si="111"/>
        <v>0</v>
      </c>
      <c r="AJ314" s="84">
        <f t="shared" si="111"/>
        <v>0</v>
      </c>
      <c r="AK314" s="84">
        <f t="shared" si="111"/>
        <v>0</v>
      </c>
      <c r="AL314" s="84">
        <f t="shared" si="111"/>
        <v>0</v>
      </c>
    </row>
    <row r="315" outlineLevel="1">
      <c r="A315" s="356" t="s">
        <v>765</v>
      </c>
      <c r="B315" s="84">
        <f t="shared" ref="B315:AL315" si="112">-B289*B270</f>
        <v>0</v>
      </c>
      <c r="C315" s="84">
        <f t="shared" si="112"/>
        <v>0</v>
      </c>
      <c r="D315" s="84">
        <f t="shared" si="112"/>
        <v>0</v>
      </c>
      <c r="E315" s="84">
        <f t="shared" si="112"/>
        <v>0</v>
      </c>
      <c r="F315" s="84">
        <f t="shared" si="112"/>
        <v>0</v>
      </c>
      <c r="G315" s="84">
        <f t="shared" si="112"/>
        <v>0</v>
      </c>
      <c r="H315" s="84">
        <f t="shared" si="112"/>
        <v>0</v>
      </c>
      <c r="I315" s="84">
        <f t="shared" si="112"/>
        <v>0</v>
      </c>
      <c r="J315" s="84">
        <f t="shared" si="112"/>
        <v>0</v>
      </c>
      <c r="K315" s="84">
        <f t="shared" si="112"/>
        <v>0</v>
      </c>
      <c r="L315" s="84">
        <f t="shared" si="112"/>
        <v>0</v>
      </c>
      <c r="M315" s="84">
        <f t="shared" si="112"/>
        <v>0</v>
      </c>
      <c r="N315" s="84">
        <f t="shared" si="112"/>
        <v>0</v>
      </c>
      <c r="O315" s="84">
        <f t="shared" si="112"/>
        <v>0</v>
      </c>
      <c r="P315" s="84">
        <f t="shared" si="112"/>
        <v>0</v>
      </c>
      <c r="Q315" s="84">
        <f t="shared" si="112"/>
        <v>0</v>
      </c>
      <c r="R315" s="84">
        <f t="shared" si="112"/>
        <v>0</v>
      </c>
      <c r="S315" s="84">
        <f t="shared" si="112"/>
        <v>0</v>
      </c>
      <c r="T315" s="84">
        <f t="shared" si="112"/>
        <v>0</v>
      </c>
      <c r="U315" s="84">
        <f t="shared" si="112"/>
        <v>0</v>
      </c>
      <c r="V315" s="84">
        <f t="shared" si="112"/>
        <v>0</v>
      </c>
      <c r="W315" s="84">
        <f t="shared" si="112"/>
        <v>0</v>
      </c>
      <c r="X315" s="84">
        <f t="shared" si="112"/>
        <v>0</v>
      </c>
      <c r="Y315" s="84">
        <f t="shared" si="112"/>
        <v>0</v>
      </c>
      <c r="Z315" s="84">
        <f t="shared" si="112"/>
        <v>0</v>
      </c>
      <c r="AA315" s="84">
        <f t="shared" si="112"/>
        <v>0</v>
      </c>
      <c r="AB315" s="84">
        <f t="shared" si="112"/>
        <v>0</v>
      </c>
      <c r="AC315" s="84">
        <f t="shared" si="112"/>
        <v>0</v>
      </c>
      <c r="AD315" s="84">
        <f t="shared" si="112"/>
        <v>0</v>
      </c>
      <c r="AE315" s="84">
        <f t="shared" si="112"/>
        <v>0</v>
      </c>
      <c r="AF315" s="84">
        <f t="shared" si="112"/>
        <v>0</v>
      </c>
      <c r="AG315" s="84">
        <f t="shared" si="112"/>
        <v>0</v>
      </c>
      <c r="AH315" s="84">
        <f t="shared" si="112"/>
        <v>0</v>
      </c>
      <c r="AI315" s="84">
        <f t="shared" si="112"/>
        <v>0</v>
      </c>
      <c r="AJ315" s="84">
        <f t="shared" si="112"/>
        <v>0</v>
      </c>
      <c r="AK315" s="84">
        <f t="shared" si="112"/>
        <v>0</v>
      </c>
      <c r="AL315" s="84">
        <f t="shared" si="112"/>
        <v>0</v>
      </c>
    </row>
    <row r="316" outlineLevel="1">
      <c r="A316" s="142"/>
      <c r="B316" s="95"/>
      <c r="C316" s="95"/>
      <c r="D316" s="95"/>
      <c r="E316" s="95"/>
      <c r="F316" s="95"/>
      <c r="G316" s="95"/>
      <c r="H316" s="95"/>
      <c r="I316" s="95"/>
      <c r="J316" s="95"/>
      <c r="K316" s="95"/>
      <c r="L316" s="95"/>
      <c r="M316" s="95"/>
      <c r="N316" s="95"/>
      <c r="O316" s="95"/>
      <c r="P316" s="95"/>
      <c r="Q316" s="95"/>
      <c r="R316" s="95"/>
      <c r="S316" s="95"/>
      <c r="T316" s="95"/>
      <c r="U316" s="95"/>
      <c r="V316" s="95"/>
      <c r="W316" s="95"/>
      <c r="X316" s="95"/>
      <c r="Y316" s="95"/>
      <c r="Z316" s="95"/>
      <c r="AA316" s="95"/>
      <c r="AB316" s="95"/>
      <c r="AC316" s="95"/>
      <c r="AD316" s="95"/>
      <c r="AE316" s="95"/>
      <c r="AF316" s="95"/>
      <c r="AG316" s="95"/>
      <c r="AH316" s="95"/>
      <c r="AI316" s="95"/>
      <c r="AJ316" s="95"/>
      <c r="AK316" s="95"/>
      <c r="AL316" s="95"/>
    </row>
    <row r="317" outlineLevel="1">
      <c r="A317" s="651" t="s">
        <v>762</v>
      </c>
      <c r="B317" s="95"/>
      <c r="C317" s="95"/>
      <c r="D317" s="95"/>
      <c r="E317" s="95"/>
      <c r="F317" s="95"/>
      <c r="G317" s="95"/>
      <c r="H317" s="95"/>
      <c r="I317" s="95"/>
      <c r="J317" s="95"/>
      <c r="K317" s="95"/>
      <c r="L317" s="95"/>
      <c r="M317" s="95"/>
      <c r="N317" s="95"/>
      <c r="O317" s="95"/>
      <c r="P317" s="95"/>
      <c r="Q317" s="95"/>
      <c r="R317" s="95"/>
      <c r="S317" s="95"/>
      <c r="T317" s="95"/>
      <c r="U317" s="95"/>
      <c r="V317" s="95"/>
      <c r="W317" s="95"/>
      <c r="X317" s="95"/>
      <c r="Y317" s="95"/>
      <c r="Z317" s="95"/>
      <c r="AA317" s="95"/>
      <c r="AB317" s="95"/>
      <c r="AC317" s="95"/>
      <c r="AD317" s="95"/>
      <c r="AE317" s="95"/>
      <c r="AF317" s="95"/>
      <c r="AG317" s="95"/>
      <c r="AH317" s="95"/>
      <c r="AI317" s="95"/>
      <c r="AJ317" s="95"/>
      <c r="AK317" s="95"/>
      <c r="AL317" s="95"/>
    </row>
    <row r="318" outlineLevel="1">
      <c r="A318" s="356" t="s">
        <v>764</v>
      </c>
      <c r="B318" s="84">
        <f t="shared" ref="B318:AL318" si="113">-B292*B269</f>
        <v>45.74104581</v>
      </c>
      <c r="C318" s="84">
        <f t="shared" si="113"/>
        <v>104.9670822</v>
      </c>
      <c r="D318" s="84">
        <f t="shared" si="113"/>
        <v>60.25098716</v>
      </c>
      <c r="E318" s="84">
        <f t="shared" si="113"/>
        <v>73.59704807</v>
      </c>
      <c r="F318" s="84">
        <f t="shared" si="113"/>
        <v>244.4175929</v>
      </c>
      <c r="G318" s="84">
        <f t="shared" si="113"/>
        <v>86.13639483</v>
      </c>
      <c r="H318" s="84">
        <f t="shared" si="113"/>
        <v>86.52592045</v>
      </c>
      <c r="I318" s="84">
        <f t="shared" si="113"/>
        <v>221.2033767</v>
      </c>
      <c r="J318" s="84">
        <f t="shared" si="113"/>
        <v>31.07736989</v>
      </c>
      <c r="K318" s="84">
        <f t="shared" si="113"/>
        <v>79.3752796</v>
      </c>
      <c r="L318" s="84">
        <f t="shared" si="113"/>
        <v>5.56110649</v>
      </c>
      <c r="M318" s="84">
        <f t="shared" si="113"/>
        <v>39.29711057</v>
      </c>
      <c r="N318" s="84">
        <f t="shared" si="113"/>
        <v>20.82315273</v>
      </c>
      <c r="O318" s="84">
        <f t="shared" si="113"/>
        <v>13.25363639</v>
      </c>
      <c r="P318" s="84">
        <f t="shared" si="113"/>
        <v>29.1358673</v>
      </c>
      <c r="Q318" s="84">
        <f t="shared" si="113"/>
        <v>166.4161117</v>
      </c>
      <c r="R318" s="84">
        <f t="shared" si="113"/>
        <v>26.52680028</v>
      </c>
      <c r="S318" s="84">
        <f t="shared" si="113"/>
        <v>196.3772135</v>
      </c>
      <c r="T318" s="84">
        <f t="shared" si="113"/>
        <v>153.3331371</v>
      </c>
      <c r="U318" s="84">
        <f t="shared" si="113"/>
        <v>215.6553783</v>
      </c>
      <c r="V318" s="84">
        <f t="shared" si="113"/>
        <v>251.8169715</v>
      </c>
      <c r="W318" s="84">
        <f t="shared" si="113"/>
        <v>266.3832254</v>
      </c>
      <c r="X318" s="84">
        <f t="shared" si="113"/>
        <v>73.24821827</v>
      </c>
      <c r="Y318" s="84">
        <f t="shared" si="113"/>
        <v>139.0789298</v>
      </c>
      <c r="Z318" s="84">
        <f t="shared" si="113"/>
        <v>31.28982184</v>
      </c>
      <c r="AA318" s="84">
        <f t="shared" si="113"/>
        <v>119.7246971</v>
      </c>
      <c r="AB318" s="84">
        <f t="shared" si="113"/>
        <v>185.1586001</v>
      </c>
      <c r="AC318" s="84">
        <f t="shared" si="113"/>
        <v>152.9385931</v>
      </c>
      <c r="AD318" s="84">
        <f t="shared" si="113"/>
        <v>112.3191219</v>
      </c>
      <c r="AE318" s="84">
        <f t="shared" si="113"/>
        <v>42.36029003</v>
      </c>
      <c r="AF318" s="84">
        <f t="shared" si="113"/>
        <v>113.8893945</v>
      </c>
      <c r="AG318" s="84">
        <f t="shared" si="113"/>
        <v>81.89010201</v>
      </c>
      <c r="AH318" s="84">
        <f t="shared" si="113"/>
        <v>41.77707006</v>
      </c>
      <c r="AI318" s="84">
        <f t="shared" si="113"/>
        <v>456.6207611</v>
      </c>
      <c r="AJ318" s="84">
        <f t="shared" si="113"/>
        <v>125.4822207</v>
      </c>
      <c r="AK318" s="84">
        <f t="shared" si="113"/>
        <v>103.2517704</v>
      </c>
      <c r="AL318" s="84">
        <f t="shared" si="113"/>
        <v>262.9779858</v>
      </c>
    </row>
    <row r="319" outlineLevel="1">
      <c r="A319" s="356" t="s">
        <v>765</v>
      </c>
      <c r="B319" s="84">
        <f t="shared" ref="B319:AL319" si="114">-B293*B270</f>
        <v>52.7391385</v>
      </c>
      <c r="C319" s="84">
        <f t="shared" si="114"/>
        <v>121.0263864</v>
      </c>
      <c r="D319" s="84">
        <f t="shared" si="114"/>
        <v>69.46900975</v>
      </c>
      <c r="E319" s="84">
        <f t="shared" si="114"/>
        <v>84.85693414</v>
      </c>
      <c r="F319" s="84">
        <f t="shared" si="114"/>
        <v>281.8119494</v>
      </c>
      <c r="G319" s="84">
        <f t="shared" si="114"/>
        <v>99.31472219</v>
      </c>
      <c r="H319" s="84">
        <f t="shared" si="114"/>
        <v>99.76384279</v>
      </c>
      <c r="I319" s="84">
        <f t="shared" si="114"/>
        <v>255.046104</v>
      </c>
      <c r="J319" s="84">
        <f t="shared" si="114"/>
        <v>35.83201228</v>
      </c>
      <c r="K319" s="84">
        <f t="shared" si="114"/>
        <v>91.5191988</v>
      </c>
      <c r="L319" s="84">
        <f t="shared" si="114"/>
        <v>6.411920852</v>
      </c>
      <c r="M319" s="84">
        <f t="shared" si="114"/>
        <v>45.30932165</v>
      </c>
      <c r="N319" s="84">
        <f t="shared" si="114"/>
        <v>24.00896431</v>
      </c>
      <c r="O319" s="84">
        <f t="shared" si="114"/>
        <v>15.28135951</v>
      </c>
      <c r="P319" s="84">
        <f t="shared" si="114"/>
        <v>33.59347199</v>
      </c>
      <c r="Q319" s="84">
        <f t="shared" si="114"/>
        <v>191.8767315</v>
      </c>
      <c r="R319" s="84">
        <f t="shared" si="114"/>
        <v>30.5852341</v>
      </c>
      <c r="S319" s="84">
        <f t="shared" si="114"/>
        <v>226.4216937</v>
      </c>
      <c r="T319" s="84">
        <f t="shared" si="114"/>
        <v>176.792144</v>
      </c>
      <c r="U319" s="84">
        <f t="shared" si="114"/>
        <v>248.6492966</v>
      </c>
      <c r="V319" s="84">
        <f t="shared" si="114"/>
        <v>290.3433865</v>
      </c>
      <c r="W319" s="84">
        <f t="shared" si="114"/>
        <v>307.1381857</v>
      </c>
      <c r="X319" s="84">
        <f t="shared" si="114"/>
        <v>84.45473558</v>
      </c>
      <c r="Y319" s="84">
        <f t="shared" si="114"/>
        <v>160.3571325</v>
      </c>
      <c r="Z319" s="84">
        <f t="shared" si="114"/>
        <v>36.07696804</v>
      </c>
      <c r="AA319" s="84">
        <f t="shared" si="114"/>
        <v>138.0418237</v>
      </c>
      <c r="AB319" s="84">
        <f t="shared" si="114"/>
        <v>213.4867029</v>
      </c>
      <c r="AC319" s="84">
        <f t="shared" si="114"/>
        <v>176.3372372</v>
      </c>
      <c r="AD319" s="84">
        <f t="shared" si="114"/>
        <v>129.5032421</v>
      </c>
      <c r="AE319" s="84">
        <f t="shared" si="114"/>
        <v>48.84114833</v>
      </c>
      <c r="AF319" s="84">
        <f t="shared" si="114"/>
        <v>131.3137564</v>
      </c>
      <c r="AG319" s="84">
        <f t="shared" si="114"/>
        <v>94.41877325</v>
      </c>
      <c r="AH319" s="84">
        <f t="shared" si="114"/>
        <v>48.16869936</v>
      </c>
      <c r="AI319" s="84">
        <f t="shared" si="114"/>
        <v>526.4808694</v>
      </c>
      <c r="AJ319" s="84">
        <f t="shared" si="114"/>
        <v>144.6802123</v>
      </c>
      <c r="AK319" s="84">
        <f t="shared" si="114"/>
        <v>119.0486427</v>
      </c>
      <c r="AL319" s="84">
        <f t="shared" si="114"/>
        <v>303.2119658</v>
      </c>
    </row>
    <row r="320" outlineLevel="1">
      <c r="A320" s="142"/>
      <c r="B320" s="95"/>
      <c r="C320" s="95"/>
      <c r="D320" s="95"/>
      <c r="E320" s="95"/>
      <c r="F320" s="95"/>
      <c r="G320" s="95"/>
      <c r="H320" s="95"/>
      <c r="I320" s="95"/>
      <c r="J320" s="95"/>
      <c r="K320" s="95"/>
      <c r="L320" s="95"/>
      <c r="M320" s="95"/>
      <c r="N320" s="95"/>
      <c r="O320" s="95"/>
      <c r="P320" s="95"/>
      <c r="Q320" s="95"/>
      <c r="R320" s="95"/>
      <c r="S320" s="95"/>
      <c r="T320" s="95"/>
      <c r="U320" s="95"/>
      <c r="V320" s="95"/>
      <c r="W320" s="95"/>
      <c r="X320" s="95"/>
      <c r="Y320" s="95"/>
      <c r="Z320" s="95"/>
      <c r="AA320" s="95"/>
      <c r="AB320" s="95"/>
      <c r="AC320" s="95"/>
      <c r="AD320" s="95"/>
      <c r="AE320" s="95"/>
      <c r="AF320" s="95"/>
      <c r="AG320" s="95"/>
      <c r="AH320" s="95"/>
      <c r="AI320" s="95"/>
      <c r="AJ320" s="95"/>
      <c r="AK320" s="95"/>
      <c r="AL320" s="95"/>
    </row>
    <row r="321" outlineLevel="1">
      <c r="A321" s="365" t="s">
        <v>768</v>
      </c>
      <c r="B321" s="95"/>
      <c r="C321" s="95"/>
      <c r="D321" s="95"/>
      <c r="E321" s="95"/>
      <c r="F321" s="95"/>
      <c r="G321" s="95"/>
      <c r="H321" s="95"/>
      <c r="I321" s="95"/>
      <c r="J321" s="95"/>
      <c r="K321" s="95"/>
      <c r="L321" s="95"/>
      <c r="M321" s="95"/>
      <c r="N321" s="95"/>
      <c r="O321" s="95"/>
      <c r="P321" s="95"/>
      <c r="Q321" s="95"/>
      <c r="R321" s="95"/>
      <c r="S321" s="95"/>
      <c r="T321" s="95"/>
      <c r="U321" s="95"/>
      <c r="V321" s="95"/>
      <c r="W321" s="95"/>
      <c r="X321" s="95"/>
      <c r="Y321" s="95"/>
      <c r="Z321" s="95"/>
      <c r="AA321" s="95"/>
      <c r="AB321" s="95"/>
      <c r="AC321" s="95"/>
      <c r="AD321" s="95"/>
      <c r="AE321" s="95"/>
      <c r="AF321" s="95"/>
      <c r="AG321" s="95"/>
      <c r="AH321" s="95"/>
      <c r="AI321" s="95"/>
      <c r="AJ321" s="95"/>
      <c r="AK321" s="95"/>
      <c r="AL321" s="95"/>
    </row>
    <row r="322" outlineLevel="1">
      <c r="A322" s="142" t="s">
        <v>217</v>
      </c>
      <c r="B322" s="168">
        <f t="shared" ref="B322:AL322" si="115">sum(B297:B298,B310:B311)</f>
        <v>267.1880588</v>
      </c>
      <c r="C322" s="168">
        <f t="shared" si="115"/>
        <v>1308.416338</v>
      </c>
      <c r="D322" s="168">
        <f t="shared" si="115"/>
        <v>192.7244835</v>
      </c>
      <c r="E322" s="168">
        <f t="shared" si="115"/>
        <v>315.7166126</v>
      </c>
      <c r="F322" s="168">
        <f t="shared" si="115"/>
        <v>3602.969039</v>
      </c>
      <c r="G322" s="168">
        <f t="shared" si="115"/>
        <v>556.4640121</v>
      </c>
      <c r="H322" s="168">
        <f t="shared" si="115"/>
        <v>558.1493664</v>
      </c>
      <c r="I322" s="168">
        <f t="shared" si="115"/>
        <v>1150.353646</v>
      </c>
      <c r="J322" s="168">
        <f t="shared" si="115"/>
        <v>28.3692891</v>
      </c>
      <c r="K322" s="168">
        <f t="shared" si="115"/>
        <v>425.7116714</v>
      </c>
      <c r="L322" s="168">
        <f t="shared" si="115"/>
        <v>-188.3241243</v>
      </c>
      <c r="M322" s="168">
        <f t="shared" si="115"/>
        <v>110.7737742</v>
      </c>
      <c r="N322" s="168">
        <f t="shared" si="115"/>
        <v>-67.20961311</v>
      </c>
      <c r="O322" s="168">
        <f t="shared" si="115"/>
        <v>-168.1250232</v>
      </c>
      <c r="P322" s="168">
        <f t="shared" si="115"/>
        <v>14.81671984</v>
      </c>
      <c r="Q322" s="168">
        <f t="shared" si="115"/>
        <v>1968.565154</v>
      </c>
      <c r="R322" s="168">
        <f t="shared" si="115"/>
        <v>-62.33277508</v>
      </c>
      <c r="S322" s="168">
        <f t="shared" si="115"/>
        <v>3717.677143</v>
      </c>
      <c r="T322" s="168">
        <f t="shared" si="115"/>
        <v>1507.091473</v>
      </c>
      <c r="U322" s="168">
        <f t="shared" si="115"/>
        <v>2139.13739</v>
      </c>
      <c r="V322" s="168">
        <f t="shared" si="115"/>
        <v>3072.631468</v>
      </c>
      <c r="W322" s="168">
        <f t="shared" si="115"/>
        <v>3292.92279</v>
      </c>
      <c r="X322" s="168">
        <f t="shared" si="115"/>
        <v>322.8794276</v>
      </c>
      <c r="Y322" s="168">
        <f t="shared" si="115"/>
        <v>458.9818647</v>
      </c>
      <c r="Z322" s="168">
        <f t="shared" si="115"/>
        <v>-84.33251872</v>
      </c>
      <c r="AA322" s="168">
        <f t="shared" si="115"/>
        <v>786.8512735</v>
      </c>
      <c r="AB322" s="168">
        <f t="shared" si="115"/>
        <v>1294.913041</v>
      </c>
      <c r="AC322" s="168">
        <f t="shared" si="115"/>
        <v>555.4881454</v>
      </c>
      <c r="AD322" s="168">
        <f t="shared" si="115"/>
        <v>475.1679204</v>
      </c>
      <c r="AE322" s="168">
        <f t="shared" si="115"/>
        <v>-46.15755404</v>
      </c>
      <c r="AF322" s="168">
        <f t="shared" si="115"/>
        <v>264.1766597</v>
      </c>
      <c r="AG322" s="168">
        <f t="shared" si="115"/>
        <v>425.7548458</v>
      </c>
      <c r="AH322" s="168">
        <f t="shared" si="115"/>
        <v>140.6631943</v>
      </c>
      <c r="AI322" s="168">
        <f t="shared" si="115"/>
        <v>5753.022129</v>
      </c>
      <c r="AJ322" s="168">
        <f t="shared" si="115"/>
        <v>1536.593354</v>
      </c>
      <c r="AK322" s="168">
        <f t="shared" si="115"/>
        <v>1239.162372</v>
      </c>
      <c r="AL322" s="168">
        <f t="shared" si="115"/>
        <v>4748.885876</v>
      </c>
    </row>
    <row r="323" outlineLevel="1">
      <c r="A323" s="356" t="s">
        <v>761</v>
      </c>
      <c r="B323" s="168">
        <f t="shared" ref="B323:AL323" si="116">sum(B301:B302,B314:B315)</f>
        <v>0</v>
      </c>
      <c r="C323" s="168">
        <f t="shared" si="116"/>
        <v>0</v>
      </c>
      <c r="D323" s="168">
        <f t="shared" si="116"/>
        <v>0</v>
      </c>
      <c r="E323" s="168">
        <f t="shared" si="116"/>
        <v>0</v>
      </c>
      <c r="F323" s="168">
        <f t="shared" si="116"/>
        <v>0</v>
      </c>
      <c r="G323" s="168">
        <f t="shared" si="116"/>
        <v>0</v>
      </c>
      <c r="H323" s="168">
        <f t="shared" si="116"/>
        <v>0</v>
      </c>
      <c r="I323" s="168">
        <f t="shared" si="116"/>
        <v>0</v>
      </c>
      <c r="J323" s="168">
        <f t="shared" si="116"/>
        <v>0</v>
      </c>
      <c r="K323" s="168">
        <f t="shared" si="116"/>
        <v>0</v>
      </c>
      <c r="L323" s="168">
        <f t="shared" si="116"/>
        <v>0</v>
      </c>
      <c r="M323" s="168">
        <f t="shared" si="116"/>
        <v>0</v>
      </c>
      <c r="N323" s="168">
        <f t="shared" si="116"/>
        <v>0</v>
      </c>
      <c r="O323" s="168">
        <f t="shared" si="116"/>
        <v>0</v>
      </c>
      <c r="P323" s="168">
        <f t="shared" si="116"/>
        <v>0</v>
      </c>
      <c r="Q323" s="168">
        <f t="shared" si="116"/>
        <v>0</v>
      </c>
      <c r="R323" s="168">
        <f t="shared" si="116"/>
        <v>0</v>
      </c>
      <c r="S323" s="168">
        <f t="shared" si="116"/>
        <v>0</v>
      </c>
      <c r="T323" s="168">
        <f t="shared" si="116"/>
        <v>0</v>
      </c>
      <c r="U323" s="168">
        <f t="shared" si="116"/>
        <v>0</v>
      </c>
      <c r="V323" s="168">
        <f t="shared" si="116"/>
        <v>0</v>
      </c>
      <c r="W323" s="168">
        <f t="shared" si="116"/>
        <v>0</v>
      </c>
      <c r="X323" s="168">
        <f t="shared" si="116"/>
        <v>0</v>
      </c>
      <c r="Y323" s="168">
        <f t="shared" si="116"/>
        <v>0</v>
      </c>
      <c r="Z323" s="168">
        <f t="shared" si="116"/>
        <v>0</v>
      </c>
      <c r="AA323" s="168">
        <f t="shared" si="116"/>
        <v>0</v>
      </c>
      <c r="AB323" s="168">
        <f t="shared" si="116"/>
        <v>0</v>
      </c>
      <c r="AC323" s="168">
        <f t="shared" si="116"/>
        <v>0</v>
      </c>
      <c r="AD323" s="168">
        <f t="shared" si="116"/>
        <v>0</v>
      </c>
      <c r="AE323" s="168">
        <f t="shared" si="116"/>
        <v>0</v>
      </c>
      <c r="AF323" s="168">
        <f t="shared" si="116"/>
        <v>0</v>
      </c>
      <c r="AG323" s="168">
        <f t="shared" si="116"/>
        <v>0</v>
      </c>
      <c r="AH323" s="168">
        <f t="shared" si="116"/>
        <v>0</v>
      </c>
      <c r="AI323" s="168">
        <f t="shared" si="116"/>
        <v>0</v>
      </c>
      <c r="AJ323" s="168">
        <f t="shared" si="116"/>
        <v>0</v>
      </c>
      <c r="AK323" s="168">
        <f t="shared" si="116"/>
        <v>0</v>
      </c>
      <c r="AL323" s="168">
        <f t="shared" si="116"/>
        <v>0</v>
      </c>
    </row>
    <row r="324" outlineLevel="1">
      <c r="A324" s="651" t="s">
        <v>762</v>
      </c>
      <c r="B324" s="168">
        <f t="shared" ref="B324:AL324" si="117">sum(B305:B306,B318:B319)</f>
        <v>-29.69778306</v>
      </c>
      <c r="C324" s="168">
        <f t="shared" si="117"/>
        <v>-463.7010512</v>
      </c>
      <c r="D324" s="168">
        <f t="shared" si="117"/>
        <v>-22.88131178</v>
      </c>
      <c r="E324" s="168">
        <f t="shared" si="117"/>
        <v>-60.70942732</v>
      </c>
      <c r="F324" s="168">
        <f t="shared" si="117"/>
        <v>-3109.441268</v>
      </c>
      <c r="G324" s="168">
        <f t="shared" si="117"/>
        <v>-146.1030305</v>
      </c>
      <c r="H324" s="168">
        <f t="shared" si="117"/>
        <v>-147.2915013</v>
      </c>
      <c r="I324" s="168">
        <f t="shared" si="117"/>
        <v>-850.6460159</v>
      </c>
      <c r="J324" s="168">
        <f t="shared" si="117"/>
        <v>6.683313094</v>
      </c>
      <c r="K324" s="168">
        <f t="shared" si="117"/>
        <v>-97.07393248</v>
      </c>
      <c r="L324" s="168">
        <f t="shared" si="117"/>
        <v>5.557173262</v>
      </c>
      <c r="M324" s="168">
        <f t="shared" si="117"/>
        <v>-3.268632323</v>
      </c>
      <c r="N324" s="168">
        <f t="shared" si="117"/>
        <v>11.68106397</v>
      </c>
      <c r="O324" s="168">
        <f t="shared" si="117"/>
        <v>12.27538317</v>
      </c>
      <c r="P324" s="168">
        <f t="shared" si="117"/>
        <v>7.694850729</v>
      </c>
      <c r="Q324" s="168">
        <f t="shared" si="117"/>
        <v>-1132.751354</v>
      </c>
      <c r="R324" s="168">
        <f t="shared" si="117"/>
        <v>14.41241782</v>
      </c>
      <c r="S324" s="168">
        <f t="shared" si="117"/>
        <v>-2579.803723</v>
      </c>
      <c r="T324" s="168">
        <f t="shared" si="117"/>
        <v>-787.6131198</v>
      </c>
      <c r="U324" s="168">
        <f t="shared" si="117"/>
        <v>-1601.038834</v>
      </c>
      <c r="V324" s="168">
        <f t="shared" si="117"/>
        <v>-2720.249194</v>
      </c>
      <c r="W324" s="168">
        <f t="shared" si="117"/>
        <v>-3089.977622</v>
      </c>
      <c r="X324" s="168">
        <f t="shared" si="117"/>
        <v>-62.32049942</v>
      </c>
      <c r="Y324" s="168">
        <f t="shared" si="117"/>
        <v>-186.8362805</v>
      </c>
      <c r="Z324" s="168">
        <f t="shared" si="117"/>
        <v>19.49152478</v>
      </c>
      <c r="AA324" s="168">
        <f t="shared" si="117"/>
        <v>-302.9011694</v>
      </c>
      <c r="AB324" s="168">
        <f t="shared" si="117"/>
        <v>-808.9052293</v>
      </c>
      <c r="AC324" s="168">
        <f t="shared" si="117"/>
        <v>-258.8715937</v>
      </c>
      <c r="AD324" s="168">
        <f t="shared" si="117"/>
        <v>-157.4671742</v>
      </c>
      <c r="AE324" s="168">
        <f t="shared" si="117"/>
        <v>20.53522409</v>
      </c>
      <c r="AF324" s="168">
        <f t="shared" si="117"/>
        <v>-72.70247246</v>
      </c>
      <c r="AG324" s="168">
        <f t="shared" si="117"/>
        <v>-100.1622914</v>
      </c>
      <c r="AH324" s="168">
        <f t="shared" si="117"/>
        <v>-7.994072246</v>
      </c>
      <c r="AI324" s="168">
        <f t="shared" si="117"/>
        <v>-9362.15559</v>
      </c>
      <c r="AJ324" s="168">
        <f t="shared" si="117"/>
        <v>-657.9515465</v>
      </c>
      <c r="AK324" s="168">
        <f t="shared" si="117"/>
        <v>-430.2446796</v>
      </c>
      <c r="AL324" s="168">
        <f t="shared" si="117"/>
        <v>-4436.187626</v>
      </c>
    </row>
    <row r="325" outlineLevel="1">
      <c r="A325" s="142"/>
      <c r="B325" s="95"/>
      <c r="C325" s="95"/>
      <c r="D325" s="95"/>
      <c r="E325" s="95"/>
      <c r="F325" s="95"/>
      <c r="G325" s="95"/>
      <c r="H325" s="95"/>
      <c r="I325" s="95"/>
      <c r="J325" s="95"/>
      <c r="K325" s="95"/>
      <c r="L325" s="95"/>
      <c r="M325" s="95"/>
      <c r="N325" s="95"/>
      <c r="O325" s="95"/>
      <c r="P325" s="95"/>
      <c r="Q325" s="95"/>
      <c r="R325" s="95"/>
      <c r="S325" s="95"/>
      <c r="T325" s="95"/>
      <c r="U325" s="95"/>
      <c r="V325" s="95"/>
      <c r="W325" s="95"/>
      <c r="X325" s="95"/>
      <c r="Y325" s="95"/>
      <c r="Z325" s="95"/>
      <c r="AA325" s="95"/>
      <c r="AB325" s="95"/>
      <c r="AC325" s="95"/>
      <c r="AD325" s="95"/>
      <c r="AE325" s="95"/>
      <c r="AF325" s="95"/>
      <c r="AG325" s="95"/>
      <c r="AH325" s="95"/>
      <c r="AI325" s="95"/>
      <c r="AJ325" s="95"/>
      <c r="AK325" s="95"/>
      <c r="AL325" s="95"/>
    </row>
    <row r="326" outlineLevel="1">
      <c r="A326" s="365" t="s">
        <v>769</v>
      </c>
      <c r="B326" s="95"/>
      <c r="C326" s="95"/>
      <c r="D326" s="95"/>
      <c r="E326" s="95"/>
      <c r="F326" s="95"/>
      <c r="G326" s="95"/>
      <c r="H326" s="95"/>
      <c r="I326" s="95"/>
      <c r="J326" s="95"/>
      <c r="K326" s="95"/>
      <c r="L326" s="95"/>
      <c r="M326" s="95"/>
      <c r="N326" s="95"/>
      <c r="O326" s="95"/>
      <c r="P326" s="95"/>
      <c r="Q326" s="95"/>
      <c r="R326" s="95"/>
      <c r="S326" s="95"/>
      <c r="T326" s="95"/>
      <c r="U326" s="95"/>
      <c r="V326" s="95"/>
      <c r="W326" s="95"/>
      <c r="X326" s="95"/>
      <c r="Y326" s="95"/>
      <c r="Z326" s="95"/>
      <c r="AA326" s="95"/>
      <c r="AB326" s="95"/>
      <c r="AC326" s="95"/>
      <c r="AD326" s="95"/>
      <c r="AE326" s="95"/>
      <c r="AF326" s="95"/>
      <c r="AG326" s="95"/>
      <c r="AH326" s="95"/>
      <c r="AI326" s="95"/>
      <c r="AJ326" s="95"/>
      <c r="AK326" s="95"/>
      <c r="AL326" s="95"/>
    </row>
    <row r="327" outlineLevel="1">
      <c r="A327" s="142" t="s">
        <v>217</v>
      </c>
      <c r="B327" s="168">
        <f t="shared" ref="B327:AL327" si="118">(B$17/B26)*B$251-B322</f>
        <v>507.1038557</v>
      </c>
      <c r="C327" s="168">
        <f t="shared" si="118"/>
        <v>507.1038557</v>
      </c>
      <c r="D327" s="168">
        <f t="shared" si="118"/>
        <v>507.1038557</v>
      </c>
      <c r="E327" s="168">
        <f t="shared" si="118"/>
        <v>507.1038557</v>
      </c>
      <c r="F327" s="168">
        <f t="shared" si="118"/>
        <v>507.1038557</v>
      </c>
      <c r="G327" s="168">
        <f t="shared" si="118"/>
        <v>507.1038557</v>
      </c>
      <c r="H327" s="168">
        <f t="shared" si="118"/>
        <v>507.1038557</v>
      </c>
      <c r="I327" s="168">
        <f t="shared" si="118"/>
        <v>507.1038557</v>
      </c>
      <c r="J327" s="168">
        <f t="shared" si="118"/>
        <v>507.1038557</v>
      </c>
      <c r="K327" s="168">
        <f t="shared" si="118"/>
        <v>507.1038557</v>
      </c>
      <c r="L327" s="168">
        <f t="shared" si="118"/>
        <v>507.1038557</v>
      </c>
      <c r="M327" s="168">
        <f t="shared" si="118"/>
        <v>507.1038557</v>
      </c>
      <c r="N327" s="168">
        <f t="shared" si="118"/>
        <v>507.1038557</v>
      </c>
      <c r="O327" s="168">
        <f t="shared" si="118"/>
        <v>507.1038557</v>
      </c>
      <c r="P327" s="168">
        <f t="shared" si="118"/>
        <v>507.1038557</v>
      </c>
      <c r="Q327" s="168">
        <f t="shared" si="118"/>
        <v>507.1038557</v>
      </c>
      <c r="R327" s="168">
        <f t="shared" si="118"/>
        <v>507.1038557</v>
      </c>
      <c r="S327" s="168">
        <f t="shared" si="118"/>
        <v>507.1038557</v>
      </c>
      <c r="T327" s="168">
        <f t="shared" si="118"/>
        <v>507.1038557</v>
      </c>
      <c r="U327" s="168">
        <f t="shared" si="118"/>
        <v>507.1038557</v>
      </c>
      <c r="V327" s="168">
        <f t="shared" si="118"/>
        <v>507.1038557</v>
      </c>
      <c r="W327" s="168">
        <f t="shared" si="118"/>
        <v>507.1038557</v>
      </c>
      <c r="X327" s="168">
        <f t="shared" si="118"/>
        <v>507.1038557</v>
      </c>
      <c r="Y327" s="168">
        <f t="shared" si="118"/>
        <v>507.1038557</v>
      </c>
      <c r="Z327" s="168">
        <f t="shared" si="118"/>
        <v>507.1038557</v>
      </c>
      <c r="AA327" s="168">
        <f t="shared" si="118"/>
        <v>507.1038557</v>
      </c>
      <c r="AB327" s="168">
        <f t="shared" si="118"/>
        <v>507.1038557</v>
      </c>
      <c r="AC327" s="168">
        <f t="shared" si="118"/>
        <v>507.1038557</v>
      </c>
      <c r="AD327" s="168">
        <f t="shared" si="118"/>
        <v>507.1038557</v>
      </c>
      <c r="AE327" s="168">
        <f t="shared" si="118"/>
        <v>507.1038557</v>
      </c>
      <c r="AF327" s="168">
        <f t="shared" si="118"/>
        <v>507.1038557</v>
      </c>
      <c r="AG327" s="168">
        <f t="shared" si="118"/>
        <v>507.1038557</v>
      </c>
      <c r="AH327" s="168">
        <f t="shared" si="118"/>
        <v>507.1038557</v>
      </c>
      <c r="AI327" s="168">
        <f t="shared" si="118"/>
        <v>507.1038557</v>
      </c>
      <c r="AJ327" s="168">
        <f t="shared" si="118"/>
        <v>507.1038557</v>
      </c>
      <c r="AK327" s="168">
        <f t="shared" si="118"/>
        <v>507.1038557</v>
      </c>
      <c r="AL327" s="168">
        <f t="shared" si="118"/>
        <v>507.1038557</v>
      </c>
    </row>
    <row r="328" outlineLevel="1">
      <c r="A328" s="356" t="s">
        <v>761</v>
      </c>
      <c r="B328" s="168">
        <f t="shared" ref="B328:AL328" si="119">(B$17/B26)*B$251-B323</f>
        <v>774.2919145</v>
      </c>
      <c r="C328" s="168">
        <f t="shared" si="119"/>
        <v>1815.520194</v>
      </c>
      <c r="D328" s="168">
        <f t="shared" si="119"/>
        <v>699.8283391</v>
      </c>
      <c r="E328" s="168">
        <f t="shared" si="119"/>
        <v>822.8204682</v>
      </c>
      <c r="F328" s="168">
        <f t="shared" si="119"/>
        <v>4110.072894</v>
      </c>
      <c r="G328" s="168">
        <f t="shared" si="119"/>
        <v>1063.567868</v>
      </c>
      <c r="H328" s="168">
        <f t="shared" si="119"/>
        <v>1065.253222</v>
      </c>
      <c r="I328" s="168">
        <f t="shared" si="119"/>
        <v>1657.457501</v>
      </c>
      <c r="J328" s="168">
        <f t="shared" si="119"/>
        <v>535.4731447</v>
      </c>
      <c r="K328" s="168">
        <f t="shared" si="119"/>
        <v>932.8155271</v>
      </c>
      <c r="L328" s="168">
        <f t="shared" si="119"/>
        <v>318.7797313</v>
      </c>
      <c r="M328" s="168">
        <f t="shared" si="119"/>
        <v>617.8776299</v>
      </c>
      <c r="N328" s="168">
        <f t="shared" si="119"/>
        <v>439.8942425</v>
      </c>
      <c r="O328" s="168">
        <f t="shared" si="119"/>
        <v>338.9788324</v>
      </c>
      <c r="P328" s="168">
        <f t="shared" si="119"/>
        <v>521.9205755</v>
      </c>
      <c r="Q328" s="168">
        <f t="shared" si="119"/>
        <v>2475.66901</v>
      </c>
      <c r="R328" s="168">
        <f t="shared" si="119"/>
        <v>444.7710806</v>
      </c>
      <c r="S328" s="168">
        <f t="shared" si="119"/>
        <v>4224.780999</v>
      </c>
      <c r="T328" s="168">
        <f t="shared" si="119"/>
        <v>2014.195328</v>
      </c>
      <c r="U328" s="168">
        <f t="shared" si="119"/>
        <v>2646.241245</v>
      </c>
      <c r="V328" s="168">
        <f t="shared" si="119"/>
        <v>3579.735324</v>
      </c>
      <c r="W328" s="168">
        <f t="shared" si="119"/>
        <v>3800.026646</v>
      </c>
      <c r="X328" s="168">
        <f t="shared" si="119"/>
        <v>829.9832832</v>
      </c>
      <c r="Y328" s="168">
        <f t="shared" si="119"/>
        <v>966.0857204</v>
      </c>
      <c r="Z328" s="168">
        <f t="shared" si="119"/>
        <v>422.7713369</v>
      </c>
      <c r="AA328" s="168">
        <f t="shared" si="119"/>
        <v>1293.955129</v>
      </c>
      <c r="AB328" s="168">
        <f t="shared" si="119"/>
        <v>1802.016897</v>
      </c>
      <c r="AC328" s="168">
        <f t="shared" si="119"/>
        <v>1062.592001</v>
      </c>
      <c r="AD328" s="168">
        <f t="shared" si="119"/>
        <v>982.2717761</v>
      </c>
      <c r="AE328" s="168">
        <f t="shared" si="119"/>
        <v>460.9463016</v>
      </c>
      <c r="AF328" s="168">
        <f t="shared" si="119"/>
        <v>771.2805154</v>
      </c>
      <c r="AG328" s="168">
        <f t="shared" si="119"/>
        <v>932.8587014</v>
      </c>
      <c r="AH328" s="168">
        <f t="shared" si="119"/>
        <v>647.76705</v>
      </c>
      <c r="AI328" s="168">
        <f t="shared" si="119"/>
        <v>6260.125985</v>
      </c>
      <c r="AJ328" s="168">
        <f t="shared" si="119"/>
        <v>2043.69721</v>
      </c>
      <c r="AK328" s="168">
        <f t="shared" si="119"/>
        <v>1746.266228</v>
      </c>
      <c r="AL328" s="168">
        <f t="shared" si="119"/>
        <v>5255.989731</v>
      </c>
    </row>
    <row r="329" outlineLevel="1">
      <c r="A329" s="651" t="s">
        <v>762</v>
      </c>
      <c r="B329" s="168">
        <f t="shared" ref="B329:AL329" si="120">(B$17/B26)*B$251-B324</f>
        <v>803.9896975</v>
      </c>
      <c r="C329" s="168">
        <f t="shared" si="120"/>
        <v>2279.221245</v>
      </c>
      <c r="D329" s="168">
        <f t="shared" si="120"/>
        <v>722.7096509</v>
      </c>
      <c r="E329" s="168">
        <f t="shared" si="120"/>
        <v>883.5298955</v>
      </c>
      <c r="F329" s="168">
        <f t="shared" si="120"/>
        <v>7219.514163</v>
      </c>
      <c r="G329" s="168">
        <f t="shared" si="120"/>
        <v>1209.670898</v>
      </c>
      <c r="H329" s="168">
        <f t="shared" si="120"/>
        <v>1212.544723</v>
      </c>
      <c r="I329" s="168">
        <f t="shared" si="120"/>
        <v>2508.103517</v>
      </c>
      <c r="J329" s="168">
        <f t="shared" si="120"/>
        <v>528.7898317</v>
      </c>
      <c r="K329" s="168">
        <f t="shared" si="120"/>
        <v>1029.88946</v>
      </c>
      <c r="L329" s="168">
        <f t="shared" si="120"/>
        <v>313.2225581</v>
      </c>
      <c r="M329" s="168">
        <f t="shared" si="120"/>
        <v>621.1462622</v>
      </c>
      <c r="N329" s="168">
        <f t="shared" si="120"/>
        <v>428.2131786</v>
      </c>
      <c r="O329" s="168">
        <f t="shared" si="120"/>
        <v>326.7034493</v>
      </c>
      <c r="P329" s="168">
        <f t="shared" si="120"/>
        <v>514.2257248</v>
      </c>
      <c r="Q329" s="168">
        <f t="shared" si="120"/>
        <v>3608.420364</v>
      </c>
      <c r="R329" s="168">
        <f t="shared" si="120"/>
        <v>430.3586627</v>
      </c>
      <c r="S329" s="168">
        <f t="shared" si="120"/>
        <v>6804.584722</v>
      </c>
      <c r="T329" s="168">
        <f t="shared" si="120"/>
        <v>2801.808448</v>
      </c>
      <c r="U329" s="168">
        <f t="shared" si="120"/>
        <v>4247.28008</v>
      </c>
      <c r="V329" s="168">
        <f t="shared" si="120"/>
        <v>6299.984518</v>
      </c>
      <c r="W329" s="168">
        <f t="shared" si="120"/>
        <v>6890.004268</v>
      </c>
      <c r="X329" s="168">
        <f t="shared" si="120"/>
        <v>892.3037826</v>
      </c>
      <c r="Y329" s="168">
        <f t="shared" si="120"/>
        <v>1152.922001</v>
      </c>
      <c r="Z329" s="168">
        <f t="shared" si="120"/>
        <v>403.2798122</v>
      </c>
      <c r="AA329" s="168">
        <f t="shared" si="120"/>
        <v>1596.856299</v>
      </c>
      <c r="AB329" s="168">
        <f t="shared" si="120"/>
        <v>2610.922126</v>
      </c>
      <c r="AC329" s="168">
        <f t="shared" si="120"/>
        <v>1321.463595</v>
      </c>
      <c r="AD329" s="168">
        <f t="shared" si="120"/>
        <v>1139.73895</v>
      </c>
      <c r="AE329" s="168">
        <f t="shared" si="120"/>
        <v>440.4110775</v>
      </c>
      <c r="AF329" s="168">
        <f t="shared" si="120"/>
        <v>843.9829878</v>
      </c>
      <c r="AG329" s="168">
        <f t="shared" si="120"/>
        <v>1033.020993</v>
      </c>
      <c r="AH329" s="168">
        <f t="shared" si="120"/>
        <v>655.7611222</v>
      </c>
      <c r="AI329" s="168">
        <f t="shared" si="120"/>
        <v>15622.28158</v>
      </c>
      <c r="AJ329" s="168">
        <f t="shared" si="120"/>
        <v>2701.648756</v>
      </c>
      <c r="AK329" s="168">
        <f t="shared" si="120"/>
        <v>2176.510907</v>
      </c>
      <c r="AL329" s="168">
        <f t="shared" si="120"/>
        <v>9692.177357</v>
      </c>
    </row>
    <row r="330" outlineLevel="1">
      <c r="A330" s="358" t="s">
        <v>232</v>
      </c>
      <c r="B330" s="373">
        <f t="shared" ref="B330:AL330" si="121">sumproduct(B273:B275,B327:B329)</f>
        <v>774.3011133</v>
      </c>
      <c r="C330" s="373">
        <f t="shared" si="121"/>
        <v>2102.009506</v>
      </c>
      <c r="D330" s="373">
        <f t="shared" si="121"/>
        <v>701.1490714</v>
      </c>
      <c r="E330" s="373">
        <f t="shared" si="121"/>
        <v>845.8872915</v>
      </c>
      <c r="F330" s="373">
        <f t="shared" si="121"/>
        <v>6548.273132</v>
      </c>
      <c r="G330" s="373">
        <f t="shared" si="121"/>
        <v>1139.414194</v>
      </c>
      <c r="H330" s="373">
        <f t="shared" si="121"/>
        <v>1142.000637</v>
      </c>
      <c r="I330" s="373">
        <f t="shared" si="121"/>
        <v>2308.003551</v>
      </c>
      <c r="J330" s="373">
        <f t="shared" si="121"/>
        <v>526.6212341</v>
      </c>
      <c r="K330" s="373">
        <f t="shared" si="121"/>
        <v>977.6108992</v>
      </c>
      <c r="L330" s="373">
        <f t="shared" si="121"/>
        <v>332.6106878</v>
      </c>
      <c r="M330" s="373">
        <f t="shared" si="121"/>
        <v>609.7420216</v>
      </c>
      <c r="N330" s="373">
        <f t="shared" si="121"/>
        <v>436.1022463</v>
      </c>
      <c r="O330" s="373">
        <f t="shared" si="121"/>
        <v>344.7434899</v>
      </c>
      <c r="P330" s="373">
        <f t="shared" si="121"/>
        <v>513.5135378</v>
      </c>
      <c r="Q330" s="373">
        <f t="shared" si="121"/>
        <v>3298.288713</v>
      </c>
      <c r="R330" s="373">
        <f t="shared" si="121"/>
        <v>438.033182</v>
      </c>
      <c r="S330" s="373">
        <f t="shared" si="121"/>
        <v>6174.836635</v>
      </c>
      <c r="T330" s="373">
        <f t="shared" si="121"/>
        <v>2572.337989</v>
      </c>
      <c r="U330" s="373">
        <f t="shared" si="121"/>
        <v>3873.262457</v>
      </c>
      <c r="V330" s="373">
        <f t="shared" si="121"/>
        <v>5720.696452</v>
      </c>
      <c r="W330" s="373">
        <f t="shared" si="121"/>
        <v>6251.714227</v>
      </c>
      <c r="X330" s="373">
        <f t="shared" si="121"/>
        <v>853.7837899</v>
      </c>
      <c r="Y330" s="373">
        <f t="shared" si="121"/>
        <v>1088.340186</v>
      </c>
      <c r="Z330" s="373">
        <f t="shared" si="121"/>
        <v>413.6622165</v>
      </c>
      <c r="AA330" s="373">
        <f t="shared" si="121"/>
        <v>1487.881054</v>
      </c>
      <c r="AB330" s="373">
        <f t="shared" si="121"/>
        <v>2400.540299</v>
      </c>
      <c r="AC330" s="373">
        <f t="shared" si="121"/>
        <v>1240.027621</v>
      </c>
      <c r="AD330" s="373">
        <f t="shared" si="121"/>
        <v>1076.475441</v>
      </c>
      <c r="AE330" s="373">
        <f t="shared" si="121"/>
        <v>447.0803553</v>
      </c>
      <c r="AF330" s="373">
        <f t="shared" si="121"/>
        <v>810.2950746</v>
      </c>
      <c r="AG330" s="373">
        <f t="shared" si="121"/>
        <v>980.4292791</v>
      </c>
      <c r="AH330" s="373">
        <f t="shared" si="121"/>
        <v>640.8953956</v>
      </c>
      <c r="AI330" s="373">
        <f t="shared" si="121"/>
        <v>14110.7638</v>
      </c>
      <c r="AJ330" s="373">
        <f t="shared" si="121"/>
        <v>2482.194266</v>
      </c>
      <c r="AK330" s="373">
        <f t="shared" si="121"/>
        <v>2009.570202</v>
      </c>
      <c r="AL330" s="373">
        <f t="shared" si="121"/>
        <v>8773.670007</v>
      </c>
    </row>
    <row r="331" outlineLevel="1">
      <c r="A331" s="367"/>
      <c r="B331" s="653"/>
      <c r="C331" s="653"/>
      <c r="D331" s="653"/>
      <c r="E331" s="653"/>
      <c r="F331" s="653"/>
      <c r="G331" s="89"/>
      <c r="H331" s="89"/>
      <c r="I331" s="89"/>
      <c r="J331" s="89"/>
      <c r="K331" s="89"/>
      <c r="L331" s="89"/>
      <c r="M331" s="89"/>
      <c r="N331" s="89"/>
      <c r="O331" s="89"/>
      <c r="P331" s="89"/>
      <c r="Q331" s="653"/>
      <c r="R331" s="653"/>
      <c r="S331" s="653"/>
      <c r="T331" s="89"/>
      <c r="U331" s="653"/>
      <c r="V331" s="653"/>
      <c r="W331" s="89"/>
      <c r="X331" s="89"/>
      <c r="Y331" s="653"/>
      <c r="Z331" s="653"/>
      <c r="AA331" s="89"/>
      <c r="AB331" s="89"/>
      <c r="AC331" s="89"/>
      <c r="AD331" s="89"/>
      <c r="AE331" s="89"/>
      <c r="AF331" s="89"/>
      <c r="AG331" s="89"/>
      <c r="AH331" s="89"/>
      <c r="AI331" s="653"/>
      <c r="AJ331" s="653"/>
      <c r="AK331" s="653"/>
      <c r="AL331" s="653"/>
    </row>
    <row r="332" outlineLevel="1">
      <c r="A332" s="396" t="s">
        <v>343</v>
      </c>
      <c r="B332" s="654"/>
      <c r="C332" s="654"/>
      <c r="D332" s="654"/>
      <c r="E332" s="654"/>
      <c r="F332" s="654"/>
      <c r="G332" s="26"/>
      <c r="H332" s="26"/>
      <c r="I332" s="26"/>
      <c r="J332" s="26"/>
      <c r="K332" s="26"/>
      <c r="L332" s="26"/>
      <c r="M332" s="26"/>
      <c r="N332" s="26"/>
      <c r="O332" s="26"/>
      <c r="P332" s="26"/>
      <c r="Q332" s="654"/>
      <c r="R332" s="654"/>
      <c r="S332" s="654"/>
      <c r="T332" s="26"/>
      <c r="U332" s="654"/>
      <c r="V332" s="654"/>
      <c r="W332" s="26"/>
      <c r="X332" s="26"/>
      <c r="Y332" s="654"/>
      <c r="Z332" s="654"/>
      <c r="AA332" s="26"/>
      <c r="AB332" s="26"/>
      <c r="AC332" s="26"/>
      <c r="AD332" s="26"/>
      <c r="AE332" s="26"/>
      <c r="AF332" s="26"/>
      <c r="AG332" s="26"/>
      <c r="AH332" s="26"/>
      <c r="AI332" s="654"/>
      <c r="AJ332" s="654"/>
      <c r="AK332" s="654"/>
      <c r="AL332" s="654"/>
    </row>
    <row r="333" outlineLevel="1">
      <c r="A333" s="564"/>
      <c r="B333" s="653"/>
      <c r="C333" s="653"/>
      <c r="D333" s="653"/>
      <c r="E333" s="653"/>
      <c r="F333" s="653"/>
      <c r="G333" s="89"/>
      <c r="H333" s="89"/>
      <c r="I333" s="89"/>
      <c r="J333" s="89"/>
      <c r="K333" s="89"/>
      <c r="L333" s="89"/>
      <c r="M333" s="89"/>
      <c r="N333" s="89"/>
      <c r="O333" s="89"/>
      <c r="P333" s="89"/>
      <c r="Q333" s="653"/>
      <c r="R333" s="653"/>
      <c r="S333" s="653"/>
      <c r="T333" s="89"/>
      <c r="U333" s="653"/>
      <c r="V333" s="653"/>
      <c r="W333" s="89"/>
      <c r="X333" s="89"/>
      <c r="Y333" s="653"/>
      <c r="Z333" s="653"/>
      <c r="AA333" s="89"/>
      <c r="AB333" s="89"/>
      <c r="AC333" s="89"/>
      <c r="AD333" s="89"/>
      <c r="AE333" s="89"/>
      <c r="AF333" s="89"/>
      <c r="AG333" s="89"/>
      <c r="AH333" s="89"/>
      <c r="AI333" s="653"/>
      <c r="AJ333" s="653"/>
      <c r="AK333" s="653"/>
      <c r="AL333" s="653"/>
    </row>
    <row r="334" outlineLevel="1">
      <c r="A334" s="367" t="s">
        <v>344</v>
      </c>
      <c r="B334" s="655">
        <f t="shared" ref="B334:AL334" si="122">B330</f>
        <v>774.3011133</v>
      </c>
      <c r="C334" s="655">
        <f t="shared" si="122"/>
        <v>2102.009506</v>
      </c>
      <c r="D334" s="655">
        <f t="shared" si="122"/>
        <v>701.1490714</v>
      </c>
      <c r="E334" s="655">
        <f t="shared" si="122"/>
        <v>845.8872915</v>
      </c>
      <c r="F334" s="655">
        <f t="shared" si="122"/>
        <v>6548.273132</v>
      </c>
      <c r="G334" s="655">
        <f t="shared" si="122"/>
        <v>1139.414194</v>
      </c>
      <c r="H334" s="655">
        <f t="shared" si="122"/>
        <v>1142.000637</v>
      </c>
      <c r="I334" s="655">
        <f t="shared" si="122"/>
        <v>2308.003551</v>
      </c>
      <c r="J334" s="655">
        <f t="shared" si="122"/>
        <v>526.6212341</v>
      </c>
      <c r="K334" s="655">
        <f t="shared" si="122"/>
        <v>977.6108992</v>
      </c>
      <c r="L334" s="655">
        <f t="shared" si="122"/>
        <v>332.6106878</v>
      </c>
      <c r="M334" s="655">
        <f t="shared" si="122"/>
        <v>609.7420216</v>
      </c>
      <c r="N334" s="655">
        <f t="shared" si="122"/>
        <v>436.1022463</v>
      </c>
      <c r="O334" s="655">
        <f t="shared" si="122"/>
        <v>344.7434899</v>
      </c>
      <c r="P334" s="655">
        <f t="shared" si="122"/>
        <v>513.5135378</v>
      </c>
      <c r="Q334" s="655">
        <f t="shared" si="122"/>
        <v>3298.288713</v>
      </c>
      <c r="R334" s="655">
        <f t="shared" si="122"/>
        <v>438.033182</v>
      </c>
      <c r="S334" s="655">
        <f t="shared" si="122"/>
        <v>6174.836635</v>
      </c>
      <c r="T334" s="655">
        <f t="shared" si="122"/>
        <v>2572.337989</v>
      </c>
      <c r="U334" s="655">
        <f t="shared" si="122"/>
        <v>3873.262457</v>
      </c>
      <c r="V334" s="655">
        <f t="shared" si="122"/>
        <v>5720.696452</v>
      </c>
      <c r="W334" s="655">
        <f t="shared" si="122"/>
        <v>6251.714227</v>
      </c>
      <c r="X334" s="655">
        <f t="shared" si="122"/>
        <v>853.7837899</v>
      </c>
      <c r="Y334" s="655">
        <f t="shared" si="122"/>
        <v>1088.340186</v>
      </c>
      <c r="Z334" s="655">
        <f t="shared" si="122"/>
        <v>413.6622165</v>
      </c>
      <c r="AA334" s="655">
        <f t="shared" si="122"/>
        <v>1487.881054</v>
      </c>
      <c r="AB334" s="655">
        <f t="shared" si="122"/>
        <v>2400.540299</v>
      </c>
      <c r="AC334" s="655">
        <f t="shared" si="122"/>
        <v>1240.027621</v>
      </c>
      <c r="AD334" s="655">
        <f t="shared" si="122"/>
        <v>1076.475441</v>
      </c>
      <c r="AE334" s="655">
        <f t="shared" si="122"/>
        <v>447.0803553</v>
      </c>
      <c r="AF334" s="655">
        <f t="shared" si="122"/>
        <v>810.2950746</v>
      </c>
      <c r="AG334" s="655">
        <f t="shared" si="122"/>
        <v>980.4292791</v>
      </c>
      <c r="AH334" s="655">
        <f t="shared" si="122"/>
        <v>640.8953956</v>
      </c>
      <c r="AI334" s="655">
        <f t="shared" si="122"/>
        <v>14110.7638</v>
      </c>
      <c r="AJ334" s="655">
        <f t="shared" si="122"/>
        <v>2482.194266</v>
      </c>
      <c r="AK334" s="655">
        <f t="shared" si="122"/>
        <v>2009.570202</v>
      </c>
      <c r="AL334" s="655">
        <f t="shared" si="122"/>
        <v>8773.670007</v>
      </c>
    </row>
    <row r="335" outlineLevel="1">
      <c r="A335" s="220" t="s">
        <v>770</v>
      </c>
      <c r="B335" s="523">
        <f t="shared" ref="B335:AL335" si="123">B334/B259</f>
        <v>0.007743011133</v>
      </c>
      <c r="C335" s="523">
        <f t="shared" si="123"/>
        <v>0.02102009506</v>
      </c>
      <c r="D335" s="523">
        <f t="shared" si="123"/>
        <v>0.007011490714</v>
      </c>
      <c r="E335" s="523">
        <f t="shared" si="123"/>
        <v>0.008458872915</v>
      </c>
      <c r="F335" s="523">
        <f t="shared" si="123"/>
        <v>0.06548273132</v>
      </c>
      <c r="G335" s="523">
        <f t="shared" si="123"/>
        <v>0.01139414194</v>
      </c>
      <c r="H335" s="523">
        <f t="shared" si="123"/>
        <v>0.01142000637</v>
      </c>
      <c r="I335" s="523">
        <f t="shared" si="123"/>
        <v>0.02308003551</v>
      </c>
      <c r="J335" s="523">
        <f t="shared" si="123"/>
        <v>0.005266212341</v>
      </c>
      <c r="K335" s="523">
        <f t="shared" si="123"/>
        <v>0.009776108992</v>
      </c>
      <c r="L335" s="523">
        <f t="shared" si="123"/>
        <v>0.003326106878</v>
      </c>
      <c r="M335" s="523">
        <f t="shared" si="123"/>
        <v>0.006097420216</v>
      </c>
      <c r="N335" s="523">
        <f t="shared" si="123"/>
        <v>0.004361022463</v>
      </c>
      <c r="O335" s="523">
        <f t="shared" si="123"/>
        <v>0.003447434899</v>
      </c>
      <c r="P335" s="523">
        <f t="shared" si="123"/>
        <v>0.005135135378</v>
      </c>
      <c r="Q335" s="523">
        <f t="shared" si="123"/>
        <v>0.03298288713</v>
      </c>
      <c r="R335" s="523">
        <f t="shared" si="123"/>
        <v>0.00438033182</v>
      </c>
      <c r="S335" s="523">
        <f t="shared" si="123"/>
        <v>0.06174836635</v>
      </c>
      <c r="T335" s="523">
        <f t="shared" si="123"/>
        <v>0.02572337989</v>
      </c>
      <c r="U335" s="523">
        <f t="shared" si="123"/>
        <v>0.03873262457</v>
      </c>
      <c r="V335" s="523">
        <f t="shared" si="123"/>
        <v>0.05720696452</v>
      </c>
      <c r="W335" s="523">
        <f t="shared" si="123"/>
        <v>0.06251714227</v>
      </c>
      <c r="X335" s="523">
        <f t="shared" si="123"/>
        <v>0.008537837899</v>
      </c>
      <c r="Y335" s="523">
        <f t="shared" si="123"/>
        <v>0.01088340186</v>
      </c>
      <c r="Z335" s="523">
        <f t="shared" si="123"/>
        <v>0.004136622165</v>
      </c>
      <c r="AA335" s="523">
        <f t="shared" si="123"/>
        <v>0.01487881054</v>
      </c>
      <c r="AB335" s="523">
        <f t="shared" si="123"/>
        <v>0.02400540299</v>
      </c>
      <c r="AC335" s="523">
        <f t="shared" si="123"/>
        <v>0.01240027621</v>
      </c>
      <c r="AD335" s="523">
        <f t="shared" si="123"/>
        <v>0.01076475441</v>
      </c>
      <c r="AE335" s="523">
        <f t="shared" si="123"/>
        <v>0.004470803553</v>
      </c>
      <c r="AF335" s="523">
        <f t="shared" si="123"/>
        <v>0.008102950746</v>
      </c>
      <c r="AG335" s="523">
        <f t="shared" si="123"/>
        <v>0.009804292791</v>
      </c>
      <c r="AH335" s="523">
        <f t="shared" si="123"/>
        <v>0.006408953956</v>
      </c>
      <c r="AI335" s="523">
        <f t="shared" si="123"/>
        <v>0.141107638</v>
      </c>
      <c r="AJ335" s="523">
        <f t="shared" si="123"/>
        <v>0.02482194266</v>
      </c>
      <c r="AK335" s="523">
        <f t="shared" si="123"/>
        <v>0.02009570202</v>
      </c>
      <c r="AL335" s="523">
        <f t="shared" si="123"/>
        <v>0.08773670007</v>
      </c>
    </row>
    <row r="336" outlineLevel="1">
      <c r="A336" s="367"/>
      <c r="B336" s="656"/>
      <c r="C336" s="656"/>
      <c r="D336" s="656"/>
      <c r="E336" s="656"/>
      <c r="F336" s="656"/>
      <c r="G336" s="656"/>
      <c r="H336" s="656"/>
      <c r="I336" s="656"/>
      <c r="J336" s="656"/>
      <c r="K336" s="656"/>
      <c r="L336" s="656"/>
      <c r="M336" s="656"/>
      <c r="N336" s="656"/>
      <c r="O336" s="656"/>
      <c r="P336" s="656"/>
      <c r="Q336" s="656"/>
      <c r="R336" s="656"/>
      <c r="S336" s="656"/>
      <c r="T336" s="656"/>
      <c r="U336" s="656"/>
      <c r="V336" s="656"/>
      <c r="W336" s="656"/>
      <c r="X336" s="656"/>
      <c r="Y336" s="656"/>
      <c r="Z336" s="656"/>
      <c r="AA336" s="656"/>
      <c r="AB336" s="656"/>
      <c r="AC336" s="656"/>
      <c r="AD336" s="656"/>
      <c r="AE336" s="656"/>
      <c r="AF336" s="656"/>
      <c r="AG336" s="656"/>
      <c r="AH336" s="656"/>
      <c r="AI336" s="656"/>
      <c r="AJ336" s="656"/>
      <c r="AK336" s="656"/>
      <c r="AL336" s="656"/>
    </row>
    <row r="337">
      <c r="A337" s="238" t="s">
        <v>224</v>
      </c>
      <c r="B337" s="206">
        <f t="array" ref="B337">B335/index(GiveDirectly!$B:$B,match("Units of value generated per philanthropic dollar spent, after accounting for all adjustments",GiveDirectly!$A:$A,0))</f>
        <v>2.308222624</v>
      </c>
      <c r="C337" s="206">
        <f t="array" ref="C337">C335/index(GiveDirectly!$B:$B,match("Units of value generated per philanthropic dollar spent, after accounting for all adjustments",GiveDirectly!$A:$A,0))</f>
        <v>6.266174508</v>
      </c>
      <c r="D337" s="206">
        <f t="array" ref="D337">D335/index(GiveDirectly!$B:$B,match("Units of value generated per philanthropic dollar spent, after accounting for all adjustments",GiveDirectly!$A:$A,0))</f>
        <v>2.090153458</v>
      </c>
      <c r="E337" s="206">
        <f t="array" ref="E337">E335/index(GiveDirectly!$B:$B,match("Units of value generated per philanthropic dollar spent, after accounting for all adjustments",GiveDirectly!$A:$A,0))</f>
        <v>2.521623888</v>
      </c>
      <c r="F337" s="206">
        <f t="array" ref="F337">F335/index(GiveDirectly!$B:$B,match("Units of value generated per philanthropic dollar spent, after accounting for all adjustments",GiveDirectly!$A:$A,0))</f>
        <v>19.52066442</v>
      </c>
      <c r="G337" s="206">
        <f t="array" ref="G337">G335/index(GiveDirectly!$B:$B,match("Units of value generated per philanthropic dollar spent, after accounting for all adjustments",GiveDirectly!$A:$A,0))</f>
        <v>3.396639338</v>
      </c>
      <c r="H337" s="206">
        <f t="array" ref="H337">H335/index(GiveDirectly!$B:$B,match("Units of value generated per philanthropic dollar spent, after accounting for all adjustments",GiveDirectly!$A:$A,0))</f>
        <v>3.404349627</v>
      </c>
      <c r="I337" s="206">
        <f t="array" ref="I337">I335/index(GiveDirectly!$B:$B,match("Units of value generated per philanthropic dollar spent, after accounting for all adjustments",GiveDirectly!$A:$A,0))</f>
        <v>6.880251005</v>
      </c>
      <c r="J337" s="206">
        <f t="array" ref="J337">J335/index(GiveDirectly!$B:$B,match("Units of value generated per philanthropic dollar spent, after accounting for all adjustments",GiveDirectly!$A:$A,0))</f>
        <v>1.569878986</v>
      </c>
      <c r="K337" s="206">
        <f t="array" ref="K337">K335/index(GiveDirectly!$B:$B,match("Units of value generated per philanthropic dollar spent, after accounting for all adjustments",GiveDirectly!$A:$A,0))</f>
        <v>2.914297237</v>
      </c>
      <c r="L337" s="206">
        <f t="array" ref="L337">L335/index(GiveDirectly!$B:$B,match("Units of value generated per philanthropic dollar spent, after accounting for all adjustments",GiveDirectly!$A:$A,0))</f>
        <v>0.9915257791</v>
      </c>
      <c r="M337" s="206">
        <f t="array" ref="M337">M335/index(GiveDirectly!$B:$B,match("Units of value generated per philanthropic dollar spent, after accounting for all adjustments",GiveDirectly!$A:$A,0))</f>
        <v>1.817665382</v>
      </c>
      <c r="N337" s="206">
        <f t="array" ref="N337">N335/index(GiveDirectly!$B:$B,match("Units of value generated per philanthropic dollar spent, after accounting for all adjustments",GiveDirectly!$A:$A,0))</f>
        <v>1.300038259</v>
      </c>
      <c r="O337" s="206">
        <f t="array" ref="O337">O335/index(GiveDirectly!$B:$B,match("Units of value generated per philanthropic dollar spent, after accounting for all adjustments",GiveDirectly!$A:$A,0))</f>
        <v>1.027694148</v>
      </c>
      <c r="P337" s="206">
        <f t="array" ref="P337">P335/index(GiveDirectly!$B:$B,match("Units of value generated per philanthropic dollar spent, after accounting for all adjustments",GiveDirectly!$A:$A,0))</f>
        <v>1.530804419</v>
      </c>
      <c r="Q337" s="206">
        <f t="array" ref="Q337">Q335/index(GiveDirectly!$B:$B,match("Units of value generated per philanthropic dollar spent, after accounting for all adjustments",GiveDirectly!$A:$A,0))</f>
        <v>9.832330727</v>
      </c>
      <c r="R337" s="206">
        <f t="array" ref="R337">R335/index(GiveDirectly!$B:$B,match("Units of value generated per philanthropic dollar spent, after accounting for all adjustments",GiveDirectly!$A:$A,0))</f>
        <v>1.305794456</v>
      </c>
      <c r="S337" s="206">
        <f t="array" ref="S337">S335/index(GiveDirectly!$B:$B,match("Units of value generated per philanthropic dollar spent, after accounting for all adjustments",GiveDirectly!$A:$A,0))</f>
        <v>18.40743527</v>
      </c>
      <c r="T337" s="206">
        <f t="array" ref="T337">T335/index(GiveDirectly!$B:$B,match("Units of value generated per philanthropic dollar spent, after accounting for all adjustments",GiveDirectly!$A:$A,0))</f>
        <v>7.668242548</v>
      </c>
      <c r="U337" s="206">
        <f t="array" ref="U337">U335/index(GiveDirectly!$B:$B,match("Units of value generated per philanthropic dollar spent, after accounting for all adjustments",GiveDirectly!$A:$A,0))</f>
        <v>11.54635048</v>
      </c>
      <c r="V337" s="206">
        <f t="array" ref="V337">V335/index(GiveDirectly!$B:$B,match("Units of value generated per philanthropic dollar spent, after accounting for all adjustments",GiveDirectly!$A:$A,0))</f>
        <v>17.0536252</v>
      </c>
      <c r="W337" s="206">
        <f t="array" ref="W337">W335/index(GiveDirectly!$B:$B,match("Units of value generated per philanthropic dollar spent, after accounting for all adjustments",GiveDirectly!$A:$A,0))</f>
        <v>18.63661045</v>
      </c>
      <c r="X337" s="206">
        <f t="array" ref="X337">X335/index(GiveDirectly!$B:$B,match("Units of value generated per philanthropic dollar spent, after accounting for all adjustments",GiveDirectly!$A:$A,0))</f>
        <v>2.545163666</v>
      </c>
      <c r="Y337" s="206">
        <f t="array" ref="Y337">Y335/index(GiveDirectly!$B:$B,match("Units of value generated per philanthropic dollar spent, after accounting for all adjustments",GiveDirectly!$A:$A,0))</f>
        <v>3.244385676</v>
      </c>
      <c r="Z337" s="206">
        <f t="array" ref="Z337">Z335/index(GiveDirectly!$B:$B,match("Units of value generated per philanthropic dollar spent, after accounting for all adjustments",GiveDirectly!$A:$A,0))</f>
        <v>1.233143632</v>
      </c>
      <c r="AA337" s="206">
        <f t="array" ref="AA337">AA335/index(GiveDirectly!$B:$B,match("Units of value generated per philanthropic dollar spent, after accounting for all adjustments",GiveDirectly!$A:$A,0))</f>
        <v>4.435433002</v>
      </c>
      <c r="AB337" s="206">
        <f t="array" ref="AB337">AB335/index(GiveDirectly!$B:$B,match("Units of value generated per philanthropic dollar spent, after accounting for all adjustments",GiveDirectly!$A:$A,0))</f>
        <v>7.156106757</v>
      </c>
      <c r="AC337" s="206">
        <f t="array" ref="AC337">AC335/index(GiveDirectly!$B:$B,match("Units of value generated per philanthropic dollar spent, after accounting for all adjustments",GiveDirectly!$A:$A,0))</f>
        <v>3.696571992</v>
      </c>
      <c r="AD337" s="206">
        <f t="array" ref="AD337">AD335/index(GiveDirectly!$B:$B,match("Units of value generated per philanthropic dollar spent, after accounting for all adjustments",GiveDirectly!$A:$A,0))</f>
        <v>3.209016394</v>
      </c>
      <c r="AE337" s="206">
        <f t="array" ref="AE337">AE335/index(GiveDirectly!$B:$B,match("Units of value generated per philanthropic dollar spent, after accounting for all adjustments",GiveDirectly!$A:$A,0))</f>
        <v>1.332764442</v>
      </c>
      <c r="AF337" s="206">
        <f t="array" ref="AF337">AF335/index(GiveDirectly!$B:$B,match("Units of value generated per philanthropic dollar spent, after accounting for all adjustments",GiveDirectly!$A:$A,0))</f>
        <v>2.415522064</v>
      </c>
      <c r="AG337" s="206">
        <f t="array" ref="AG337">AG335/index(GiveDirectly!$B:$B,match("Units of value generated per philanthropic dollar spent, after accounting for all adjustments",GiveDirectly!$A:$A,0))</f>
        <v>2.92269894</v>
      </c>
      <c r="AH337" s="206">
        <f t="array" ref="AH337">AH335/index(GiveDirectly!$B:$B,match("Units of value generated per philanthropic dollar spent, after accounting for all adjustments",GiveDirectly!$A:$A,0))</f>
        <v>1.910534838</v>
      </c>
      <c r="AI337" s="206">
        <f t="array" ref="AI337">AI335/index(GiveDirectly!$B:$B,match("Units of value generated per philanthropic dollar spent, after accounting for all adjustments",GiveDirectly!$A:$A,0))</f>
        <v>42.06475193</v>
      </c>
      <c r="AJ337" s="206">
        <f t="array" ref="AJ337">AJ335/index(GiveDirectly!$B:$B,match("Units of value generated per philanthropic dollar spent, after accounting for all adjustments",GiveDirectly!$A:$A,0))</f>
        <v>7.399520502</v>
      </c>
      <c r="AK337" s="206">
        <f t="array" ref="AK337">AK335/index(GiveDirectly!$B:$B,match("Units of value generated per philanthropic dollar spent, after accounting for all adjustments",GiveDirectly!$A:$A,0))</f>
        <v>5.990609242</v>
      </c>
      <c r="AL337" s="206">
        <f t="array" ref="AL337">AL335/index(GiveDirectly!$B:$B,match("Units of value generated per philanthropic dollar spent, after accounting for all adjustments",GiveDirectly!$A:$A,0))</f>
        <v>26.15466161</v>
      </c>
    </row>
    <row r="338">
      <c r="A338" s="367" t="s">
        <v>345</v>
      </c>
      <c r="B338" s="117">
        <f t="shared" ref="B338:AL338" si="124">(B337-B254)/B254</f>
        <v>0.00001188036855</v>
      </c>
      <c r="C338" s="117">
        <f t="shared" si="124"/>
        <v>0.1578001243</v>
      </c>
      <c r="D338" s="117">
        <f t="shared" si="124"/>
        <v>0.001887223161</v>
      </c>
      <c r="E338" s="117">
        <f t="shared" si="124"/>
        <v>0.02803384727</v>
      </c>
      <c r="F338" s="117">
        <f t="shared" si="124"/>
        <v>0.5932255462</v>
      </c>
      <c r="G338" s="117">
        <f t="shared" si="124"/>
        <v>0.07131310426</v>
      </c>
      <c r="H338" s="117">
        <f t="shared" si="124"/>
        <v>0.07204616979</v>
      </c>
      <c r="I338" s="117">
        <f t="shared" si="124"/>
        <v>0.3924963682</v>
      </c>
      <c r="J338" s="117">
        <f t="shared" si="124"/>
        <v>-0.01653100773</v>
      </c>
      <c r="K338" s="117">
        <f t="shared" si="124"/>
        <v>0.04802168359</v>
      </c>
      <c r="L338" s="117">
        <f t="shared" si="124"/>
        <v>0.04338718914</v>
      </c>
      <c r="M338" s="117">
        <f t="shared" si="124"/>
        <v>-0.01316702198</v>
      </c>
      <c r="N338" s="117">
        <f t="shared" si="124"/>
        <v>-0.008620245271</v>
      </c>
      <c r="O338" s="117">
        <f t="shared" si="124"/>
        <v>0.01700595116</v>
      </c>
      <c r="P338" s="117">
        <f t="shared" si="124"/>
        <v>-0.01610788697</v>
      </c>
      <c r="Q338" s="117">
        <f t="shared" si="124"/>
        <v>0.3322817793</v>
      </c>
      <c r="R338" s="117">
        <f t="shared" si="124"/>
        <v>-0.01514913812</v>
      </c>
      <c r="S338" s="117">
        <f t="shared" si="124"/>
        <v>0.4615755556</v>
      </c>
      <c r="T338" s="117">
        <f t="shared" si="124"/>
        <v>0.2771045354</v>
      </c>
      <c r="U338" s="117">
        <f t="shared" si="124"/>
        <v>0.4636845616</v>
      </c>
      <c r="V338" s="117">
        <f t="shared" si="124"/>
        <v>0.5980780517</v>
      </c>
      <c r="W338" s="117">
        <f t="shared" si="124"/>
        <v>0.6451764183</v>
      </c>
      <c r="X338" s="117">
        <f t="shared" si="124"/>
        <v>0.02867588686</v>
      </c>
      <c r="Y338" s="117">
        <f t="shared" si="124"/>
        <v>0.1265461888</v>
      </c>
      <c r="Z338" s="117">
        <f t="shared" si="124"/>
        <v>-0.02154621099</v>
      </c>
      <c r="AA338" s="117">
        <f t="shared" si="124"/>
        <v>0.1498706723</v>
      </c>
      <c r="AB338" s="117">
        <f t="shared" si="124"/>
        <v>0.332140838</v>
      </c>
      <c r="AC338" s="117">
        <f t="shared" si="124"/>
        <v>0.1669837714</v>
      </c>
      <c r="AD338" s="117">
        <f t="shared" si="124"/>
        <v>0.09590386999</v>
      </c>
      <c r="AE338" s="117">
        <f t="shared" si="124"/>
        <v>-0.03008147853</v>
      </c>
      <c r="AF338" s="117">
        <f t="shared" si="124"/>
        <v>0.05058413698</v>
      </c>
      <c r="AG338" s="117">
        <f t="shared" si="124"/>
        <v>0.0509944085</v>
      </c>
      <c r="AH338" s="117">
        <f t="shared" si="124"/>
        <v>-0.01060821851</v>
      </c>
      <c r="AI338" s="117">
        <f t="shared" si="124"/>
        <v>1.25407026</v>
      </c>
      <c r="AJ338" s="117">
        <f t="shared" si="124"/>
        <v>0.2145606767</v>
      </c>
      <c r="AK338" s="117">
        <f t="shared" si="124"/>
        <v>0.1507811182</v>
      </c>
      <c r="AL338" s="117">
        <f t="shared" si="124"/>
        <v>0.6692707664</v>
      </c>
    </row>
    <row r="339">
      <c r="A339" s="367"/>
      <c r="B339" s="657"/>
      <c r="C339" s="657"/>
      <c r="D339" s="657"/>
      <c r="E339" s="657"/>
      <c r="F339" s="657"/>
      <c r="G339" s="89"/>
      <c r="H339" s="89"/>
      <c r="I339" s="89"/>
      <c r="J339" s="89"/>
      <c r="K339" s="89"/>
      <c r="L339" s="89"/>
      <c r="M339" s="89"/>
      <c r="N339" s="89"/>
      <c r="O339" s="89"/>
      <c r="P339" s="89"/>
      <c r="Q339" s="657"/>
      <c r="R339" s="657"/>
      <c r="S339" s="657"/>
      <c r="T339" s="89"/>
      <c r="U339" s="657"/>
      <c r="V339" s="657"/>
      <c r="W339" s="89"/>
      <c r="X339" s="89"/>
      <c r="Y339" s="657"/>
      <c r="Z339" s="657"/>
      <c r="AA339" s="89"/>
      <c r="AB339" s="89"/>
      <c r="AC339" s="89"/>
      <c r="AD339" s="89"/>
      <c r="AE339" s="89"/>
      <c r="AF339" s="89"/>
      <c r="AG339" s="89"/>
      <c r="AH339" s="89"/>
      <c r="AI339" s="657"/>
      <c r="AJ339" s="657"/>
      <c r="AK339" s="657"/>
      <c r="AL339" s="657"/>
    </row>
    <row r="340">
      <c r="A340" s="230" t="s">
        <v>226</v>
      </c>
      <c r="B340" s="658"/>
      <c r="C340" s="658"/>
      <c r="D340" s="658"/>
      <c r="E340" s="658"/>
      <c r="F340" s="658"/>
      <c r="G340" s="87"/>
      <c r="H340" s="87"/>
      <c r="I340" s="87"/>
      <c r="J340" s="87"/>
      <c r="K340" s="87"/>
      <c r="L340" s="87"/>
      <c r="M340" s="87"/>
      <c r="N340" s="87"/>
      <c r="O340" s="87"/>
      <c r="P340" s="87"/>
      <c r="Q340" s="658"/>
      <c r="R340" s="658"/>
      <c r="S340" s="658"/>
      <c r="T340" s="87"/>
      <c r="U340" s="658"/>
      <c r="V340" s="658"/>
      <c r="W340" s="87"/>
      <c r="X340" s="87"/>
      <c r="Y340" s="658"/>
      <c r="Z340" s="658"/>
      <c r="AA340" s="87"/>
      <c r="AB340" s="87"/>
      <c r="AC340" s="87"/>
      <c r="AD340" s="87"/>
      <c r="AE340" s="87"/>
      <c r="AF340" s="87"/>
      <c r="AG340" s="87"/>
      <c r="AH340" s="87"/>
      <c r="AI340" s="658"/>
      <c r="AJ340" s="658"/>
      <c r="AK340" s="658"/>
      <c r="AL340" s="658"/>
    </row>
    <row r="341">
      <c r="A341" s="240" t="s">
        <v>227</v>
      </c>
      <c r="B341" s="199">
        <f t="shared" ref="B341:AL341" si="125">B215</f>
        <v>3.984285619</v>
      </c>
      <c r="C341" s="199">
        <f t="shared" si="125"/>
        <v>14.5399161</v>
      </c>
      <c r="D341" s="199">
        <f t="shared" si="125"/>
        <v>3.583337476</v>
      </c>
      <c r="E341" s="199">
        <f t="shared" si="125"/>
        <v>4.700133232</v>
      </c>
      <c r="F341" s="199">
        <f t="shared" si="125"/>
        <v>51.78806786</v>
      </c>
      <c r="G341" s="199">
        <f t="shared" si="125"/>
        <v>7.04387001</v>
      </c>
      <c r="H341" s="199">
        <f t="shared" si="125"/>
        <v>7.269577201</v>
      </c>
      <c r="I341" s="199">
        <f t="shared" si="125"/>
        <v>17.65883274</v>
      </c>
      <c r="J341" s="199">
        <f t="shared" si="125"/>
        <v>2.174983863</v>
      </c>
      <c r="K341" s="199">
        <f t="shared" si="125"/>
        <v>5.690613268</v>
      </c>
      <c r="L341" s="199">
        <f t="shared" si="125"/>
        <v>0.5153787739</v>
      </c>
      <c r="M341" s="199">
        <f t="shared" si="125"/>
        <v>2.709234361</v>
      </c>
      <c r="N341" s="199">
        <f t="shared" si="125"/>
        <v>1.347960604</v>
      </c>
      <c r="O341" s="199">
        <f t="shared" si="125"/>
        <v>0.6491886172</v>
      </c>
      <c r="P341" s="199">
        <f t="shared" si="125"/>
        <v>1.936301119</v>
      </c>
      <c r="Q341" s="199">
        <f t="shared" si="125"/>
        <v>24.56749623</v>
      </c>
      <c r="R341" s="199">
        <f t="shared" si="125"/>
        <v>1.402142387</v>
      </c>
      <c r="S341" s="199">
        <f t="shared" si="125"/>
        <v>48.02800162</v>
      </c>
      <c r="T341" s="199">
        <f t="shared" si="125"/>
        <v>18.15966399</v>
      </c>
      <c r="U341" s="199">
        <f t="shared" si="125"/>
        <v>29.1549786</v>
      </c>
      <c r="V341" s="199">
        <f t="shared" si="125"/>
        <v>45.27521463</v>
      </c>
      <c r="W341" s="199">
        <f t="shared" si="125"/>
        <v>50.02737756</v>
      </c>
      <c r="X341" s="199">
        <f t="shared" si="125"/>
        <v>4.790744813</v>
      </c>
      <c r="Y341" s="199">
        <f t="shared" si="125"/>
        <v>7.097669264</v>
      </c>
      <c r="Z341" s="199">
        <f t="shared" si="125"/>
        <v>1.18799026</v>
      </c>
      <c r="AA341" s="199">
        <f t="shared" si="125"/>
        <v>9.930023894</v>
      </c>
      <c r="AB341" s="199">
        <f t="shared" si="125"/>
        <v>18.00880165</v>
      </c>
      <c r="AC341" s="199">
        <f t="shared" si="125"/>
        <v>8.379257782</v>
      </c>
      <c r="AD341" s="199">
        <f t="shared" si="125"/>
        <v>6.699386146</v>
      </c>
      <c r="AE341" s="199">
        <f t="shared" si="125"/>
        <v>1.5560303</v>
      </c>
      <c r="AF341" s="199">
        <f t="shared" si="125"/>
        <v>4.519396855</v>
      </c>
      <c r="AG341" s="199">
        <f t="shared" si="125"/>
        <v>5.910806373</v>
      </c>
      <c r="AH341" s="199">
        <f t="shared" si="125"/>
        <v>2.990693522</v>
      </c>
      <c r="AI341" s="199">
        <f t="shared" si="125"/>
        <v>114.1256999</v>
      </c>
      <c r="AJ341" s="199">
        <f t="shared" si="125"/>
        <v>17.6723039</v>
      </c>
      <c r="AK341" s="199">
        <f t="shared" si="125"/>
        <v>15.01543954</v>
      </c>
      <c r="AL341" s="199">
        <f t="shared" si="125"/>
        <v>69.88748221</v>
      </c>
    </row>
    <row r="342">
      <c r="A342" s="240" t="s">
        <v>228</v>
      </c>
      <c r="B342" s="117">
        <f>SUMIF('Supplemental intervention-level'!$N93:$N109,"Yes",B230:B246)</f>
        <v>0.061</v>
      </c>
      <c r="C342" s="117">
        <f>SUMIF('Supplemental intervention-level'!$N93:$N109,"Yes",C230:C246)</f>
        <v>0.061</v>
      </c>
      <c r="D342" s="117">
        <f>SUMIF('Supplemental intervention-level'!$N93:$N109,"Yes",D230:D246)</f>
        <v>0.061</v>
      </c>
      <c r="E342" s="117">
        <f>SUMIF('Supplemental intervention-level'!$N93:$N109,"Yes",E230:E246)</f>
        <v>0.061</v>
      </c>
      <c r="F342" s="117">
        <f>SUMIF('Supplemental intervention-level'!$N93:$N109,"Yes",F230:F246)</f>
        <v>0.061</v>
      </c>
      <c r="G342" s="117">
        <f>SUMIF('Supplemental intervention-level'!$N93:$N109,"Yes",G230:G246)</f>
        <v>0.061</v>
      </c>
      <c r="H342" s="117">
        <f>SUMIF('Supplemental intervention-level'!$N93:$N109,"Yes",H230:H246)</f>
        <v>0.061</v>
      </c>
      <c r="I342" s="117">
        <f>SUMIF('Supplemental intervention-level'!$N93:$N109,"Yes",I230:I246)</f>
        <v>0.061</v>
      </c>
      <c r="J342" s="117">
        <f>SUMIF('Supplemental intervention-level'!$N93:$N109,"Yes",J230:J246)</f>
        <v>0.061</v>
      </c>
      <c r="K342" s="117">
        <f>SUMIF('Supplemental intervention-level'!$N93:$N109,"Yes",K230:K246)</f>
        <v>0.061</v>
      </c>
      <c r="L342" s="117">
        <f>SUMIF('Supplemental intervention-level'!$N93:$N109,"Yes",L230:L246)</f>
        <v>0.061</v>
      </c>
      <c r="M342" s="117">
        <f>SUMIF('Supplemental intervention-level'!$N93:$N109,"Yes",M230:M246)</f>
        <v>0.061</v>
      </c>
      <c r="N342" s="117">
        <f>SUMIF('Supplemental intervention-level'!$N93:$N109,"Yes",N230:N246)</f>
        <v>0.061</v>
      </c>
      <c r="O342" s="117">
        <f>SUMIF('Supplemental intervention-level'!$N93:$N109,"Yes",O230:O246)</f>
        <v>0.061</v>
      </c>
      <c r="P342" s="117">
        <f>SUMIF('Supplemental intervention-level'!$N93:$N109,"Yes",P230:P246)</f>
        <v>0.061</v>
      </c>
      <c r="Q342" s="117">
        <f>SUMIF('Supplemental intervention-level'!$N93:$N109,"Yes",Q230:Q246)</f>
        <v>0.061</v>
      </c>
      <c r="R342" s="117">
        <f>SUMIF('Supplemental intervention-level'!$N93:$N109,"Yes",R230:R246)</f>
        <v>0.061</v>
      </c>
      <c r="S342" s="117">
        <f>SUMIF('Supplemental intervention-level'!$N93:$N109,"Yes",S230:S246)</f>
        <v>0.061</v>
      </c>
      <c r="T342" s="117">
        <f>SUMIF('Supplemental intervention-level'!$N93:$N109,"Yes",T230:T246)</f>
        <v>0.061</v>
      </c>
      <c r="U342" s="117">
        <f>SUMIF('Supplemental intervention-level'!$N93:$N109,"Yes",U230:U246)</f>
        <v>0.061</v>
      </c>
      <c r="V342" s="117">
        <f>SUMIF('Supplemental intervention-level'!$N93:$N109,"Yes",V230:V246)</f>
        <v>0.061</v>
      </c>
      <c r="W342" s="117">
        <f>SUMIF('Supplemental intervention-level'!$N93:$N109,"Yes",W230:W246)</f>
        <v>0.061</v>
      </c>
      <c r="X342" s="117">
        <f>SUMIF('Supplemental intervention-level'!$N93:$N109,"Yes",X230:X246)</f>
        <v>0.061</v>
      </c>
      <c r="Y342" s="117">
        <f>SUMIF('Supplemental intervention-level'!$N93:$N109,"Yes",Y230:Y246)</f>
        <v>0.061</v>
      </c>
      <c r="Z342" s="117">
        <f>SUMIF('Supplemental intervention-level'!$N93:$N109,"Yes",Z230:Z246)</f>
        <v>0.061</v>
      </c>
      <c r="AA342" s="117">
        <f>SUMIF('Supplemental intervention-level'!$N93:$N109,"Yes",AA230:AA246)</f>
        <v>0.061</v>
      </c>
      <c r="AB342" s="117">
        <f>SUMIF('Supplemental intervention-level'!$N93:$N109,"Yes",AB230:AB246)</f>
        <v>0.061</v>
      </c>
      <c r="AC342" s="117">
        <f>SUMIF('Supplemental intervention-level'!$N93:$N109,"Yes",AC230:AC246)</f>
        <v>0.061</v>
      </c>
      <c r="AD342" s="117">
        <f>SUMIF('Supplemental intervention-level'!$N93:$N109,"Yes",AD230:AD246)</f>
        <v>0.061</v>
      </c>
      <c r="AE342" s="117">
        <f>SUMIF('Supplemental intervention-level'!$N93:$N109,"Yes",AE230:AE246)</f>
        <v>0.061</v>
      </c>
      <c r="AF342" s="117">
        <f>SUMIF('Supplemental intervention-level'!$N93:$N109,"Yes",AF230:AF246)</f>
        <v>0.061</v>
      </c>
      <c r="AG342" s="117">
        <f>SUMIF('Supplemental intervention-level'!$N93:$N109,"Yes",AG230:AG246)</f>
        <v>0.061</v>
      </c>
      <c r="AH342" s="117">
        <f>SUMIF('Supplemental intervention-level'!$N93:$N109,"Yes",AH230:AH246)</f>
        <v>0.061</v>
      </c>
      <c r="AI342" s="117">
        <f>SUMIF('Supplemental intervention-level'!$N93:$N109,"Yes",AI230:AI246)</f>
        <v>0.061</v>
      </c>
      <c r="AJ342" s="117">
        <f>SUMIF('Supplemental intervention-level'!$N93:$N109,"Yes",AJ230:AJ246)</f>
        <v>0.061</v>
      </c>
      <c r="AK342" s="117">
        <f>SUMIF('Supplemental intervention-level'!$N93:$N109,"Yes",AK230:AK246)</f>
        <v>0.061</v>
      </c>
      <c r="AL342" s="117">
        <f>SUMIF('Supplemental intervention-level'!$N93:$N109,"Yes",AL230:AL246)</f>
        <v>0.061</v>
      </c>
    </row>
    <row r="343">
      <c r="A343" s="240" t="s">
        <v>229</v>
      </c>
      <c r="B343" s="563">
        <f t="shared" ref="B343:AL343" si="126">if(B338&lt;0,B338,0)</f>
        <v>0</v>
      </c>
      <c r="C343" s="563">
        <f t="shared" si="126"/>
        <v>0</v>
      </c>
      <c r="D343" s="563">
        <f t="shared" si="126"/>
        <v>0</v>
      </c>
      <c r="E343" s="563">
        <f t="shared" si="126"/>
        <v>0</v>
      </c>
      <c r="F343" s="563">
        <f t="shared" si="126"/>
        <v>0</v>
      </c>
      <c r="G343" s="563">
        <f t="shared" si="126"/>
        <v>0</v>
      </c>
      <c r="H343" s="563">
        <f t="shared" si="126"/>
        <v>0</v>
      </c>
      <c r="I343" s="563">
        <f t="shared" si="126"/>
        <v>0</v>
      </c>
      <c r="J343" s="563">
        <f t="shared" si="126"/>
        <v>-0.01653100773</v>
      </c>
      <c r="K343" s="563">
        <f t="shared" si="126"/>
        <v>0</v>
      </c>
      <c r="L343" s="563">
        <f t="shared" si="126"/>
        <v>0</v>
      </c>
      <c r="M343" s="563">
        <f t="shared" si="126"/>
        <v>-0.01316702198</v>
      </c>
      <c r="N343" s="563">
        <f t="shared" si="126"/>
        <v>-0.008620245271</v>
      </c>
      <c r="O343" s="563">
        <f t="shared" si="126"/>
        <v>0</v>
      </c>
      <c r="P343" s="563">
        <f t="shared" si="126"/>
        <v>-0.01610788697</v>
      </c>
      <c r="Q343" s="563">
        <f t="shared" si="126"/>
        <v>0</v>
      </c>
      <c r="R343" s="563">
        <f t="shared" si="126"/>
        <v>-0.01514913812</v>
      </c>
      <c r="S343" s="563">
        <f t="shared" si="126"/>
        <v>0</v>
      </c>
      <c r="T343" s="563">
        <f t="shared" si="126"/>
        <v>0</v>
      </c>
      <c r="U343" s="563">
        <f t="shared" si="126"/>
        <v>0</v>
      </c>
      <c r="V343" s="563">
        <f t="shared" si="126"/>
        <v>0</v>
      </c>
      <c r="W343" s="563">
        <f t="shared" si="126"/>
        <v>0</v>
      </c>
      <c r="X343" s="563">
        <f t="shared" si="126"/>
        <v>0</v>
      </c>
      <c r="Y343" s="563">
        <f t="shared" si="126"/>
        <v>0</v>
      </c>
      <c r="Z343" s="563">
        <f t="shared" si="126"/>
        <v>-0.02154621099</v>
      </c>
      <c r="AA343" s="563">
        <f t="shared" si="126"/>
        <v>0</v>
      </c>
      <c r="AB343" s="563">
        <f t="shared" si="126"/>
        <v>0</v>
      </c>
      <c r="AC343" s="563">
        <f t="shared" si="126"/>
        <v>0</v>
      </c>
      <c r="AD343" s="563">
        <f t="shared" si="126"/>
        <v>0</v>
      </c>
      <c r="AE343" s="563">
        <f t="shared" si="126"/>
        <v>-0.03008147853</v>
      </c>
      <c r="AF343" s="563">
        <f t="shared" si="126"/>
        <v>0</v>
      </c>
      <c r="AG343" s="563">
        <f t="shared" si="126"/>
        <v>0</v>
      </c>
      <c r="AH343" s="563">
        <f t="shared" si="126"/>
        <v>-0.01060821851</v>
      </c>
      <c r="AI343" s="563">
        <f t="shared" si="126"/>
        <v>0</v>
      </c>
      <c r="AJ343" s="563">
        <f t="shared" si="126"/>
        <v>0</v>
      </c>
      <c r="AK343" s="563">
        <f t="shared" si="126"/>
        <v>0</v>
      </c>
      <c r="AL343" s="563">
        <f t="shared" si="126"/>
        <v>0</v>
      </c>
    </row>
    <row r="344">
      <c r="A344" s="240" t="s">
        <v>230</v>
      </c>
      <c r="B344" s="248">
        <f t="shared" ref="B344:AL344" si="127">B26/(B341*(1+B342)*(1+B343))</f>
        <v>27571.61116</v>
      </c>
      <c r="C344" s="248">
        <f t="shared" si="127"/>
        <v>8944.716603</v>
      </c>
      <c r="D344" s="248">
        <f t="shared" si="127"/>
        <v>32037.89146</v>
      </c>
      <c r="E344" s="248">
        <f t="shared" si="127"/>
        <v>25393.95585</v>
      </c>
      <c r="F344" s="248">
        <f t="shared" si="127"/>
        <v>3429.79771</v>
      </c>
      <c r="G344" s="248">
        <f t="shared" si="127"/>
        <v>17551.74365</v>
      </c>
      <c r="H344" s="248">
        <f t="shared" si="127"/>
        <v>17025.07122</v>
      </c>
      <c r="I344" s="248">
        <f t="shared" si="127"/>
        <v>9610.155454</v>
      </c>
      <c r="J344" s="248">
        <f t="shared" si="127"/>
        <v>49018.18624</v>
      </c>
      <c r="K344" s="248">
        <f t="shared" si="127"/>
        <v>21320.36559</v>
      </c>
      <c r="L344" s="248">
        <f t="shared" si="127"/>
        <v>186557.2062</v>
      </c>
      <c r="M344" s="248">
        <f t="shared" si="127"/>
        <v>40266.55356</v>
      </c>
      <c r="N344" s="248">
        <f t="shared" si="127"/>
        <v>75844.10323</v>
      </c>
      <c r="O344" s="248">
        <f t="shared" si="127"/>
        <v>152146.1968</v>
      </c>
      <c r="P344" s="248">
        <f t="shared" si="127"/>
        <v>54689.23037</v>
      </c>
      <c r="Q344" s="248">
        <f t="shared" si="127"/>
        <v>6146.981981</v>
      </c>
      <c r="R344" s="248">
        <f t="shared" si="127"/>
        <v>74805.58121</v>
      </c>
      <c r="S344" s="248">
        <f t="shared" si="127"/>
        <v>3357.121087</v>
      </c>
      <c r="T344" s="248">
        <f t="shared" si="127"/>
        <v>8070.264843</v>
      </c>
      <c r="U344" s="248">
        <f t="shared" si="127"/>
        <v>5755.849937</v>
      </c>
      <c r="V344" s="248">
        <f t="shared" si="127"/>
        <v>3978.922194</v>
      </c>
      <c r="W344" s="248">
        <f t="shared" si="127"/>
        <v>3700.277269</v>
      </c>
      <c r="X344" s="248">
        <f t="shared" si="127"/>
        <v>24888.82065</v>
      </c>
      <c r="Y344" s="248">
        <f t="shared" si="127"/>
        <v>19963.05003</v>
      </c>
      <c r="Z344" s="248">
        <f t="shared" si="127"/>
        <v>90265.29565</v>
      </c>
      <c r="AA344" s="248">
        <f t="shared" si="127"/>
        <v>13604.12786</v>
      </c>
      <c r="AB344" s="248">
        <f t="shared" si="127"/>
        <v>8740.675971</v>
      </c>
      <c r="AC344" s="248">
        <f t="shared" si="127"/>
        <v>17473.94829</v>
      </c>
      <c r="AD344" s="248">
        <f t="shared" si="127"/>
        <v>19787.37132</v>
      </c>
      <c r="AE344" s="248">
        <f t="shared" si="127"/>
        <v>72023.82403</v>
      </c>
      <c r="AF344" s="248">
        <f t="shared" si="127"/>
        <v>29450.58207</v>
      </c>
      <c r="AG344" s="248">
        <f t="shared" si="127"/>
        <v>20671.25267</v>
      </c>
      <c r="AH344" s="248">
        <f t="shared" si="127"/>
        <v>36668.54785</v>
      </c>
      <c r="AI344" s="248">
        <f t="shared" si="127"/>
        <v>2190.619711</v>
      </c>
      <c r="AJ344" s="248">
        <f t="shared" si="127"/>
        <v>7755.25543</v>
      </c>
      <c r="AK344" s="248">
        <f t="shared" si="127"/>
        <v>8622.480107</v>
      </c>
      <c r="AL344" s="248">
        <f t="shared" si="127"/>
        <v>2632.139839</v>
      </c>
    </row>
    <row r="345">
      <c r="A345" s="367"/>
      <c r="B345" s="657"/>
      <c r="C345" s="657"/>
      <c r="D345" s="657"/>
      <c r="E345" s="657"/>
      <c r="F345" s="657"/>
      <c r="G345" s="89"/>
      <c r="H345" s="89"/>
      <c r="I345" s="89"/>
      <c r="J345" s="89"/>
      <c r="K345" s="89"/>
      <c r="L345" s="89"/>
      <c r="M345" s="89"/>
      <c r="N345" s="89"/>
      <c r="O345" s="89"/>
      <c r="P345" s="89"/>
      <c r="Q345" s="657"/>
      <c r="R345" s="657"/>
      <c r="S345" s="657"/>
      <c r="T345" s="89"/>
      <c r="U345" s="657"/>
      <c r="V345" s="657"/>
      <c r="W345" s="89"/>
      <c r="X345" s="89"/>
      <c r="Y345" s="657"/>
      <c r="Z345" s="657"/>
      <c r="AA345" s="89"/>
      <c r="AB345" s="89"/>
      <c r="AC345" s="89"/>
      <c r="AD345" s="89"/>
      <c r="AE345" s="89"/>
      <c r="AF345" s="89"/>
      <c r="AG345" s="89"/>
      <c r="AH345" s="89"/>
      <c r="AI345" s="657"/>
      <c r="AJ345" s="657"/>
      <c r="AK345" s="657"/>
      <c r="AL345" s="657"/>
    </row>
    <row r="346">
      <c r="G346" s="151"/>
      <c r="H346" s="151"/>
      <c r="I346" s="151"/>
      <c r="J346" s="151"/>
      <c r="K346" s="151"/>
      <c r="L346" s="151"/>
      <c r="M346" s="151"/>
      <c r="N346" s="151"/>
      <c r="O346" s="151"/>
      <c r="P346" s="151"/>
      <c r="T346" s="151"/>
      <c r="W346" s="151"/>
      <c r="X346" s="151"/>
      <c r="AA346" s="151"/>
      <c r="AB346" s="151"/>
      <c r="AC346" s="151"/>
      <c r="AD346" s="151"/>
      <c r="AE346" s="151"/>
      <c r="AF346" s="151"/>
      <c r="AG346" s="151"/>
      <c r="AH346" s="151"/>
    </row>
    <row r="347">
      <c r="G347" s="151"/>
      <c r="H347" s="151"/>
      <c r="I347" s="151"/>
      <c r="J347" s="151"/>
      <c r="K347" s="151"/>
      <c r="L347" s="151"/>
      <c r="M347" s="151"/>
      <c r="N347" s="151"/>
      <c r="O347" s="151"/>
      <c r="P347" s="151"/>
      <c r="T347" s="151"/>
      <c r="W347" s="151"/>
      <c r="X347" s="151"/>
      <c r="AA347" s="151"/>
      <c r="AB347" s="151"/>
      <c r="AC347" s="151"/>
      <c r="AD347" s="151"/>
      <c r="AE347" s="151"/>
      <c r="AF347" s="151"/>
      <c r="AG347" s="151"/>
      <c r="AH347" s="151"/>
    </row>
    <row r="348">
      <c r="G348" s="151"/>
      <c r="H348" s="151"/>
      <c r="I348" s="151"/>
      <c r="J348" s="151"/>
      <c r="K348" s="151"/>
      <c r="L348" s="151"/>
      <c r="M348" s="151"/>
      <c r="N348" s="151"/>
      <c r="O348" s="151"/>
      <c r="P348" s="151"/>
      <c r="T348" s="151"/>
      <c r="W348" s="151"/>
      <c r="X348" s="151"/>
      <c r="AA348" s="151"/>
      <c r="AB348" s="151"/>
      <c r="AC348" s="151"/>
      <c r="AD348" s="151"/>
      <c r="AE348" s="151"/>
      <c r="AF348" s="151"/>
      <c r="AG348" s="151"/>
      <c r="AH348" s="151"/>
    </row>
    <row r="349">
      <c r="G349" s="151"/>
      <c r="H349" s="151"/>
      <c r="I349" s="151"/>
      <c r="J349" s="151"/>
      <c r="K349" s="151"/>
      <c r="L349" s="151"/>
      <c r="M349" s="151"/>
      <c r="N349" s="151"/>
      <c r="O349" s="151"/>
      <c r="P349" s="151"/>
      <c r="T349" s="151"/>
      <c r="W349" s="151"/>
      <c r="X349" s="151"/>
      <c r="AA349" s="151"/>
      <c r="AB349" s="151"/>
      <c r="AC349" s="151"/>
      <c r="AD349" s="151"/>
      <c r="AE349" s="151"/>
      <c r="AF349" s="151"/>
      <c r="AG349" s="151"/>
      <c r="AH349" s="151"/>
    </row>
    <row r="350">
      <c r="G350" s="151"/>
      <c r="H350" s="151"/>
      <c r="I350" s="151"/>
      <c r="J350" s="151"/>
      <c r="K350" s="151"/>
      <c r="L350" s="151"/>
      <c r="M350" s="151"/>
      <c r="N350" s="151"/>
      <c r="O350" s="151"/>
      <c r="P350" s="151"/>
      <c r="T350" s="151"/>
      <c r="W350" s="151"/>
      <c r="X350" s="151"/>
      <c r="AA350" s="151"/>
      <c r="AB350" s="151"/>
      <c r="AC350" s="151"/>
      <c r="AD350" s="151"/>
      <c r="AE350" s="151"/>
      <c r="AF350" s="151"/>
      <c r="AG350" s="151"/>
      <c r="AH350" s="151"/>
    </row>
  </sheetData>
  <drawing r:id="rId2"/>
  <legacyDrawing r:id="rId3"/>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6B26B"/>
    <outlinePr summaryBelow="0" summaryRight="0"/>
  </sheetPr>
  <sheetViews>
    <sheetView workbookViewId="0"/>
  </sheetViews>
  <sheetFormatPr customHeight="1" defaultColWidth="17.29" defaultRowHeight="15.0"/>
  <cols>
    <col customWidth="1" min="1" max="1" width="106.86"/>
    <col customWidth="1" min="3" max="3" width="70.43"/>
    <col customWidth="1" min="4" max="4" width="58.14"/>
  </cols>
  <sheetData>
    <row r="1">
      <c r="A1" s="659"/>
      <c r="B1" s="209" t="s">
        <v>771</v>
      </c>
      <c r="C1" s="660" t="s">
        <v>772</v>
      </c>
      <c r="D1" s="209" t="s">
        <v>48</v>
      </c>
    </row>
    <row r="2">
      <c r="A2" s="661"/>
      <c r="B2" s="209"/>
      <c r="C2" s="660"/>
      <c r="D2" s="209"/>
    </row>
    <row r="3">
      <c r="A3" s="661" t="s">
        <v>49</v>
      </c>
      <c r="B3" s="209"/>
      <c r="C3" s="660"/>
      <c r="D3" s="209"/>
    </row>
    <row r="4">
      <c r="A4" s="34" t="s">
        <v>53</v>
      </c>
      <c r="B4" s="662">
        <f>'Moral weights and discount rate'!B8</f>
        <v>116.2526158</v>
      </c>
      <c r="C4" s="663" t="s">
        <v>773</v>
      </c>
      <c r="D4" s="209"/>
    </row>
    <row r="5">
      <c r="A5" s="34" t="s">
        <v>55</v>
      </c>
      <c r="B5" s="662">
        <f>'Moral weights and discount rate'!B9</f>
        <v>73.19140463</v>
      </c>
      <c r="C5" s="663" t="s">
        <v>773</v>
      </c>
      <c r="D5" s="209"/>
    </row>
    <row r="6">
      <c r="A6" s="55" t="s">
        <v>65</v>
      </c>
      <c r="B6" s="664">
        <f>'Moral weights and discount rate'!B22</f>
        <v>1.442695041</v>
      </c>
      <c r="C6" s="663" t="s">
        <v>773</v>
      </c>
      <c r="D6" s="209"/>
    </row>
    <row r="7">
      <c r="A7" s="659"/>
      <c r="B7" s="209"/>
      <c r="C7" s="660"/>
      <c r="D7" s="209"/>
    </row>
    <row r="8">
      <c r="A8" s="659"/>
      <c r="B8" s="209"/>
      <c r="C8" s="660"/>
      <c r="D8" s="209"/>
    </row>
    <row r="9">
      <c r="A9" s="661" t="s">
        <v>774</v>
      </c>
    </row>
    <row r="10">
      <c r="A10" s="659" t="s">
        <v>775</v>
      </c>
      <c r="B10" s="111">
        <v>0.454</v>
      </c>
      <c r="C10" s="665" t="s">
        <v>776</v>
      </c>
      <c r="D10" s="225" t="s">
        <v>777</v>
      </c>
    </row>
    <row r="11">
      <c r="A11" s="666" t="s">
        <v>778</v>
      </c>
      <c r="B11" s="667">
        <v>12254.19241</v>
      </c>
      <c r="C11" s="665" t="s">
        <v>776</v>
      </c>
    </row>
    <row r="12">
      <c r="A12" s="666" t="s">
        <v>779</v>
      </c>
      <c r="B12" s="668">
        <v>0.546</v>
      </c>
      <c r="C12" s="665" t="s">
        <v>776</v>
      </c>
    </row>
    <row r="13">
      <c r="A13" s="666" t="s">
        <v>780</v>
      </c>
      <c r="B13" s="667">
        <v>30000.0</v>
      </c>
      <c r="C13" s="665" t="s">
        <v>776</v>
      </c>
    </row>
    <row r="14">
      <c r="A14" s="225" t="s">
        <v>781</v>
      </c>
      <c r="B14" s="509">
        <f>1/B11*B4</f>
        <v>0.009486762726</v>
      </c>
      <c r="C14" s="225" t="s">
        <v>782</v>
      </c>
    </row>
    <row r="15">
      <c r="A15" s="225" t="s">
        <v>783</v>
      </c>
      <c r="B15" s="509">
        <f>1/B13*B5</f>
        <v>0.002439713488</v>
      </c>
      <c r="C15" s="225" t="s">
        <v>782</v>
      </c>
    </row>
    <row r="16">
      <c r="A16" s="225" t="s">
        <v>784</v>
      </c>
      <c r="B16" s="509">
        <f>B14*B10+B15*B12</f>
        <v>0.005639073842</v>
      </c>
      <c r="C16" s="225" t="s">
        <v>782</v>
      </c>
    </row>
    <row r="18">
      <c r="A18" s="661" t="s">
        <v>785</v>
      </c>
    </row>
    <row r="19">
      <c r="A19" s="116" t="s">
        <v>786</v>
      </c>
      <c r="B19" s="669">
        <v>0.5915504074</v>
      </c>
      <c r="C19" s="665" t="s">
        <v>776</v>
      </c>
      <c r="D19" s="225" t="s">
        <v>787</v>
      </c>
    </row>
    <row r="20">
      <c r="A20" s="116" t="s">
        <v>788</v>
      </c>
      <c r="B20" s="669">
        <v>0.2454994965</v>
      </c>
      <c r="C20" s="665" t="s">
        <v>776</v>
      </c>
    </row>
    <row r="21">
      <c r="A21" s="116" t="s">
        <v>789</v>
      </c>
      <c r="B21" s="669">
        <v>0.1629500961</v>
      </c>
      <c r="C21" s="665" t="s">
        <v>776</v>
      </c>
    </row>
    <row r="22">
      <c r="A22" s="659" t="s">
        <v>790</v>
      </c>
      <c r="B22" s="669">
        <v>1.0</v>
      </c>
      <c r="C22" s="184" t="s">
        <v>791</v>
      </c>
    </row>
    <row r="23">
      <c r="A23" s="659" t="s">
        <v>792</v>
      </c>
      <c r="B23" s="669">
        <v>0.7</v>
      </c>
      <c r="C23" s="184" t="s">
        <v>791</v>
      </c>
    </row>
    <row r="24">
      <c r="A24" s="659" t="s">
        <v>793</v>
      </c>
      <c r="B24" s="669">
        <v>0.5</v>
      </c>
      <c r="C24" s="184" t="s">
        <v>791</v>
      </c>
    </row>
    <row r="25">
      <c r="A25" s="659" t="s">
        <v>794</v>
      </c>
      <c r="B25" s="670">
        <f>GiveDirectly!B38</f>
        <v>0.003439842022</v>
      </c>
      <c r="C25" s="225" t="s">
        <v>795</v>
      </c>
    </row>
    <row r="26">
      <c r="A26" s="659" t="s">
        <v>796</v>
      </c>
      <c r="B26" s="671">
        <f>sumproduct(B19:B21,B22:B24)*B25</f>
        <v>0.002906236883</v>
      </c>
      <c r="C26" s="225" t="s">
        <v>782</v>
      </c>
    </row>
    <row r="27">
      <c r="A27" s="659"/>
    </row>
    <row r="28">
      <c r="A28" s="661" t="s">
        <v>797</v>
      </c>
      <c r="B28" s="672"/>
    </row>
    <row r="29">
      <c r="A29" s="659" t="s">
        <v>798</v>
      </c>
      <c r="B29" s="669">
        <v>0.5325508781711737</v>
      </c>
      <c r="C29" s="665" t="s">
        <v>776</v>
      </c>
      <c r="D29" s="225" t="s">
        <v>787</v>
      </c>
    </row>
    <row r="30">
      <c r="A30" s="659" t="s">
        <v>799</v>
      </c>
      <c r="B30" s="669">
        <v>0.19256388811448757</v>
      </c>
      <c r="C30" s="665" t="s">
        <v>776</v>
      </c>
    </row>
    <row r="31">
      <c r="A31" s="659" t="s">
        <v>800</v>
      </c>
      <c r="B31" s="669">
        <v>0.18483598178607938</v>
      </c>
      <c r="C31" s="665" t="s">
        <v>776</v>
      </c>
    </row>
    <row r="32">
      <c r="A32" s="659" t="s">
        <v>801</v>
      </c>
      <c r="B32" s="669">
        <v>0.09004925192825948</v>
      </c>
      <c r="C32" s="665" t="s">
        <v>776</v>
      </c>
    </row>
    <row r="33">
      <c r="A33" s="659" t="s">
        <v>802</v>
      </c>
      <c r="B33" s="669">
        <v>0.7</v>
      </c>
      <c r="C33" s="184" t="s">
        <v>791</v>
      </c>
    </row>
    <row r="34">
      <c r="A34" s="225" t="s">
        <v>803</v>
      </c>
      <c r="B34" s="669">
        <v>0.7</v>
      </c>
      <c r="C34" s="184" t="s">
        <v>791</v>
      </c>
    </row>
    <row r="35">
      <c r="A35" s="225" t="s">
        <v>804</v>
      </c>
      <c r="B35" s="669">
        <v>1.0</v>
      </c>
      <c r="C35" s="184" t="s">
        <v>791</v>
      </c>
    </row>
    <row r="36">
      <c r="A36" s="225" t="s">
        <v>805</v>
      </c>
      <c r="B36" s="669">
        <v>1.0</v>
      </c>
      <c r="C36" s="184" t="s">
        <v>791</v>
      </c>
    </row>
    <row r="37">
      <c r="A37" s="659" t="s">
        <v>794</v>
      </c>
      <c r="B37" s="670">
        <f>GiveDirectly!B38</f>
        <v>0.003439842022</v>
      </c>
      <c r="C37" s="225" t="s">
        <v>795</v>
      </c>
    </row>
    <row r="38">
      <c r="A38" s="225" t="s">
        <v>806</v>
      </c>
      <c r="B38" s="673">
        <f>sumproduct(B29:B32,B33:B36)*B37</f>
        <v>0.002691557949</v>
      </c>
      <c r="C38" s="225" t="s">
        <v>782</v>
      </c>
    </row>
    <row r="40">
      <c r="A40" s="209" t="s">
        <v>807</v>
      </c>
    </row>
    <row r="41">
      <c r="A41" s="659" t="s">
        <v>808</v>
      </c>
      <c r="B41" s="673">
        <f>0.25*B16+0.7*B26+0.05*B38</f>
        <v>0.003578712176</v>
      </c>
      <c r="C41" s="225" t="s">
        <v>782</v>
      </c>
      <c r="D41" s="674" t="s">
        <v>809</v>
      </c>
    </row>
    <row r="42">
      <c r="A42" s="659" t="s">
        <v>810</v>
      </c>
      <c r="B42" s="673">
        <f>0.8*B16+0.1*B26+0.1*B38</f>
        <v>0.005071038557</v>
      </c>
      <c r="C42" s="225" t="s">
        <v>782</v>
      </c>
      <c r="D42" s="674" t="s">
        <v>811</v>
      </c>
    </row>
    <row r="43">
      <c r="A43" s="666" t="s">
        <v>812</v>
      </c>
      <c r="B43" s="673">
        <f>AMF!$B$141*0.1</f>
        <v>0.003931830274</v>
      </c>
      <c r="C43" s="225" t="s">
        <v>782</v>
      </c>
      <c r="D43" s="675" t="s">
        <v>813</v>
      </c>
    </row>
    <row r="44">
      <c r="A44" s="666" t="s">
        <v>814</v>
      </c>
      <c r="B44" s="676">
        <v>0.015432999999999999</v>
      </c>
      <c r="C44" s="677" t="s">
        <v>782</v>
      </c>
      <c r="D44" s="678" t="s">
        <v>815</v>
      </c>
    </row>
    <row r="45">
      <c r="A45" s="91" t="s">
        <v>816</v>
      </c>
      <c r="B45" s="679">
        <f>(B16*0.5)+('Helen Keller International'!G109*0.5)</f>
        <v>0.01109007961</v>
      </c>
      <c r="C45" s="225" t="s">
        <v>782</v>
      </c>
      <c r="D45" s="97" t="s">
        <v>817</v>
      </c>
    </row>
    <row r="46">
      <c r="A46" s="91" t="s">
        <v>818</v>
      </c>
      <c r="B46" s="673">
        <f>B16</f>
        <v>0.005639073842</v>
      </c>
      <c r="C46" s="225" t="s">
        <v>782</v>
      </c>
      <c r="D46" s="151" t="s">
        <v>819</v>
      </c>
    </row>
    <row r="47">
      <c r="A47" s="225" t="s">
        <v>820</v>
      </c>
      <c r="B47" s="676">
        <v>0.007</v>
      </c>
      <c r="C47" s="677" t="s">
        <v>821</v>
      </c>
      <c r="D47" s="680" t="s">
        <v>822</v>
      </c>
    </row>
    <row r="48">
      <c r="A48" s="151" t="s">
        <v>823</v>
      </c>
      <c r="B48" s="516">
        <f t="array" ref="B48">(SUMPRODUCT({Sightsavers!H86,Sightsavers!P86,Sightsavers!R86,Sightsavers!S86},{13,10,33,11})/SUM(13,10,33,11))*(1/4)+(B16*(3/4))</f>
        <v>0.007443271589</v>
      </c>
      <c r="C48" s="151" t="s">
        <v>782</v>
      </c>
      <c r="D48" s="680" t="s">
        <v>824</v>
      </c>
      <c r="E48" s="151"/>
      <c r="F48" s="151"/>
      <c r="G48" s="151"/>
      <c r="H48" s="151"/>
      <c r="I48" s="151"/>
      <c r="J48" s="151"/>
      <c r="K48" s="151"/>
      <c r="L48" s="151"/>
      <c r="M48" s="151"/>
      <c r="N48" s="151"/>
      <c r="O48" s="151"/>
      <c r="P48" s="151"/>
      <c r="Q48" s="151"/>
      <c r="R48" s="151"/>
      <c r="S48" s="151"/>
      <c r="T48" s="151"/>
      <c r="U48" s="151"/>
      <c r="V48" s="151"/>
      <c r="W48" s="151"/>
      <c r="X48" s="151"/>
      <c r="Y48" s="151"/>
      <c r="Z48" s="151"/>
    </row>
  </sheetData>
  <hyperlinks>
    <hyperlink r:id="rId2" location="gid=0&amp;range=D47" ref="C10"/>
    <hyperlink r:id="rId3" location="gid=0&amp;range=F47" ref="C11"/>
    <hyperlink r:id="rId4" location="gid=0&amp;range=D48" ref="C12"/>
    <hyperlink r:id="rId5" location="gid=0&amp;range=F48" ref="C13"/>
    <hyperlink r:id="rId6" location="gid=0&amp;range=C7:C9" ref="C19"/>
    <hyperlink r:id="rId7" location="gid=0&amp;range=C7:C9" ref="C20"/>
    <hyperlink r:id="rId8" location="gid=0&amp;range=C7:C9" ref="C21"/>
    <hyperlink r:id="rId9" location="gid=0&amp;range=G64:G67" ref="C29"/>
    <hyperlink r:id="rId10" location="gid=0&amp;range=G64:G67" ref="C30"/>
    <hyperlink r:id="rId11" location="gid=0&amp;range=G64:G67" ref="C31"/>
    <hyperlink r:id="rId12" location="gid=0&amp;range=G64:G67" ref="C32"/>
    <hyperlink r:id="rId13" location="gid=0&amp;range=C15" ref="C44"/>
    <hyperlink r:id="rId14" ref="C47"/>
  </hyperlinks>
  <drawing r:id="rId15"/>
  <legacyDrawing r:id="rId16"/>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6B26B"/>
    <outlinePr summaryBelow="0" summaryRight="0"/>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7.29" defaultRowHeight="15.0" outlineLevelRow="1"/>
  <cols>
    <col customWidth="1" min="1" max="2" width="5.71"/>
    <col customWidth="1" min="3" max="3" width="71.71"/>
    <col customWidth="1" min="4" max="4" width="22.29"/>
    <col customWidth="1" min="5" max="5" width="27.71"/>
    <col customWidth="1" min="6" max="6" width="27.57"/>
    <col customWidth="1" min="7" max="7" width="23.0"/>
    <col customWidth="1" min="8" max="8" width="25.43"/>
    <col customWidth="1" min="9" max="9" width="38.14"/>
    <col customWidth="1" min="14" max="14" width="19.29"/>
  </cols>
  <sheetData>
    <row r="1" collapsed="1">
      <c r="A1" s="681" t="s">
        <v>825</v>
      </c>
      <c r="B1" s="681"/>
      <c r="C1" s="93" t="s">
        <v>826</v>
      </c>
      <c r="D1" s="682" t="s">
        <v>827</v>
      </c>
      <c r="E1" s="683" t="s">
        <v>828</v>
      </c>
      <c r="F1" s="681" t="s">
        <v>829</v>
      </c>
      <c r="G1" s="684" t="s">
        <v>830</v>
      </c>
      <c r="H1" s="681" t="s">
        <v>831</v>
      </c>
      <c r="I1" s="681" t="s">
        <v>48</v>
      </c>
      <c r="J1" s="681"/>
      <c r="K1" s="681"/>
      <c r="L1" s="681"/>
      <c r="M1" s="681"/>
      <c r="N1" s="681"/>
    </row>
    <row r="2" hidden="1" outlineLevel="1">
      <c r="A2" s="31"/>
      <c r="B2" s="31"/>
      <c r="C2" s="31"/>
      <c r="D2" s="685"/>
      <c r="E2" s="685"/>
      <c r="F2" s="685"/>
      <c r="G2" s="685"/>
      <c r="H2" s="685"/>
      <c r="I2" s="686"/>
      <c r="J2" s="31"/>
      <c r="K2" s="687" t="s">
        <v>832</v>
      </c>
      <c r="L2" s="688" t="s">
        <v>833</v>
      </c>
      <c r="M2" s="151"/>
      <c r="N2" s="151"/>
    </row>
    <row r="3" hidden="1" outlineLevel="1">
      <c r="A3" s="31"/>
      <c r="B3" s="31"/>
      <c r="C3" s="31"/>
      <c r="D3" s="685"/>
      <c r="E3" s="685"/>
      <c r="F3" s="685"/>
      <c r="G3" s="685"/>
      <c r="H3" s="685"/>
      <c r="I3" s="686"/>
      <c r="J3" s="31"/>
      <c r="K3" s="689">
        <v>1.0</v>
      </c>
      <c r="L3" s="690">
        <v>0.1</v>
      </c>
      <c r="M3" s="151"/>
      <c r="N3" s="151"/>
    </row>
    <row r="4" hidden="1" outlineLevel="1">
      <c r="A4" s="31"/>
      <c r="B4" s="31"/>
      <c r="C4" s="31"/>
      <c r="D4" s="685"/>
      <c r="E4" s="685"/>
      <c r="F4" s="685"/>
      <c r="G4" s="685"/>
      <c r="H4" s="685"/>
      <c r="I4" s="686"/>
      <c r="J4" s="31"/>
      <c r="K4" s="689">
        <v>2.0</v>
      </c>
      <c r="L4" s="690">
        <f t="shared" ref="L4:L11" si="1">L3+10%</f>
        <v>0.2</v>
      </c>
      <c r="M4" s="151"/>
      <c r="N4" s="151"/>
    </row>
    <row r="5" hidden="1" outlineLevel="1">
      <c r="A5" s="31"/>
      <c r="B5" s="31"/>
      <c r="C5" s="31"/>
      <c r="D5" s="685"/>
      <c r="E5" s="685"/>
      <c r="F5" s="685"/>
      <c r="G5" s="685"/>
      <c r="H5" s="685"/>
      <c r="I5" s="686"/>
      <c r="J5" s="31"/>
      <c r="K5" s="689">
        <v>3.0</v>
      </c>
      <c r="L5" s="690">
        <f t="shared" si="1"/>
        <v>0.3</v>
      </c>
      <c r="M5" s="151"/>
      <c r="N5" s="151"/>
    </row>
    <row r="6" hidden="1" outlineLevel="1">
      <c r="A6" s="31"/>
      <c r="B6" s="31"/>
      <c r="C6" s="31"/>
      <c r="D6" s="685"/>
      <c r="E6" s="685"/>
      <c r="F6" s="685"/>
      <c r="G6" s="685"/>
      <c r="H6" s="685"/>
      <c r="I6" s="686"/>
      <c r="J6" s="31"/>
      <c r="K6" s="689">
        <v>4.0</v>
      </c>
      <c r="L6" s="690">
        <f t="shared" si="1"/>
        <v>0.4</v>
      </c>
      <c r="M6" s="151"/>
      <c r="N6" s="151"/>
    </row>
    <row r="7" hidden="1" outlineLevel="1">
      <c r="A7" s="31"/>
      <c r="B7" s="31"/>
      <c r="C7" s="31"/>
      <c r="D7" s="685"/>
      <c r="E7" s="685"/>
      <c r="F7" s="685"/>
      <c r="G7" s="685"/>
      <c r="H7" s="685"/>
      <c r="I7" s="686"/>
      <c r="J7" s="31"/>
      <c r="K7" s="689">
        <v>5.0</v>
      </c>
      <c r="L7" s="690">
        <f t="shared" si="1"/>
        <v>0.5</v>
      </c>
      <c r="M7" s="151"/>
      <c r="N7" s="151"/>
    </row>
    <row r="8" hidden="1" outlineLevel="1">
      <c r="A8" s="31"/>
      <c r="B8" s="31"/>
      <c r="C8" s="31"/>
      <c r="D8" s="685"/>
      <c r="E8" s="685"/>
      <c r="F8" s="685"/>
      <c r="G8" s="685"/>
      <c r="H8" s="685"/>
      <c r="I8" s="686"/>
      <c r="J8" s="31"/>
      <c r="K8" s="689">
        <v>6.0</v>
      </c>
      <c r="L8" s="690">
        <f t="shared" si="1"/>
        <v>0.6</v>
      </c>
      <c r="M8" s="151"/>
      <c r="N8" s="151"/>
    </row>
    <row r="9" hidden="1" outlineLevel="1">
      <c r="A9" s="31"/>
      <c r="B9" s="31"/>
      <c r="C9" s="31"/>
      <c r="D9" s="685"/>
      <c r="E9" s="685"/>
      <c r="F9" s="685"/>
      <c r="G9" s="685"/>
      <c r="H9" s="685"/>
      <c r="I9" s="686"/>
      <c r="J9" s="31"/>
      <c r="K9" s="689">
        <v>7.0</v>
      </c>
      <c r="L9" s="690">
        <f t="shared" si="1"/>
        <v>0.7</v>
      </c>
      <c r="M9" s="151"/>
      <c r="N9" s="151"/>
    </row>
    <row r="10" hidden="1" outlineLevel="1">
      <c r="A10" s="31"/>
      <c r="B10" s="31"/>
      <c r="C10" s="31"/>
      <c r="D10" s="685"/>
      <c r="E10" s="685"/>
      <c r="F10" s="685"/>
      <c r="G10" s="685"/>
      <c r="H10" s="685"/>
      <c r="I10" s="686"/>
      <c r="J10" s="31"/>
      <c r="K10" s="689">
        <v>8.0</v>
      </c>
      <c r="L10" s="690">
        <f t="shared" si="1"/>
        <v>0.8</v>
      </c>
      <c r="M10" s="151"/>
      <c r="N10" s="151"/>
    </row>
    <row r="11" hidden="1" outlineLevel="1">
      <c r="A11" s="31"/>
      <c r="B11" s="31"/>
      <c r="C11" s="31"/>
      <c r="D11" s="685"/>
      <c r="E11" s="685"/>
      <c r="F11" s="685"/>
      <c r="G11" s="685"/>
      <c r="H11" s="685"/>
      <c r="I11" s="686"/>
      <c r="J11" s="31"/>
      <c r="K11" s="691">
        <v>9.0</v>
      </c>
      <c r="L11" s="692">
        <f t="shared" si="1"/>
        <v>0.9</v>
      </c>
      <c r="M11" s="151"/>
      <c r="N11" s="151"/>
    </row>
    <row r="12" hidden="1" outlineLevel="1">
      <c r="A12" s="31"/>
      <c r="B12" s="31"/>
      <c r="C12" s="31"/>
      <c r="D12" s="685"/>
      <c r="E12" s="685"/>
      <c r="F12" s="685"/>
      <c r="G12" s="685"/>
      <c r="H12" s="685"/>
      <c r="I12" s="686"/>
      <c r="J12" s="31"/>
      <c r="K12" s="151"/>
      <c r="L12" s="151"/>
      <c r="M12" s="151"/>
      <c r="N12" s="151"/>
    </row>
    <row r="13">
      <c r="A13" s="31"/>
      <c r="B13" s="31"/>
      <c r="C13" s="693" t="s">
        <v>834</v>
      </c>
      <c r="D13" s="685" t="s">
        <v>835</v>
      </c>
      <c r="E13" s="694" t="s">
        <v>836</v>
      </c>
      <c r="F13" s="694" t="s">
        <v>837</v>
      </c>
      <c r="G13" s="694" t="s">
        <v>838</v>
      </c>
      <c r="H13" s="694"/>
      <c r="I13" s="686"/>
      <c r="J13" s="31"/>
      <c r="M13" s="151"/>
      <c r="N13" s="151"/>
    </row>
    <row r="14">
      <c r="A14" s="695"/>
      <c r="B14" s="695"/>
      <c r="E14" s="696" t="s">
        <v>839</v>
      </c>
      <c r="F14" s="696" t="s">
        <v>840</v>
      </c>
      <c r="G14" s="696" t="s">
        <v>841</v>
      </c>
      <c r="H14" s="696" t="s">
        <v>842</v>
      </c>
      <c r="I14" s="686"/>
      <c r="J14" s="31"/>
      <c r="M14" s="151"/>
      <c r="N14" s="151"/>
    </row>
    <row r="15">
      <c r="A15" s="695"/>
      <c r="B15" s="695"/>
      <c r="E15" s="697" t="s">
        <v>843</v>
      </c>
      <c r="F15" s="697" t="s">
        <v>844</v>
      </c>
      <c r="G15" s="697" t="s">
        <v>845</v>
      </c>
      <c r="H15" s="697" t="s">
        <v>846</v>
      </c>
      <c r="I15" s="31"/>
      <c r="J15" s="31"/>
      <c r="M15" s="151"/>
      <c r="N15" s="151"/>
    </row>
    <row r="16">
      <c r="A16" s="695"/>
      <c r="B16" s="695"/>
      <c r="E16" s="698" t="s">
        <v>847</v>
      </c>
      <c r="F16" s="698" t="s">
        <v>848</v>
      </c>
      <c r="G16" s="698" t="s">
        <v>849</v>
      </c>
      <c r="H16" s="698" t="s">
        <v>850</v>
      </c>
      <c r="I16" s="686"/>
      <c r="J16" s="31"/>
      <c r="M16" s="151"/>
      <c r="N16" s="151"/>
    </row>
    <row r="17" ht="63.0" customHeight="1">
      <c r="A17" s="31"/>
      <c r="B17" s="31"/>
      <c r="D17" s="31"/>
      <c r="E17" s="699"/>
      <c r="F17" s="699"/>
      <c r="G17" s="699"/>
      <c r="H17" s="699"/>
      <c r="I17" s="686"/>
      <c r="J17" s="31"/>
      <c r="M17" s="151"/>
      <c r="N17" s="151"/>
    </row>
    <row r="18">
      <c r="A18" s="700"/>
      <c r="B18" s="700"/>
      <c r="C18" s="700" t="s">
        <v>9</v>
      </c>
      <c r="D18" s="77"/>
      <c r="E18" s="77"/>
      <c r="F18" s="77"/>
      <c r="G18" s="77"/>
      <c r="H18" s="77"/>
      <c r="I18" s="699"/>
      <c r="J18" s="31"/>
      <c r="K18" s="701" t="s">
        <v>851</v>
      </c>
      <c r="L18" s="701" t="s">
        <v>833</v>
      </c>
      <c r="M18" s="701" t="s">
        <v>852</v>
      </c>
      <c r="N18" s="702" t="s">
        <v>853</v>
      </c>
    </row>
    <row r="19">
      <c r="A19" s="77" t="s">
        <v>9</v>
      </c>
      <c r="B19" s="77"/>
      <c r="C19" s="77" t="s">
        <v>854</v>
      </c>
      <c r="D19" s="77" t="s">
        <v>855</v>
      </c>
      <c r="E19" s="77"/>
      <c r="F19" s="77">
        <v>3.0</v>
      </c>
      <c r="G19" s="77">
        <v>3.0</v>
      </c>
      <c r="H19" s="77">
        <v>3.0</v>
      </c>
      <c r="I19" s="699" t="s">
        <v>856</v>
      </c>
      <c r="J19" s="31"/>
      <c r="K19" s="151">
        <f t="shared" ref="K19:K28" si="2">sum(F19:H19)</f>
        <v>9</v>
      </c>
      <c r="L19" s="124">
        <f t="shared" ref="L19:L28" si="3">index($L$3:$L$11,MATCH(K19,$K$3:$K$11,0))</f>
        <v>0.9</v>
      </c>
      <c r="M19" s="229">
        <f t="shared" ref="M19:M28" si="4">iferror(if(D19="Not explicitly modeled",L19*E19,0),"Not specified")</f>
        <v>0</v>
      </c>
      <c r="N19" s="703" t="s">
        <v>857</v>
      </c>
    </row>
    <row r="20">
      <c r="A20" s="77" t="s">
        <v>9</v>
      </c>
      <c r="B20" s="77"/>
      <c r="C20" s="71" t="s">
        <v>858</v>
      </c>
      <c r="D20" s="77" t="s">
        <v>855</v>
      </c>
      <c r="E20" s="704"/>
      <c r="F20" s="77">
        <v>2.0</v>
      </c>
      <c r="G20" s="77">
        <v>3.0</v>
      </c>
      <c r="H20" s="705">
        <v>3.0</v>
      </c>
      <c r="I20" s="699" t="s">
        <v>859</v>
      </c>
      <c r="J20" s="31"/>
      <c r="K20" s="151">
        <f t="shared" si="2"/>
        <v>8</v>
      </c>
      <c r="L20" s="124">
        <f t="shared" si="3"/>
        <v>0.8</v>
      </c>
      <c r="M20" s="229">
        <f t="shared" si="4"/>
        <v>0</v>
      </c>
      <c r="N20" s="703" t="s">
        <v>857</v>
      </c>
    </row>
    <row r="21">
      <c r="A21" s="77" t="s">
        <v>9</v>
      </c>
      <c r="B21" s="77"/>
      <c r="C21" s="71" t="s">
        <v>860</v>
      </c>
      <c r="D21" s="77" t="s">
        <v>855</v>
      </c>
      <c r="E21" s="77" t="s">
        <v>861</v>
      </c>
      <c r="F21" s="77">
        <v>2.0</v>
      </c>
      <c r="G21" s="77">
        <v>1.0</v>
      </c>
      <c r="H21" s="77">
        <v>3.0</v>
      </c>
      <c r="I21" s="699" t="s">
        <v>862</v>
      </c>
      <c r="J21" s="31"/>
      <c r="K21" s="151">
        <f t="shared" si="2"/>
        <v>6</v>
      </c>
      <c r="L21" s="124">
        <f t="shared" si="3"/>
        <v>0.6</v>
      </c>
      <c r="M21" s="229">
        <f t="shared" si="4"/>
        <v>0</v>
      </c>
      <c r="N21" s="703" t="s">
        <v>857</v>
      </c>
    </row>
    <row r="22">
      <c r="A22" s="77" t="s">
        <v>9</v>
      </c>
      <c r="B22" s="77"/>
      <c r="C22" s="71" t="s">
        <v>863</v>
      </c>
      <c r="D22" s="693" t="s">
        <v>864</v>
      </c>
      <c r="E22" s="704">
        <v>0.15</v>
      </c>
      <c r="F22" s="77">
        <v>3.0</v>
      </c>
      <c r="G22" s="77">
        <v>2.0</v>
      </c>
      <c r="H22" s="77">
        <v>1.0</v>
      </c>
      <c r="I22" s="699" t="s">
        <v>865</v>
      </c>
      <c r="J22" s="31"/>
      <c r="K22" s="151">
        <f t="shared" si="2"/>
        <v>6</v>
      </c>
      <c r="L22" s="124">
        <f t="shared" si="3"/>
        <v>0.6</v>
      </c>
      <c r="M22" s="229">
        <f t="shared" si="4"/>
        <v>0.09</v>
      </c>
      <c r="N22" s="703" t="s">
        <v>857</v>
      </c>
    </row>
    <row r="23">
      <c r="A23" s="77" t="s">
        <v>9</v>
      </c>
      <c r="B23" s="77"/>
      <c r="C23" s="71" t="s">
        <v>866</v>
      </c>
      <c r="D23" s="693" t="s">
        <v>864</v>
      </c>
      <c r="E23" s="704">
        <v>0.15</v>
      </c>
      <c r="F23" s="77">
        <v>3.0</v>
      </c>
      <c r="G23" s="77">
        <v>2.0</v>
      </c>
      <c r="H23" s="77">
        <v>1.0</v>
      </c>
      <c r="I23" s="699" t="s">
        <v>867</v>
      </c>
      <c r="J23" s="31"/>
      <c r="K23" s="151">
        <f t="shared" si="2"/>
        <v>6</v>
      </c>
      <c r="L23" s="124">
        <f t="shared" si="3"/>
        <v>0.6</v>
      </c>
      <c r="M23" s="229">
        <f t="shared" si="4"/>
        <v>0.09</v>
      </c>
      <c r="N23" s="703" t="s">
        <v>857</v>
      </c>
    </row>
    <row r="24">
      <c r="A24" s="77" t="s">
        <v>9</v>
      </c>
      <c r="B24" s="77"/>
      <c r="C24" s="77" t="s">
        <v>868</v>
      </c>
      <c r="D24" s="693" t="s">
        <v>864</v>
      </c>
      <c r="E24" s="704">
        <v>0.05</v>
      </c>
      <c r="F24" s="77">
        <v>2.0</v>
      </c>
      <c r="G24" s="77">
        <v>1.0</v>
      </c>
      <c r="H24" s="77">
        <v>1.0</v>
      </c>
      <c r="I24" s="699" t="s">
        <v>869</v>
      </c>
      <c r="J24" s="31"/>
      <c r="K24" s="151">
        <f t="shared" si="2"/>
        <v>4</v>
      </c>
      <c r="L24" s="124">
        <f t="shared" si="3"/>
        <v>0.4</v>
      </c>
      <c r="M24" s="229">
        <f t="shared" si="4"/>
        <v>0.02</v>
      </c>
      <c r="N24" s="703" t="s">
        <v>857</v>
      </c>
    </row>
    <row r="25">
      <c r="A25" s="77" t="s">
        <v>9</v>
      </c>
      <c r="B25" s="77"/>
      <c r="C25" s="77" t="s">
        <v>870</v>
      </c>
      <c r="D25" s="693" t="s">
        <v>864</v>
      </c>
      <c r="E25" s="704">
        <v>0.1</v>
      </c>
      <c r="F25" s="77">
        <v>3.0</v>
      </c>
      <c r="G25" s="77">
        <v>3.0</v>
      </c>
      <c r="H25" s="77">
        <v>3.0</v>
      </c>
      <c r="I25" s="699" t="s">
        <v>871</v>
      </c>
      <c r="J25" s="31"/>
      <c r="K25" s="151">
        <f t="shared" si="2"/>
        <v>9</v>
      </c>
      <c r="L25" s="124">
        <f t="shared" si="3"/>
        <v>0.9</v>
      </c>
      <c r="M25" s="229">
        <f t="shared" si="4"/>
        <v>0.09</v>
      </c>
      <c r="N25" s="703" t="s">
        <v>857</v>
      </c>
    </row>
    <row r="26">
      <c r="A26" s="77" t="s">
        <v>9</v>
      </c>
      <c r="B26" s="77"/>
      <c r="C26" s="71" t="s">
        <v>872</v>
      </c>
      <c r="D26" s="693" t="s">
        <v>864</v>
      </c>
      <c r="E26" s="704">
        <v>0.05</v>
      </c>
      <c r="F26" s="77">
        <v>1.0</v>
      </c>
      <c r="G26" s="77">
        <v>2.0</v>
      </c>
      <c r="H26" s="77">
        <v>2.0</v>
      </c>
      <c r="I26" s="699" t="s">
        <v>873</v>
      </c>
      <c r="J26" s="31"/>
      <c r="K26" s="151">
        <f t="shared" si="2"/>
        <v>5</v>
      </c>
      <c r="L26" s="124">
        <f t="shared" si="3"/>
        <v>0.5</v>
      </c>
      <c r="M26" s="229">
        <f t="shared" si="4"/>
        <v>0.025</v>
      </c>
      <c r="N26" s="703" t="s">
        <v>857</v>
      </c>
    </row>
    <row r="27">
      <c r="A27" s="77" t="s">
        <v>9</v>
      </c>
      <c r="B27" s="77"/>
      <c r="C27" s="71" t="s">
        <v>874</v>
      </c>
      <c r="D27" s="693" t="s">
        <v>864</v>
      </c>
      <c r="E27" s="704">
        <v>-0.1</v>
      </c>
      <c r="F27" s="77">
        <v>2.0</v>
      </c>
      <c r="G27" s="77">
        <v>1.0</v>
      </c>
      <c r="H27" s="77">
        <v>1.0</v>
      </c>
      <c r="I27" s="699" t="s">
        <v>875</v>
      </c>
      <c r="J27" s="31"/>
      <c r="K27" s="151">
        <f t="shared" si="2"/>
        <v>4</v>
      </c>
      <c r="L27" s="124">
        <f t="shared" si="3"/>
        <v>0.4</v>
      </c>
      <c r="M27" s="229">
        <f t="shared" si="4"/>
        <v>-0.04</v>
      </c>
      <c r="N27" s="703" t="s">
        <v>876</v>
      </c>
    </row>
    <row r="28">
      <c r="A28" s="77" t="s">
        <v>9</v>
      </c>
      <c r="B28" s="77"/>
      <c r="C28" s="71" t="s">
        <v>877</v>
      </c>
      <c r="D28" s="693" t="s">
        <v>864</v>
      </c>
      <c r="E28" s="77" t="s">
        <v>878</v>
      </c>
      <c r="F28" s="706">
        <v>1.0</v>
      </c>
      <c r="G28" s="706">
        <v>1.0</v>
      </c>
      <c r="H28" s="706">
        <v>1.0</v>
      </c>
      <c r="I28" s="699" t="s">
        <v>879</v>
      </c>
      <c r="J28" s="31"/>
      <c r="K28" s="151">
        <f t="shared" si="2"/>
        <v>3</v>
      </c>
      <c r="L28" s="124">
        <f t="shared" si="3"/>
        <v>0.3</v>
      </c>
      <c r="M28" s="229" t="str">
        <f t="shared" si="4"/>
        <v>Not specified</v>
      </c>
      <c r="N28" s="703" t="s">
        <v>857</v>
      </c>
    </row>
    <row r="29">
      <c r="A29" s="77" t="s">
        <v>9</v>
      </c>
      <c r="B29" s="77"/>
      <c r="C29" s="71" t="s">
        <v>880</v>
      </c>
      <c r="D29" s="693" t="s">
        <v>864</v>
      </c>
      <c r="E29" s="704">
        <v>0.2</v>
      </c>
      <c r="F29" s="707" t="s">
        <v>881</v>
      </c>
      <c r="G29" s="707" t="s">
        <v>881</v>
      </c>
      <c r="H29" s="707" t="s">
        <v>881</v>
      </c>
      <c r="I29" s="708" t="s">
        <v>882</v>
      </c>
      <c r="J29" s="31"/>
      <c r="K29" s="703" t="s">
        <v>881</v>
      </c>
      <c r="L29" s="703" t="s">
        <v>881</v>
      </c>
      <c r="M29" s="709">
        <v>0.2</v>
      </c>
      <c r="N29" s="703" t="s">
        <v>857</v>
      </c>
    </row>
    <row r="30">
      <c r="A30" s="77" t="s">
        <v>9</v>
      </c>
      <c r="B30" s="77"/>
      <c r="C30" s="126" t="s">
        <v>883</v>
      </c>
      <c r="D30" s="693" t="s">
        <v>864</v>
      </c>
      <c r="E30" s="710">
        <v>0.03</v>
      </c>
      <c r="F30" s="711">
        <v>3.0</v>
      </c>
      <c r="G30" s="711">
        <v>3.0</v>
      </c>
      <c r="H30" s="712">
        <v>2.0</v>
      </c>
      <c r="I30" s="713" t="s">
        <v>884</v>
      </c>
      <c r="J30" s="31"/>
      <c r="K30" s="151">
        <f t="shared" ref="K30:K33" si="5">sum(F30:H30)</f>
        <v>8</v>
      </c>
      <c r="L30" s="124">
        <f t="shared" ref="L30:L33" si="6">index($L$3:$L$11,MATCH(K30,$K$3:$K$11,0))</f>
        <v>0.8</v>
      </c>
      <c r="M30" s="229">
        <f t="shared" ref="M30:M33" si="7">iferror(if(D30="Not explicitly modeled",L30*E30,0),"Not specified")</f>
        <v>0.024</v>
      </c>
      <c r="N30" s="703" t="s">
        <v>876</v>
      </c>
    </row>
    <row r="31">
      <c r="A31" s="77" t="s">
        <v>9</v>
      </c>
      <c r="B31" s="77"/>
      <c r="C31" s="126" t="s">
        <v>885</v>
      </c>
      <c r="D31" s="693" t="s">
        <v>864</v>
      </c>
      <c r="E31" s="703" t="s">
        <v>886</v>
      </c>
      <c r="F31" s="712">
        <v>2.0</v>
      </c>
      <c r="G31" s="714">
        <v>1.0</v>
      </c>
      <c r="H31" s="712">
        <v>2.0</v>
      </c>
      <c r="I31" s="713" t="s">
        <v>887</v>
      </c>
      <c r="J31" s="151"/>
      <c r="K31" s="151">
        <f t="shared" si="5"/>
        <v>5</v>
      </c>
      <c r="L31" s="124">
        <f t="shared" si="6"/>
        <v>0.5</v>
      </c>
      <c r="M31" s="229" t="str">
        <f t="shared" si="7"/>
        <v>Not specified</v>
      </c>
      <c r="N31" s="703" t="s">
        <v>876</v>
      </c>
    </row>
    <row r="32">
      <c r="A32" s="77" t="s">
        <v>9</v>
      </c>
      <c r="B32" s="77"/>
      <c r="C32" s="126" t="s">
        <v>888</v>
      </c>
      <c r="D32" s="693" t="s">
        <v>864</v>
      </c>
      <c r="E32" s="710">
        <v>0.1</v>
      </c>
      <c r="F32" s="712">
        <v>2.0</v>
      </c>
      <c r="G32" s="712">
        <v>2.0</v>
      </c>
      <c r="H32" s="714">
        <v>1.0</v>
      </c>
      <c r="I32" s="715" t="s">
        <v>889</v>
      </c>
      <c r="J32" s="151"/>
      <c r="K32" s="151">
        <f t="shared" si="5"/>
        <v>5</v>
      </c>
      <c r="L32" s="124">
        <f t="shared" si="6"/>
        <v>0.5</v>
      </c>
      <c r="M32" s="229">
        <f t="shared" si="7"/>
        <v>0.05</v>
      </c>
      <c r="N32" s="703" t="s">
        <v>876</v>
      </c>
    </row>
    <row r="33">
      <c r="A33" s="77" t="s">
        <v>9</v>
      </c>
      <c r="B33" s="77"/>
      <c r="C33" s="126" t="s">
        <v>890</v>
      </c>
      <c r="D33" s="693" t="s">
        <v>864</v>
      </c>
      <c r="E33" s="710">
        <v>-0.05</v>
      </c>
      <c r="F33" s="714">
        <v>1.0</v>
      </c>
      <c r="G33" s="712">
        <v>2.0</v>
      </c>
      <c r="H33" s="714">
        <v>1.0</v>
      </c>
      <c r="I33" s="715" t="s">
        <v>891</v>
      </c>
      <c r="J33" s="151"/>
      <c r="K33" s="151">
        <f t="shared" si="5"/>
        <v>4</v>
      </c>
      <c r="L33" s="124">
        <f t="shared" si="6"/>
        <v>0.4</v>
      </c>
      <c r="M33" s="229">
        <f t="shared" si="7"/>
        <v>-0.02</v>
      </c>
      <c r="N33" s="703" t="s">
        <v>876</v>
      </c>
    </row>
    <row r="34">
      <c r="A34" s="71"/>
      <c r="B34" s="71"/>
      <c r="C34" s="71"/>
      <c r="D34" s="77"/>
      <c r="E34" s="77"/>
      <c r="F34" s="77"/>
      <c r="G34" s="77"/>
      <c r="H34" s="77"/>
      <c r="I34" s="699"/>
      <c r="J34" s="31"/>
      <c r="K34" s="716"/>
      <c r="L34" s="717"/>
      <c r="M34" s="718"/>
      <c r="N34" s="718"/>
    </row>
    <row r="35">
      <c r="A35" s="700"/>
      <c r="B35" s="700"/>
      <c r="C35" s="700" t="s">
        <v>892</v>
      </c>
      <c r="D35" s="693"/>
      <c r="E35" s="77"/>
      <c r="F35" s="77"/>
      <c r="G35" s="77"/>
      <c r="H35" s="77"/>
      <c r="I35" s="699"/>
      <c r="J35" s="31"/>
    </row>
    <row r="36">
      <c r="A36" s="71" t="s">
        <v>893</v>
      </c>
      <c r="B36" s="71" t="s">
        <v>894</v>
      </c>
      <c r="C36" s="71" t="s">
        <v>860</v>
      </c>
      <c r="D36" s="77" t="s">
        <v>855</v>
      </c>
      <c r="E36" s="704"/>
      <c r="F36" s="77">
        <v>2.0</v>
      </c>
      <c r="G36" s="77">
        <v>1.0</v>
      </c>
      <c r="H36" s="77">
        <v>3.0</v>
      </c>
      <c r="I36" s="699" t="s">
        <v>895</v>
      </c>
      <c r="J36" s="31"/>
      <c r="K36" s="151">
        <f t="shared" ref="K36:K48" si="8">sum(F36:H36)</f>
        <v>6</v>
      </c>
      <c r="L36" s="124">
        <f t="shared" ref="L36:L48" si="9">index($L$3:$L$11,MATCH(K36,$K$3:$K$11,0))</f>
        <v>0.6</v>
      </c>
      <c r="M36" s="229">
        <f t="shared" ref="M36:M48" si="10">iferror(if(D36="Not explicitly modeled",L36*E36,0),"Not specified")</f>
        <v>0</v>
      </c>
      <c r="N36" s="703" t="s">
        <v>857</v>
      </c>
    </row>
    <row r="37">
      <c r="A37" s="71" t="s">
        <v>893</v>
      </c>
      <c r="B37" s="71" t="s">
        <v>894</v>
      </c>
      <c r="C37" s="71" t="s">
        <v>896</v>
      </c>
      <c r="D37" s="693" t="s">
        <v>864</v>
      </c>
      <c r="E37" s="704">
        <v>0.02</v>
      </c>
      <c r="F37" s="77">
        <v>2.0</v>
      </c>
      <c r="G37" s="77">
        <v>1.0</v>
      </c>
      <c r="H37" s="77">
        <v>1.0</v>
      </c>
      <c r="I37" s="699" t="s">
        <v>897</v>
      </c>
      <c r="J37" s="31"/>
      <c r="K37" s="151">
        <f t="shared" si="8"/>
        <v>4</v>
      </c>
      <c r="L37" s="124">
        <f t="shared" si="9"/>
        <v>0.4</v>
      </c>
      <c r="M37" s="229">
        <f t="shared" si="10"/>
        <v>0.008</v>
      </c>
      <c r="N37" s="703" t="s">
        <v>857</v>
      </c>
    </row>
    <row r="38">
      <c r="A38" s="71" t="s">
        <v>893</v>
      </c>
      <c r="B38" s="71" t="s">
        <v>894</v>
      </c>
      <c r="C38" s="71" t="s">
        <v>898</v>
      </c>
      <c r="D38" s="693" t="s">
        <v>864</v>
      </c>
      <c r="E38" s="704">
        <v>0.1</v>
      </c>
      <c r="F38" s="77">
        <v>2.0</v>
      </c>
      <c r="G38" s="77">
        <v>2.0</v>
      </c>
      <c r="H38" s="77">
        <v>2.0</v>
      </c>
      <c r="I38" s="699" t="s">
        <v>899</v>
      </c>
      <c r="J38" s="31"/>
      <c r="K38" s="151">
        <f t="shared" si="8"/>
        <v>6</v>
      </c>
      <c r="L38" s="124">
        <f t="shared" si="9"/>
        <v>0.6</v>
      </c>
      <c r="M38" s="229">
        <f t="shared" si="10"/>
        <v>0.06</v>
      </c>
      <c r="N38" s="703" t="s">
        <v>857</v>
      </c>
    </row>
    <row r="39">
      <c r="A39" s="71" t="s">
        <v>893</v>
      </c>
      <c r="B39" s="71" t="s">
        <v>894</v>
      </c>
      <c r="C39" s="77" t="s">
        <v>900</v>
      </c>
      <c r="D39" s="693" t="s">
        <v>864</v>
      </c>
      <c r="E39" s="704">
        <v>-0.05</v>
      </c>
      <c r="F39" s="77">
        <v>2.0</v>
      </c>
      <c r="G39" s="77">
        <v>1.0</v>
      </c>
      <c r="H39" s="77">
        <v>2.0</v>
      </c>
      <c r="I39" s="699" t="s">
        <v>901</v>
      </c>
      <c r="J39" s="31"/>
      <c r="K39" s="151">
        <f t="shared" si="8"/>
        <v>5</v>
      </c>
      <c r="L39" s="124">
        <f t="shared" si="9"/>
        <v>0.5</v>
      </c>
      <c r="M39" s="229">
        <f t="shared" si="10"/>
        <v>-0.025</v>
      </c>
      <c r="N39" s="703" t="s">
        <v>857</v>
      </c>
    </row>
    <row r="40">
      <c r="A40" s="71" t="s">
        <v>893</v>
      </c>
      <c r="B40" s="71" t="s">
        <v>894</v>
      </c>
      <c r="C40" s="77" t="s">
        <v>902</v>
      </c>
      <c r="D40" s="693" t="s">
        <v>864</v>
      </c>
      <c r="E40" s="704">
        <v>0.05</v>
      </c>
      <c r="F40" s="77">
        <v>1.0</v>
      </c>
      <c r="G40" s="77">
        <v>3.0</v>
      </c>
      <c r="H40" s="77">
        <v>3.0</v>
      </c>
      <c r="I40" s="699" t="s">
        <v>903</v>
      </c>
      <c r="J40" s="31"/>
      <c r="K40" s="151">
        <f t="shared" si="8"/>
        <v>7</v>
      </c>
      <c r="L40" s="124">
        <f t="shared" si="9"/>
        <v>0.7</v>
      </c>
      <c r="M40" s="229">
        <f t="shared" si="10"/>
        <v>0.035</v>
      </c>
      <c r="N40" s="703" t="s">
        <v>857</v>
      </c>
    </row>
    <row r="41">
      <c r="A41" s="71" t="s">
        <v>893</v>
      </c>
      <c r="B41" s="71" t="s">
        <v>894</v>
      </c>
      <c r="C41" s="71" t="s">
        <v>866</v>
      </c>
      <c r="D41" s="693" t="s">
        <v>864</v>
      </c>
      <c r="E41" s="704">
        <v>0.15</v>
      </c>
      <c r="F41" s="77">
        <v>3.0</v>
      </c>
      <c r="G41" s="77">
        <v>2.0</v>
      </c>
      <c r="H41" s="77">
        <v>1.0</v>
      </c>
      <c r="I41" s="699" t="s">
        <v>867</v>
      </c>
      <c r="J41" s="31"/>
      <c r="K41" s="151">
        <f t="shared" si="8"/>
        <v>6</v>
      </c>
      <c r="L41" s="124">
        <f t="shared" si="9"/>
        <v>0.6</v>
      </c>
      <c r="M41" s="229">
        <f t="shared" si="10"/>
        <v>0.09</v>
      </c>
      <c r="N41" s="703" t="s">
        <v>857</v>
      </c>
    </row>
    <row r="42">
      <c r="A42" s="71" t="s">
        <v>893</v>
      </c>
      <c r="B42" s="71" t="s">
        <v>894</v>
      </c>
      <c r="C42" s="77" t="s">
        <v>872</v>
      </c>
      <c r="D42" s="693" t="s">
        <v>864</v>
      </c>
      <c r="E42" s="704">
        <v>0.2</v>
      </c>
      <c r="F42" s="77">
        <v>1.0</v>
      </c>
      <c r="G42" s="77">
        <v>2.0</v>
      </c>
      <c r="H42" s="77">
        <v>2.0</v>
      </c>
      <c r="I42" s="699" t="s">
        <v>904</v>
      </c>
      <c r="J42" s="31"/>
      <c r="K42" s="151">
        <f t="shared" si="8"/>
        <v>5</v>
      </c>
      <c r="L42" s="124">
        <f t="shared" si="9"/>
        <v>0.5</v>
      </c>
      <c r="M42" s="229">
        <f t="shared" si="10"/>
        <v>0.1</v>
      </c>
      <c r="N42" s="703" t="s">
        <v>857</v>
      </c>
    </row>
    <row r="43">
      <c r="A43" s="71" t="s">
        <v>893</v>
      </c>
      <c r="B43" s="71" t="s">
        <v>894</v>
      </c>
      <c r="C43" s="77" t="s">
        <v>905</v>
      </c>
      <c r="D43" s="693" t="s">
        <v>864</v>
      </c>
      <c r="E43" s="704">
        <v>0.4</v>
      </c>
      <c r="F43" s="77">
        <v>0.0</v>
      </c>
      <c r="G43" s="77">
        <v>0.0</v>
      </c>
      <c r="H43" s="77">
        <v>1.0</v>
      </c>
      <c r="I43" s="699" t="s">
        <v>906</v>
      </c>
      <c r="J43" s="31"/>
      <c r="K43" s="151">
        <f t="shared" si="8"/>
        <v>1</v>
      </c>
      <c r="L43" s="124">
        <f t="shared" si="9"/>
        <v>0.1</v>
      </c>
      <c r="M43" s="229">
        <f t="shared" si="10"/>
        <v>0.04</v>
      </c>
      <c r="N43" s="703" t="s">
        <v>857</v>
      </c>
    </row>
    <row r="44">
      <c r="A44" s="71" t="s">
        <v>893</v>
      </c>
      <c r="B44" s="71"/>
      <c r="C44" s="77" t="s">
        <v>907</v>
      </c>
      <c r="D44" s="693" t="s">
        <v>864</v>
      </c>
      <c r="E44" s="704">
        <v>0.2</v>
      </c>
      <c r="F44" s="77">
        <v>3.0</v>
      </c>
      <c r="G44" s="77">
        <v>2.0</v>
      </c>
      <c r="H44" s="77">
        <v>2.0</v>
      </c>
      <c r="I44" s="699" t="s">
        <v>908</v>
      </c>
      <c r="J44" s="31"/>
      <c r="K44" s="151">
        <f t="shared" si="8"/>
        <v>7</v>
      </c>
      <c r="L44" s="124">
        <f t="shared" si="9"/>
        <v>0.7</v>
      </c>
      <c r="M44" s="229">
        <f t="shared" si="10"/>
        <v>0.14</v>
      </c>
      <c r="N44" s="703" t="s">
        <v>857</v>
      </c>
    </row>
    <row r="45">
      <c r="A45" s="71" t="s">
        <v>893</v>
      </c>
      <c r="B45" s="71" t="s">
        <v>894</v>
      </c>
      <c r="C45" s="77" t="s">
        <v>909</v>
      </c>
      <c r="D45" s="693" t="s">
        <v>864</v>
      </c>
      <c r="E45" s="704">
        <v>-0.1</v>
      </c>
      <c r="F45" s="77">
        <v>1.0</v>
      </c>
      <c r="G45" s="77">
        <v>1.0</v>
      </c>
      <c r="H45" s="77">
        <v>2.0</v>
      </c>
      <c r="I45" s="699" t="s">
        <v>910</v>
      </c>
      <c r="J45" s="31"/>
      <c r="K45" s="151">
        <f t="shared" si="8"/>
        <v>4</v>
      </c>
      <c r="L45" s="124">
        <f t="shared" si="9"/>
        <v>0.4</v>
      </c>
      <c r="M45" s="229">
        <f t="shared" si="10"/>
        <v>-0.04</v>
      </c>
      <c r="N45" s="703" t="s">
        <v>857</v>
      </c>
    </row>
    <row r="46">
      <c r="A46" s="71" t="s">
        <v>893</v>
      </c>
      <c r="B46" s="71" t="s">
        <v>894</v>
      </c>
      <c r="C46" s="77" t="s">
        <v>911</v>
      </c>
      <c r="D46" s="693" t="s">
        <v>864</v>
      </c>
      <c r="E46" s="704">
        <v>-0.35</v>
      </c>
      <c r="F46" s="77">
        <v>1.0</v>
      </c>
      <c r="G46" s="77">
        <v>1.0</v>
      </c>
      <c r="H46" s="77">
        <v>2.0</v>
      </c>
      <c r="I46" s="699" t="s">
        <v>912</v>
      </c>
      <c r="J46" s="31"/>
      <c r="K46" s="151">
        <f t="shared" si="8"/>
        <v>4</v>
      </c>
      <c r="L46" s="124">
        <f t="shared" si="9"/>
        <v>0.4</v>
      </c>
      <c r="M46" s="229">
        <f t="shared" si="10"/>
        <v>-0.14</v>
      </c>
      <c r="N46" s="703" t="s">
        <v>857</v>
      </c>
    </row>
    <row r="47">
      <c r="A47" s="71" t="s">
        <v>893</v>
      </c>
      <c r="B47" s="71" t="s">
        <v>894</v>
      </c>
      <c r="C47" s="126" t="s">
        <v>885</v>
      </c>
      <c r="D47" s="693" t="s">
        <v>864</v>
      </c>
      <c r="E47" s="710">
        <v>-0.05</v>
      </c>
      <c r="F47" s="719">
        <v>2.0</v>
      </c>
      <c r="G47" s="720">
        <v>1.0</v>
      </c>
      <c r="H47" s="719">
        <v>2.0</v>
      </c>
      <c r="I47" s="713" t="s">
        <v>913</v>
      </c>
      <c r="J47" s="31"/>
      <c r="K47" s="151">
        <f t="shared" si="8"/>
        <v>5</v>
      </c>
      <c r="L47" s="124">
        <f t="shared" si="9"/>
        <v>0.5</v>
      </c>
      <c r="M47" s="229">
        <f t="shared" si="10"/>
        <v>-0.025</v>
      </c>
      <c r="N47" s="703" t="s">
        <v>857</v>
      </c>
    </row>
    <row r="48">
      <c r="A48" s="71" t="s">
        <v>893</v>
      </c>
      <c r="B48" s="71" t="s">
        <v>894</v>
      </c>
      <c r="C48" s="77" t="s">
        <v>914</v>
      </c>
      <c r="D48" s="693" t="s">
        <v>864</v>
      </c>
      <c r="E48" s="704">
        <v>-0.1</v>
      </c>
      <c r="F48" s="77">
        <v>1.0</v>
      </c>
      <c r="G48" s="77">
        <v>1.0</v>
      </c>
      <c r="H48" s="77">
        <v>1.0</v>
      </c>
      <c r="I48" s="708" t="s">
        <v>915</v>
      </c>
      <c r="J48" s="31"/>
      <c r="K48" s="151">
        <f t="shared" si="8"/>
        <v>3</v>
      </c>
      <c r="L48" s="124">
        <f t="shared" si="9"/>
        <v>0.3</v>
      </c>
      <c r="M48" s="229">
        <f t="shared" si="10"/>
        <v>-0.03</v>
      </c>
      <c r="N48" s="703" t="s">
        <v>857</v>
      </c>
    </row>
    <row r="49">
      <c r="A49" s="31"/>
      <c r="B49" s="31"/>
      <c r="C49" s="31"/>
      <c r="D49" s="31"/>
      <c r="E49" s="31"/>
      <c r="F49" s="31"/>
      <c r="G49" s="31"/>
      <c r="H49" s="31"/>
      <c r="I49" s="699"/>
      <c r="J49" s="31"/>
      <c r="K49" s="721"/>
      <c r="L49" s="717"/>
      <c r="M49" s="718"/>
      <c r="N49" s="718"/>
    </row>
    <row r="50">
      <c r="A50" s="700"/>
      <c r="B50" s="700"/>
      <c r="C50" s="700" t="s">
        <v>916</v>
      </c>
      <c r="D50" s="77"/>
      <c r="E50" s="77"/>
      <c r="F50" s="77"/>
      <c r="G50" s="77"/>
      <c r="H50" s="77"/>
      <c r="I50" s="699"/>
      <c r="J50" s="31"/>
    </row>
    <row r="51">
      <c r="A51" s="77" t="s">
        <v>916</v>
      </c>
      <c r="B51" s="77"/>
      <c r="C51" s="77" t="s">
        <v>854</v>
      </c>
      <c r="D51" s="77" t="s">
        <v>855</v>
      </c>
      <c r="E51" s="704"/>
      <c r="F51" s="77">
        <v>3.0</v>
      </c>
      <c r="G51" s="77">
        <v>3.0</v>
      </c>
      <c r="H51" s="77">
        <v>3.0</v>
      </c>
      <c r="I51" s="699" t="s">
        <v>917</v>
      </c>
      <c r="J51" s="31"/>
      <c r="K51" s="151">
        <f t="shared" ref="K51:K59" si="11">sum(F51:H51)</f>
        <v>9</v>
      </c>
      <c r="L51" s="124">
        <f t="shared" ref="L51:L59" si="12">index($L$3:$L$11,MATCH(K51,$K$3:$K$11,0))</f>
        <v>0.9</v>
      </c>
      <c r="M51" s="229">
        <f t="shared" ref="M51:M59" si="13">iferror(if(D51="Not explicitly modeled",L51*E51,0),"Not specified")</f>
        <v>0</v>
      </c>
      <c r="N51" s="703" t="s">
        <v>857</v>
      </c>
    </row>
    <row r="52">
      <c r="A52" s="77" t="s">
        <v>916</v>
      </c>
      <c r="B52" s="77"/>
      <c r="C52" s="71" t="s">
        <v>860</v>
      </c>
      <c r="D52" s="77" t="s">
        <v>855</v>
      </c>
      <c r="E52" s="704"/>
      <c r="F52" s="77">
        <v>2.0</v>
      </c>
      <c r="G52" s="77">
        <v>1.0</v>
      </c>
      <c r="H52" s="77">
        <v>3.0</v>
      </c>
      <c r="I52" s="699" t="s">
        <v>862</v>
      </c>
      <c r="J52" s="31"/>
      <c r="K52" s="151">
        <f t="shared" si="11"/>
        <v>6</v>
      </c>
      <c r="L52" s="124">
        <f t="shared" si="12"/>
        <v>0.6</v>
      </c>
      <c r="M52" s="229">
        <f t="shared" si="13"/>
        <v>0</v>
      </c>
      <c r="N52" s="703" t="s">
        <v>857</v>
      </c>
    </row>
    <row r="53">
      <c r="A53" s="77" t="s">
        <v>916</v>
      </c>
      <c r="B53" s="77"/>
      <c r="C53" s="71" t="s">
        <v>858</v>
      </c>
      <c r="D53" s="77" t="s">
        <v>855</v>
      </c>
      <c r="E53" s="704"/>
      <c r="F53" s="77">
        <v>3.0</v>
      </c>
      <c r="G53" s="77">
        <v>3.0</v>
      </c>
      <c r="H53" s="77">
        <v>3.0</v>
      </c>
      <c r="I53" s="699" t="s">
        <v>918</v>
      </c>
      <c r="J53" s="31"/>
      <c r="K53" s="151">
        <f t="shared" si="11"/>
        <v>9</v>
      </c>
      <c r="L53" s="124">
        <f t="shared" si="12"/>
        <v>0.9</v>
      </c>
      <c r="M53" s="229">
        <f t="shared" si="13"/>
        <v>0</v>
      </c>
      <c r="N53" s="703" t="s">
        <v>857</v>
      </c>
    </row>
    <row r="54">
      <c r="A54" s="77" t="s">
        <v>916</v>
      </c>
      <c r="B54" s="77"/>
      <c r="C54" s="71" t="s">
        <v>863</v>
      </c>
      <c r="D54" s="693" t="s">
        <v>864</v>
      </c>
      <c r="E54" s="704">
        <v>0.15</v>
      </c>
      <c r="F54" s="77">
        <v>3.0</v>
      </c>
      <c r="G54" s="77">
        <v>2.0</v>
      </c>
      <c r="H54" s="77">
        <v>1.0</v>
      </c>
      <c r="I54" s="699" t="s">
        <v>865</v>
      </c>
      <c r="J54" s="31"/>
      <c r="K54" s="151">
        <f t="shared" si="11"/>
        <v>6</v>
      </c>
      <c r="L54" s="124">
        <f t="shared" si="12"/>
        <v>0.6</v>
      </c>
      <c r="M54" s="229">
        <f t="shared" si="13"/>
        <v>0.09</v>
      </c>
      <c r="N54" s="703" t="s">
        <v>857</v>
      </c>
    </row>
    <row r="55">
      <c r="A55" s="77" t="s">
        <v>916</v>
      </c>
      <c r="B55" s="77"/>
      <c r="C55" s="71" t="s">
        <v>866</v>
      </c>
      <c r="D55" s="693" t="s">
        <v>864</v>
      </c>
      <c r="E55" s="704">
        <v>0.15</v>
      </c>
      <c r="F55" s="77">
        <v>3.0</v>
      </c>
      <c r="G55" s="77">
        <v>2.0</v>
      </c>
      <c r="H55" s="77">
        <v>1.0</v>
      </c>
      <c r="I55" s="699" t="s">
        <v>867</v>
      </c>
      <c r="J55" s="31"/>
      <c r="K55" s="151">
        <f t="shared" si="11"/>
        <v>6</v>
      </c>
      <c r="L55" s="124">
        <f t="shared" si="12"/>
        <v>0.6</v>
      </c>
      <c r="M55" s="229">
        <f t="shared" si="13"/>
        <v>0.09</v>
      </c>
      <c r="N55" s="703" t="s">
        <v>857</v>
      </c>
    </row>
    <row r="56">
      <c r="A56" s="77" t="s">
        <v>916</v>
      </c>
      <c r="B56" s="77"/>
      <c r="C56" s="71" t="s">
        <v>872</v>
      </c>
      <c r="D56" s="693" t="s">
        <v>864</v>
      </c>
      <c r="E56" s="704">
        <v>0.1</v>
      </c>
      <c r="F56" s="77">
        <v>1.0</v>
      </c>
      <c r="G56" s="77">
        <v>2.0</v>
      </c>
      <c r="H56" s="722">
        <v>2.0</v>
      </c>
      <c r="I56" s="699" t="s">
        <v>919</v>
      </c>
      <c r="J56" s="31"/>
      <c r="K56" s="151">
        <f t="shared" si="11"/>
        <v>5</v>
      </c>
      <c r="L56" s="124">
        <f t="shared" si="12"/>
        <v>0.5</v>
      </c>
      <c r="M56" s="229">
        <f t="shared" si="13"/>
        <v>0.05</v>
      </c>
      <c r="N56" s="703" t="s">
        <v>857</v>
      </c>
    </row>
    <row r="57">
      <c r="A57" s="77" t="s">
        <v>916</v>
      </c>
      <c r="B57" s="77"/>
      <c r="C57" s="71" t="s">
        <v>874</v>
      </c>
      <c r="D57" s="693" t="s">
        <v>864</v>
      </c>
      <c r="E57" s="704">
        <v>-0.1</v>
      </c>
      <c r="F57" s="77">
        <v>2.0</v>
      </c>
      <c r="G57" s="77">
        <v>1.0</v>
      </c>
      <c r="H57" s="77">
        <v>1.0</v>
      </c>
      <c r="I57" s="699" t="s">
        <v>920</v>
      </c>
      <c r="J57" s="31"/>
      <c r="K57" s="151">
        <f t="shared" si="11"/>
        <v>4</v>
      </c>
      <c r="L57" s="124">
        <f t="shared" si="12"/>
        <v>0.4</v>
      </c>
      <c r="M57" s="229">
        <f t="shared" si="13"/>
        <v>-0.04</v>
      </c>
      <c r="N57" s="703" t="s">
        <v>876</v>
      </c>
    </row>
    <row r="58">
      <c r="A58" s="77" t="s">
        <v>916</v>
      </c>
      <c r="B58" s="77"/>
      <c r="C58" s="77" t="s">
        <v>909</v>
      </c>
      <c r="D58" s="693" t="s">
        <v>864</v>
      </c>
      <c r="E58" s="704">
        <v>-0.1</v>
      </c>
      <c r="F58" s="77">
        <v>1.0</v>
      </c>
      <c r="G58" s="77">
        <v>1.0</v>
      </c>
      <c r="H58" s="77">
        <v>2.0</v>
      </c>
      <c r="I58" s="699" t="s">
        <v>921</v>
      </c>
      <c r="J58" s="31"/>
      <c r="K58" s="151">
        <f t="shared" si="11"/>
        <v>4</v>
      </c>
      <c r="L58" s="124">
        <f t="shared" si="12"/>
        <v>0.4</v>
      </c>
      <c r="M58" s="229">
        <f t="shared" si="13"/>
        <v>-0.04</v>
      </c>
      <c r="N58" s="703" t="s">
        <v>876</v>
      </c>
    </row>
    <row r="59">
      <c r="A59" s="77" t="s">
        <v>916</v>
      </c>
      <c r="B59" s="77"/>
      <c r="C59" s="71" t="s">
        <v>877</v>
      </c>
      <c r="D59" s="693" t="s">
        <v>864</v>
      </c>
      <c r="E59" s="77" t="s">
        <v>878</v>
      </c>
      <c r="F59" s="706">
        <v>1.0</v>
      </c>
      <c r="G59" s="706">
        <v>1.0</v>
      </c>
      <c r="H59" s="706">
        <v>1.0</v>
      </c>
      <c r="I59" s="699" t="s">
        <v>879</v>
      </c>
      <c r="J59" s="31"/>
      <c r="K59" s="151">
        <f t="shared" si="11"/>
        <v>3</v>
      </c>
      <c r="L59" s="124">
        <f t="shared" si="12"/>
        <v>0.3</v>
      </c>
      <c r="M59" s="229" t="str">
        <f t="shared" si="13"/>
        <v>Not specified</v>
      </c>
      <c r="N59" s="703" t="s">
        <v>857</v>
      </c>
    </row>
    <row r="60">
      <c r="A60" s="77" t="s">
        <v>916</v>
      </c>
      <c r="B60" s="77"/>
      <c r="C60" s="71" t="s">
        <v>880</v>
      </c>
      <c r="D60" s="693" t="s">
        <v>864</v>
      </c>
      <c r="E60" s="704">
        <v>0.2</v>
      </c>
      <c r="F60" s="707" t="s">
        <v>881</v>
      </c>
      <c r="G60" s="707" t="s">
        <v>881</v>
      </c>
      <c r="H60" s="707" t="s">
        <v>881</v>
      </c>
      <c r="I60" s="699" t="s">
        <v>922</v>
      </c>
      <c r="J60" s="31"/>
      <c r="K60" s="703" t="s">
        <v>881</v>
      </c>
      <c r="L60" s="703" t="s">
        <v>881</v>
      </c>
      <c r="M60" s="709">
        <v>0.2</v>
      </c>
      <c r="N60" s="703" t="s">
        <v>857</v>
      </c>
    </row>
    <row r="61">
      <c r="A61" s="77" t="s">
        <v>916</v>
      </c>
      <c r="B61" s="77"/>
      <c r="C61" s="126" t="s">
        <v>883</v>
      </c>
      <c r="D61" s="693" t="s">
        <v>864</v>
      </c>
      <c r="E61" s="710">
        <v>0.04</v>
      </c>
      <c r="F61" s="711">
        <v>3.0</v>
      </c>
      <c r="G61" s="711">
        <v>3.0</v>
      </c>
      <c r="H61" s="712">
        <v>2.0</v>
      </c>
      <c r="I61" s="713" t="s">
        <v>884</v>
      </c>
      <c r="J61" s="31"/>
      <c r="K61" s="151">
        <f t="shared" ref="K61:K65" si="14">sum(F61:H61)</f>
        <v>8</v>
      </c>
      <c r="L61" s="124">
        <f t="shared" ref="L61:L65" si="15">index($L$3:$L$11,MATCH(K61,$K$3:$K$11,0))</f>
        <v>0.8</v>
      </c>
      <c r="M61" s="229">
        <f t="shared" ref="M61:M65" si="16">iferror(if(D61="Not explicitly modeled",L61*E61,0),"Not specified")</f>
        <v>0.032</v>
      </c>
      <c r="N61" s="703" t="s">
        <v>876</v>
      </c>
    </row>
    <row r="62">
      <c r="A62" s="77" t="s">
        <v>916</v>
      </c>
      <c r="B62" s="77"/>
      <c r="C62" s="126" t="s">
        <v>885</v>
      </c>
      <c r="D62" s="693" t="s">
        <v>864</v>
      </c>
      <c r="E62" s="151" t="s">
        <v>886</v>
      </c>
      <c r="F62" s="719">
        <v>2.0</v>
      </c>
      <c r="G62" s="720">
        <v>1.0</v>
      </c>
      <c r="H62" s="719">
        <v>2.0</v>
      </c>
      <c r="I62" s="713" t="s">
        <v>923</v>
      </c>
      <c r="J62" s="31"/>
      <c r="K62" s="151">
        <f t="shared" si="14"/>
        <v>5</v>
      </c>
      <c r="L62" s="124">
        <f t="shared" si="15"/>
        <v>0.5</v>
      </c>
      <c r="M62" s="229" t="str">
        <f t="shared" si="16"/>
        <v>Not specified</v>
      </c>
      <c r="N62" s="703" t="s">
        <v>876</v>
      </c>
    </row>
    <row r="63">
      <c r="A63" s="77" t="s">
        <v>916</v>
      </c>
      <c r="B63" s="77"/>
      <c r="C63" s="91" t="s">
        <v>924</v>
      </c>
      <c r="D63" s="693" t="s">
        <v>864</v>
      </c>
      <c r="E63" s="723">
        <v>-0.02</v>
      </c>
      <c r="F63" s="724">
        <v>2.0</v>
      </c>
      <c r="G63" s="724">
        <v>3.0</v>
      </c>
      <c r="H63" s="724">
        <v>3.0</v>
      </c>
      <c r="I63" s="713" t="s">
        <v>925</v>
      </c>
      <c r="J63" s="31"/>
      <c r="K63" s="151">
        <f t="shared" si="14"/>
        <v>8</v>
      </c>
      <c r="L63" s="124">
        <f t="shared" si="15"/>
        <v>0.8</v>
      </c>
      <c r="M63" s="229">
        <f t="shared" si="16"/>
        <v>-0.016</v>
      </c>
      <c r="N63" s="703" t="s">
        <v>876</v>
      </c>
    </row>
    <row r="64">
      <c r="A64" s="77" t="s">
        <v>916</v>
      </c>
      <c r="B64" s="77"/>
      <c r="C64" s="91" t="s">
        <v>926</v>
      </c>
      <c r="D64" s="693" t="s">
        <v>864</v>
      </c>
      <c r="E64" s="710">
        <v>-0.01</v>
      </c>
      <c r="F64" s="725">
        <v>3.0</v>
      </c>
      <c r="G64" s="719">
        <v>2.0</v>
      </c>
      <c r="H64" s="720">
        <v>1.0</v>
      </c>
      <c r="I64" s="726" t="s">
        <v>927</v>
      </c>
      <c r="J64" s="31"/>
      <c r="K64" s="151">
        <f t="shared" si="14"/>
        <v>6</v>
      </c>
      <c r="L64" s="124">
        <f t="shared" si="15"/>
        <v>0.6</v>
      </c>
      <c r="M64" s="229">
        <f t="shared" si="16"/>
        <v>-0.006</v>
      </c>
      <c r="N64" s="703" t="s">
        <v>857</v>
      </c>
    </row>
    <row r="65">
      <c r="A65" s="77" t="s">
        <v>916</v>
      </c>
      <c r="B65" s="77"/>
      <c r="C65" s="91" t="s">
        <v>928</v>
      </c>
      <c r="D65" s="693" t="s">
        <v>864</v>
      </c>
      <c r="E65" s="723">
        <v>-0.05</v>
      </c>
      <c r="F65" s="727">
        <v>3.0</v>
      </c>
      <c r="G65" s="728">
        <v>2.0</v>
      </c>
      <c r="H65" s="729">
        <v>2.0</v>
      </c>
      <c r="I65" s="726" t="s">
        <v>929</v>
      </c>
      <c r="J65" s="31"/>
      <c r="K65" s="151">
        <f t="shared" si="14"/>
        <v>7</v>
      </c>
      <c r="L65" s="124">
        <f t="shared" si="15"/>
        <v>0.7</v>
      </c>
      <c r="M65" s="229">
        <f t="shared" si="16"/>
        <v>-0.035</v>
      </c>
      <c r="N65" s="703" t="s">
        <v>857</v>
      </c>
    </row>
    <row r="66">
      <c r="A66" s="31"/>
      <c r="B66" s="31"/>
      <c r="C66" s="31"/>
      <c r="D66" s="31"/>
      <c r="E66" s="31"/>
      <c r="F66" s="31"/>
      <c r="G66" s="31"/>
      <c r="H66" s="31"/>
      <c r="I66" s="699"/>
      <c r="J66" s="31"/>
      <c r="K66" s="716"/>
      <c r="L66" s="717"/>
      <c r="M66" s="718"/>
      <c r="N66" s="718"/>
    </row>
    <row r="67">
      <c r="A67" s="304"/>
      <c r="B67" s="304"/>
      <c r="C67" s="304" t="s">
        <v>930</v>
      </c>
      <c r="D67" s="151"/>
      <c r="E67" s="151"/>
      <c r="F67" s="151"/>
      <c r="G67" s="151"/>
      <c r="H67" s="151"/>
      <c r="I67" s="151"/>
      <c r="J67" s="151"/>
      <c r="K67" s="151"/>
      <c r="L67" s="151"/>
      <c r="M67" s="151"/>
      <c r="N67" s="151"/>
    </row>
    <row r="68">
      <c r="A68" s="91" t="s">
        <v>930</v>
      </c>
      <c r="B68" s="91"/>
      <c r="C68" s="91" t="s">
        <v>931</v>
      </c>
      <c r="D68" s="77" t="s">
        <v>855</v>
      </c>
      <c r="E68" s="704"/>
      <c r="F68" s="730">
        <v>3.0</v>
      </c>
      <c r="G68" s="730">
        <v>3.0</v>
      </c>
      <c r="H68" s="730">
        <v>3.0</v>
      </c>
      <c r="I68" s="715" t="s">
        <v>932</v>
      </c>
      <c r="J68" s="151"/>
      <c r="K68" s="151">
        <f t="shared" ref="K68:K76" si="17">sum(F68:H68)</f>
        <v>9</v>
      </c>
      <c r="L68" s="124">
        <f t="shared" ref="L68:L76" si="18">index($L$3:$L$11,MATCH(K68,$K$3:$K$11,0))</f>
        <v>0.9</v>
      </c>
      <c r="M68" s="229">
        <f t="shared" ref="M68:M76" si="19">iferror(if(D68="Not explicitly modeled",L68*E68,0),"Not specified")</f>
        <v>0</v>
      </c>
      <c r="N68" s="703" t="s">
        <v>857</v>
      </c>
    </row>
    <row r="69">
      <c r="A69" s="91" t="s">
        <v>930</v>
      </c>
      <c r="B69" s="91"/>
      <c r="C69" s="91" t="s">
        <v>933</v>
      </c>
      <c r="D69" s="77" t="s">
        <v>855</v>
      </c>
      <c r="E69" s="704"/>
      <c r="F69" s="714">
        <v>1.0</v>
      </c>
      <c r="G69" s="714">
        <v>1.0</v>
      </c>
      <c r="H69" s="730">
        <v>3.0</v>
      </c>
      <c r="I69" s="715" t="s">
        <v>934</v>
      </c>
      <c r="J69" s="151"/>
      <c r="K69" s="151">
        <f t="shared" si="17"/>
        <v>5</v>
      </c>
      <c r="L69" s="124">
        <f t="shared" si="18"/>
        <v>0.5</v>
      </c>
      <c r="M69" s="229">
        <f t="shared" si="19"/>
        <v>0</v>
      </c>
      <c r="N69" s="703" t="s">
        <v>857</v>
      </c>
    </row>
    <row r="70">
      <c r="A70" s="91" t="s">
        <v>930</v>
      </c>
      <c r="B70" s="91"/>
      <c r="C70" s="91" t="s">
        <v>935</v>
      </c>
      <c r="D70" s="693" t="s">
        <v>864</v>
      </c>
      <c r="E70" s="731">
        <v>0.15</v>
      </c>
      <c r="F70" s="732">
        <v>2.0</v>
      </c>
      <c r="G70" s="714">
        <v>1.0</v>
      </c>
      <c r="H70" s="714">
        <v>1.0</v>
      </c>
      <c r="I70" s="715" t="s">
        <v>936</v>
      </c>
      <c r="J70" s="151"/>
      <c r="K70" s="151">
        <f t="shared" si="17"/>
        <v>4</v>
      </c>
      <c r="L70" s="124">
        <f t="shared" si="18"/>
        <v>0.4</v>
      </c>
      <c r="M70" s="229">
        <f t="shared" si="19"/>
        <v>0.06</v>
      </c>
      <c r="N70" s="703" t="s">
        <v>857</v>
      </c>
    </row>
    <row r="71">
      <c r="A71" s="91" t="s">
        <v>930</v>
      </c>
      <c r="B71" s="91"/>
      <c r="C71" s="91" t="s">
        <v>866</v>
      </c>
      <c r="D71" s="693" t="s">
        <v>864</v>
      </c>
      <c r="E71" s="733">
        <v>0.15</v>
      </c>
      <c r="F71" s="730">
        <v>3.0</v>
      </c>
      <c r="G71" s="712">
        <v>2.0</v>
      </c>
      <c r="H71" s="714">
        <v>1.0</v>
      </c>
      <c r="I71" s="715" t="s">
        <v>867</v>
      </c>
      <c r="J71" s="151"/>
      <c r="K71" s="151">
        <f t="shared" si="17"/>
        <v>6</v>
      </c>
      <c r="L71" s="124">
        <f t="shared" si="18"/>
        <v>0.6</v>
      </c>
      <c r="M71" s="229">
        <f t="shared" si="19"/>
        <v>0.09</v>
      </c>
      <c r="N71" s="703" t="s">
        <v>857</v>
      </c>
    </row>
    <row r="72">
      <c r="A72" s="91" t="s">
        <v>930</v>
      </c>
      <c r="B72" s="91"/>
      <c r="C72" s="91" t="s">
        <v>872</v>
      </c>
      <c r="D72" s="693" t="s">
        <v>864</v>
      </c>
      <c r="E72" s="734">
        <v>0.05</v>
      </c>
      <c r="F72" s="727">
        <v>1.0</v>
      </c>
      <c r="G72" s="728">
        <v>2.0</v>
      </c>
      <c r="H72" s="729">
        <v>3.0</v>
      </c>
      <c r="I72" s="699" t="s">
        <v>919</v>
      </c>
      <c r="J72" s="151"/>
      <c r="K72" s="151">
        <f t="shared" si="17"/>
        <v>6</v>
      </c>
      <c r="L72" s="124">
        <f t="shared" si="18"/>
        <v>0.6</v>
      </c>
      <c r="M72" s="229">
        <f t="shared" si="19"/>
        <v>0.03</v>
      </c>
      <c r="N72" s="703" t="s">
        <v>857</v>
      </c>
    </row>
    <row r="73">
      <c r="A73" s="91" t="s">
        <v>930</v>
      </c>
      <c r="B73" s="91"/>
      <c r="C73" s="91" t="s">
        <v>937</v>
      </c>
      <c r="D73" s="693" t="s">
        <v>864</v>
      </c>
      <c r="E73" s="733">
        <v>0.15</v>
      </c>
      <c r="F73" s="729">
        <v>2.0</v>
      </c>
      <c r="G73" s="712">
        <v>2.0</v>
      </c>
      <c r="H73" s="91">
        <v>2.0</v>
      </c>
      <c r="I73" s="715" t="s">
        <v>938</v>
      </c>
      <c r="J73" s="151"/>
      <c r="K73" s="151">
        <f t="shared" si="17"/>
        <v>6</v>
      </c>
      <c r="L73" s="124">
        <f t="shared" si="18"/>
        <v>0.6</v>
      </c>
      <c r="M73" s="229">
        <f t="shared" si="19"/>
        <v>0.09</v>
      </c>
      <c r="N73" s="703" t="s">
        <v>857</v>
      </c>
    </row>
    <row r="74">
      <c r="A74" s="91" t="s">
        <v>930</v>
      </c>
      <c r="B74" s="91"/>
      <c r="C74" s="91" t="s">
        <v>939</v>
      </c>
      <c r="D74" s="693" t="s">
        <v>864</v>
      </c>
      <c r="E74" s="735">
        <v>0.3</v>
      </c>
      <c r="F74" s="712">
        <v>2.0</v>
      </c>
      <c r="G74" s="712">
        <v>2.0</v>
      </c>
      <c r="H74" s="712">
        <v>2.0</v>
      </c>
      <c r="I74" s="715" t="s">
        <v>940</v>
      </c>
      <c r="J74" s="151"/>
      <c r="K74" s="151">
        <f t="shared" si="17"/>
        <v>6</v>
      </c>
      <c r="L74" s="124">
        <f t="shared" si="18"/>
        <v>0.6</v>
      </c>
      <c r="M74" s="229">
        <f t="shared" si="19"/>
        <v>0.18</v>
      </c>
      <c r="N74" s="703" t="s">
        <v>857</v>
      </c>
    </row>
    <row r="75">
      <c r="A75" s="91" t="s">
        <v>930</v>
      </c>
      <c r="B75" s="91"/>
      <c r="C75" s="91" t="s">
        <v>941</v>
      </c>
      <c r="D75" s="693" t="s">
        <v>864</v>
      </c>
      <c r="E75" s="710">
        <v>0.05</v>
      </c>
      <c r="F75" s="91">
        <v>1.0</v>
      </c>
      <c r="G75" s="91">
        <v>1.0</v>
      </c>
      <c r="H75" s="91">
        <v>1.0</v>
      </c>
      <c r="I75" s="715" t="s">
        <v>942</v>
      </c>
      <c r="J75" s="151"/>
      <c r="K75" s="151">
        <f t="shared" si="17"/>
        <v>3</v>
      </c>
      <c r="L75" s="124">
        <f t="shared" si="18"/>
        <v>0.3</v>
      </c>
      <c r="M75" s="229">
        <f t="shared" si="19"/>
        <v>0.015</v>
      </c>
      <c r="N75" s="703" t="s">
        <v>876</v>
      </c>
    </row>
    <row r="76">
      <c r="A76" s="91" t="s">
        <v>930</v>
      </c>
      <c r="B76" s="91"/>
      <c r="C76" s="126" t="s">
        <v>877</v>
      </c>
      <c r="D76" s="693" t="s">
        <v>864</v>
      </c>
      <c r="E76" s="89" t="s">
        <v>878</v>
      </c>
      <c r="F76" s="736">
        <v>1.0</v>
      </c>
      <c r="G76" s="736">
        <v>1.0</v>
      </c>
      <c r="H76" s="736">
        <v>1.0</v>
      </c>
      <c r="I76" s="715" t="s">
        <v>879</v>
      </c>
      <c r="J76" s="151"/>
      <c r="K76" s="151">
        <f t="shared" si="17"/>
        <v>3</v>
      </c>
      <c r="L76" s="124">
        <f t="shared" si="18"/>
        <v>0.3</v>
      </c>
      <c r="M76" s="229" t="str">
        <f t="shared" si="19"/>
        <v>Not specified</v>
      </c>
      <c r="N76" s="703" t="s">
        <v>857</v>
      </c>
    </row>
    <row r="77">
      <c r="A77" s="77" t="s">
        <v>930</v>
      </c>
      <c r="B77" s="77"/>
      <c r="C77" s="71" t="s">
        <v>880</v>
      </c>
      <c r="D77" s="693" t="s">
        <v>864</v>
      </c>
      <c r="E77" s="704">
        <v>0.2</v>
      </c>
      <c r="F77" s="707" t="s">
        <v>881</v>
      </c>
      <c r="G77" s="707" t="s">
        <v>881</v>
      </c>
      <c r="H77" s="707" t="s">
        <v>881</v>
      </c>
      <c r="I77" s="699" t="s">
        <v>922</v>
      </c>
      <c r="J77" s="31"/>
      <c r="K77" s="703" t="s">
        <v>881</v>
      </c>
      <c r="L77" s="703" t="s">
        <v>881</v>
      </c>
      <c r="M77" s="709">
        <v>0.2</v>
      </c>
      <c r="N77" s="703" t="s">
        <v>857</v>
      </c>
    </row>
    <row r="78">
      <c r="A78" s="91" t="s">
        <v>930</v>
      </c>
      <c r="B78" s="91"/>
      <c r="C78" s="126" t="s">
        <v>885</v>
      </c>
      <c r="D78" s="693" t="s">
        <v>864</v>
      </c>
      <c r="E78" s="710">
        <v>0.0</v>
      </c>
      <c r="F78" s="719">
        <v>2.0</v>
      </c>
      <c r="G78" s="720">
        <v>1.0</v>
      </c>
      <c r="H78" s="719">
        <v>2.0</v>
      </c>
      <c r="I78" s="737" t="s">
        <v>943</v>
      </c>
      <c r="J78" s="151"/>
      <c r="K78" s="151">
        <f>sum(F78:H78)</f>
        <v>5</v>
      </c>
      <c r="L78" s="124">
        <f t="array" ref="L78">index($L$3:$L$11,MATCH(K78,$K$3:$K$11,0))</f>
        <v>0.5</v>
      </c>
      <c r="M78" s="229">
        <f>iferror(if(D78="Not explicitly modeled",L78*E78,0),"Not specified")</f>
        <v>0</v>
      </c>
      <c r="N78" s="703" t="s">
        <v>876</v>
      </c>
    </row>
    <row r="79">
      <c r="A79" s="31"/>
      <c r="B79" s="31"/>
      <c r="C79" s="31"/>
      <c r="D79" s="31"/>
      <c r="E79" s="31"/>
      <c r="F79" s="31"/>
      <c r="G79" s="31"/>
      <c r="H79" s="31"/>
      <c r="I79" s="738"/>
      <c r="J79" s="31"/>
      <c r="K79" s="716"/>
      <c r="L79" s="717"/>
      <c r="M79" s="718"/>
      <c r="N79" s="718"/>
    </row>
    <row r="80">
      <c r="A80" s="700"/>
      <c r="B80" s="700"/>
      <c r="C80" s="700" t="s">
        <v>944</v>
      </c>
      <c r="D80" s="31"/>
      <c r="E80" s="31"/>
      <c r="F80" s="31"/>
      <c r="G80" s="31"/>
      <c r="H80" s="31"/>
      <c r="I80" s="738"/>
      <c r="J80" s="31"/>
      <c r="K80" s="151"/>
      <c r="L80" s="151"/>
      <c r="M80" s="151"/>
      <c r="N80" s="151"/>
    </row>
    <row r="81">
      <c r="A81" s="71" t="s">
        <v>944</v>
      </c>
      <c r="B81" s="71"/>
      <c r="C81" s="71" t="s">
        <v>945</v>
      </c>
      <c r="D81" s="77" t="s">
        <v>855</v>
      </c>
      <c r="E81" s="704"/>
      <c r="F81" s="77">
        <v>3.0</v>
      </c>
      <c r="G81" s="77">
        <v>3.0</v>
      </c>
      <c r="H81" s="77">
        <v>3.0</v>
      </c>
      <c r="I81" s="699" t="s">
        <v>932</v>
      </c>
      <c r="J81" s="31"/>
      <c r="K81" s="151">
        <f t="shared" ref="K81:K86" si="20">sum(F81:H81)</f>
        <v>9</v>
      </c>
      <c r="L81" s="124">
        <f t="shared" ref="L81:L86" si="21">index($L$3:$L$11,MATCH(K81,$K$3:$K$11,0))</f>
        <v>0.9</v>
      </c>
      <c r="M81" s="229">
        <f t="shared" ref="M81:M86" si="22">iferror(if(D81="Not explicitly modeled",L81*E81,0),"Not specified")</f>
        <v>0</v>
      </c>
      <c r="N81" s="703" t="s">
        <v>857</v>
      </c>
    </row>
    <row r="82">
      <c r="A82" s="71" t="s">
        <v>944</v>
      </c>
      <c r="B82" s="71"/>
      <c r="C82" s="71" t="s">
        <v>872</v>
      </c>
      <c r="D82" s="77" t="s">
        <v>855</v>
      </c>
      <c r="E82" s="704"/>
      <c r="F82" s="77">
        <v>2.0</v>
      </c>
      <c r="G82" s="77">
        <v>2.0</v>
      </c>
      <c r="H82" s="77">
        <v>1.0</v>
      </c>
      <c r="I82" s="699" t="s">
        <v>946</v>
      </c>
      <c r="J82" s="31"/>
      <c r="K82" s="151">
        <f t="shared" si="20"/>
        <v>5</v>
      </c>
      <c r="L82" s="124">
        <f t="shared" si="21"/>
        <v>0.5</v>
      </c>
      <c r="M82" s="229">
        <f t="shared" si="22"/>
        <v>0</v>
      </c>
      <c r="N82" s="703" t="s">
        <v>857</v>
      </c>
    </row>
    <row r="83">
      <c r="A83" s="71" t="s">
        <v>944</v>
      </c>
      <c r="B83" s="71"/>
      <c r="C83" s="77" t="s">
        <v>947</v>
      </c>
      <c r="D83" s="693" t="s">
        <v>864</v>
      </c>
      <c r="E83" s="704">
        <v>-0.1</v>
      </c>
      <c r="F83" s="77">
        <v>3.0</v>
      </c>
      <c r="G83" s="77">
        <v>2.0</v>
      </c>
      <c r="H83" s="77">
        <v>2.0</v>
      </c>
      <c r="I83" s="699" t="s">
        <v>948</v>
      </c>
      <c r="J83" s="31"/>
      <c r="K83" s="151">
        <f t="shared" si="20"/>
        <v>7</v>
      </c>
      <c r="L83" s="124">
        <f t="shared" si="21"/>
        <v>0.7</v>
      </c>
      <c r="M83" s="229">
        <f t="shared" si="22"/>
        <v>-0.07</v>
      </c>
      <c r="N83" s="703" t="s">
        <v>857</v>
      </c>
    </row>
    <row r="84">
      <c r="A84" s="71" t="s">
        <v>944</v>
      </c>
      <c r="B84" s="71"/>
      <c r="C84" s="77" t="s">
        <v>860</v>
      </c>
      <c r="D84" s="693" t="s">
        <v>864</v>
      </c>
      <c r="E84" s="704">
        <v>0.1</v>
      </c>
      <c r="F84" s="77">
        <v>1.0</v>
      </c>
      <c r="G84" s="77">
        <v>2.0</v>
      </c>
      <c r="H84" s="77">
        <v>2.0</v>
      </c>
      <c r="I84" s="699" t="s">
        <v>949</v>
      </c>
      <c r="J84" s="31"/>
      <c r="K84" s="151">
        <f t="shared" si="20"/>
        <v>5</v>
      </c>
      <c r="L84" s="124">
        <f t="shared" si="21"/>
        <v>0.5</v>
      </c>
      <c r="M84" s="229">
        <f t="shared" si="22"/>
        <v>0.05</v>
      </c>
      <c r="N84" s="703" t="s">
        <v>857</v>
      </c>
    </row>
    <row r="85">
      <c r="A85" s="71" t="s">
        <v>944</v>
      </c>
      <c r="B85" s="71"/>
      <c r="C85" s="77" t="s">
        <v>950</v>
      </c>
      <c r="D85" s="693" t="s">
        <v>864</v>
      </c>
      <c r="E85" s="704">
        <v>0.1</v>
      </c>
      <c r="F85" s="77">
        <v>1.0</v>
      </c>
      <c r="G85" s="77">
        <v>2.0</v>
      </c>
      <c r="H85" s="77">
        <v>1.0</v>
      </c>
      <c r="I85" s="699" t="s">
        <v>951</v>
      </c>
      <c r="J85" s="31"/>
      <c r="K85" s="151">
        <f t="shared" si="20"/>
        <v>4</v>
      </c>
      <c r="L85" s="124">
        <f t="shared" si="21"/>
        <v>0.4</v>
      </c>
      <c r="M85" s="229">
        <f t="shared" si="22"/>
        <v>0.04</v>
      </c>
      <c r="N85" s="703" t="s">
        <v>857</v>
      </c>
    </row>
    <row r="86">
      <c r="A86" s="71" t="s">
        <v>944</v>
      </c>
      <c r="B86" s="71"/>
      <c r="C86" s="77" t="s">
        <v>952</v>
      </c>
      <c r="D86" s="693" t="s">
        <v>864</v>
      </c>
      <c r="E86" s="704">
        <v>0.1</v>
      </c>
      <c r="F86" s="77">
        <v>1.0</v>
      </c>
      <c r="G86" s="77">
        <v>2.0</v>
      </c>
      <c r="H86" s="77">
        <v>1.0</v>
      </c>
      <c r="I86" s="699" t="s">
        <v>949</v>
      </c>
      <c r="J86" s="31"/>
      <c r="K86" s="151">
        <f t="shared" si="20"/>
        <v>4</v>
      </c>
      <c r="L86" s="124">
        <f t="shared" si="21"/>
        <v>0.4</v>
      </c>
      <c r="M86" s="229">
        <f t="shared" si="22"/>
        <v>0.04</v>
      </c>
      <c r="N86" s="703" t="s">
        <v>857</v>
      </c>
    </row>
    <row r="87">
      <c r="A87" s="31"/>
      <c r="B87" s="31"/>
      <c r="C87" s="31"/>
      <c r="D87" s="31"/>
      <c r="E87" s="31"/>
      <c r="F87" s="31"/>
      <c r="G87" s="31"/>
      <c r="H87" s="31"/>
      <c r="I87" s="738"/>
      <c r="J87" s="31"/>
      <c r="K87" s="716"/>
      <c r="L87" s="717"/>
      <c r="M87" s="718"/>
      <c r="N87" s="718"/>
    </row>
    <row r="88">
      <c r="A88" s="31"/>
      <c r="B88" s="31"/>
      <c r="C88" s="700" t="s">
        <v>23</v>
      </c>
      <c r="D88" s="31"/>
      <c r="E88" s="31"/>
      <c r="F88" s="31"/>
      <c r="G88" s="31"/>
      <c r="H88" s="31"/>
      <c r="I88" s="738"/>
      <c r="J88" s="31"/>
      <c r="K88" s="739"/>
      <c r="L88" s="151"/>
      <c r="M88" s="229"/>
      <c r="N88" s="229"/>
    </row>
    <row r="89">
      <c r="A89" s="77" t="s">
        <v>953</v>
      </c>
      <c r="B89" s="31"/>
      <c r="C89" s="151" t="s">
        <v>954</v>
      </c>
      <c r="D89" s="77" t="s">
        <v>855</v>
      </c>
      <c r="E89" s="740"/>
      <c r="F89" s="725">
        <v>3.0</v>
      </c>
      <c r="G89" s="725">
        <v>3.0</v>
      </c>
      <c r="H89" s="725">
        <v>3.0</v>
      </c>
      <c r="I89" s="741" t="s">
        <v>955</v>
      </c>
      <c r="J89" s="31"/>
      <c r="K89" s="151">
        <f t="shared" ref="K89:K104" si="23">sum(F89:H89)</f>
        <v>9</v>
      </c>
      <c r="L89" s="124">
        <f t="shared" ref="L89:L104" si="24">index($L$3:$L$11,MATCH(K89,$K$3:$K$11,0))</f>
        <v>0.9</v>
      </c>
      <c r="M89" s="229">
        <f t="shared" ref="M89:M104" si="25">iferror(if(D89="Not explicitly modeled",L89*E89,0),"Not specified")</f>
        <v>0</v>
      </c>
      <c r="N89" s="703" t="s">
        <v>857</v>
      </c>
    </row>
    <row r="90">
      <c r="A90" s="77" t="s">
        <v>953</v>
      </c>
      <c r="B90" s="31"/>
      <c r="C90" s="151" t="s">
        <v>956</v>
      </c>
      <c r="D90" s="77" t="s">
        <v>855</v>
      </c>
      <c r="E90" s="740"/>
      <c r="F90" s="719">
        <v>2.0</v>
      </c>
      <c r="G90" s="725">
        <v>3.0</v>
      </c>
      <c r="H90" s="725">
        <v>3.0</v>
      </c>
      <c r="I90" s="741" t="s">
        <v>957</v>
      </c>
      <c r="J90" s="31"/>
      <c r="K90" s="151">
        <f t="shared" si="23"/>
        <v>8</v>
      </c>
      <c r="L90" s="124">
        <f t="shared" si="24"/>
        <v>0.8</v>
      </c>
      <c r="M90" s="229">
        <f t="shared" si="25"/>
        <v>0</v>
      </c>
      <c r="N90" s="703" t="s">
        <v>857</v>
      </c>
    </row>
    <row r="91">
      <c r="A91" s="77" t="s">
        <v>953</v>
      </c>
      <c r="B91" s="31"/>
      <c r="C91" s="151" t="s">
        <v>860</v>
      </c>
      <c r="D91" s="77" t="s">
        <v>855</v>
      </c>
      <c r="E91" s="740"/>
      <c r="F91" s="719">
        <v>2.0</v>
      </c>
      <c r="G91" s="720">
        <v>1.0</v>
      </c>
      <c r="H91" s="725">
        <v>3.0</v>
      </c>
      <c r="I91" s="741" t="s">
        <v>958</v>
      </c>
      <c r="J91" s="31"/>
      <c r="K91" s="151">
        <f t="shared" si="23"/>
        <v>6</v>
      </c>
      <c r="L91" s="124">
        <f t="shared" si="24"/>
        <v>0.6</v>
      </c>
      <c r="M91" s="229">
        <f t="shared" si="25"/>
        <v>0</v>
      </c>
      <c r="N91" s="703" t="s">
        <v>857</v>
      </c>
    </row>
    <row r="92">
      <c r="A92" s="77" t="s">
        <v>953</v>
      </c>
      <c r="B92" s="31"/>
      <c r="C92" s="151" t="s">
        <v>738</v>
      </c>
      <c r="D92" s="77" t="s">
        <v>855</v>
      </c>
      <c r="E92" s="740"/>
      <c r="F92" s="725">
        <v>3.0</v>
      </c>
      <c r="G92" s="725">
        <v>3.0</v>
      </c>
      <c r="H92" s="725">
        <v>3.0</v>
      </c>
      <c r="I92" s="741" t="s">
        <v>959</v>
      </c>
      <c r="J92" s="31"/>
      <c r="K92" s="151">
        <f t="shared" si="23"/>
        <v>9</v>
      </c>
      <c r="L92" s="124">
        <f t="shared" si="24"/>
        <v>0.9</v>
      </c>
      <c r="M92" s="229">
        <f t="shared" si="25"/>
        <v>0</v>
      </c>
      <c r="N92" s="703" t="s">
        <v>857</v>
      </c>
    </row>
    <row r="93">
      <c r="A93" s="77" t="s">
        <v>953</v>
      </c>
      <c r="B93" s="31"/>
      <c r="C93" s="151" t="s">
        <v>960</v>
      </c>
      <c r="D93" s="693" t="s">
        <v>864</v>
      </c>
      <c r="E93" s="710">
        <v>0.1</v>
      </c>
      <c r="F93" s="719">
        <v>2.0</v>
      </c>
      <c r="G93" s="719">
        <v>2.0</v>
      </c>
      <c r="H93" s="719">
        <v>2.0</v>
      </c>
      <c r="I93" s="741" t="s">
        <v>961</v>
      </c>
      <c r="J93" s="31"/>
      <c r="K93" s="151">
        <f t="shared" si="23"/>
        <v>6</v>
      </c>
      <c r="L93" s="124">
        <f t="shared" si="24"/>
        <v>0.6</v>
      </c>
      <c r="M93" s="229">
        <f t="shared" si="25"/>
        <v>0.06</v>
      </c>
      <c r="N93" s="703" t="s">
        <v>876</v>
      </c>
    </row>
    <row r="94">
      <c r="A94" s="77" t="s">
        <v>953</v>
      </c>
      <c r="B94" s="31"/>
      <c r="C94" s="151" t="s">
        <v>962</v>
      </c>
      <c r="D94" s="693" t="s">
        <v>864</v>
      </c>
      <c r="E94" s="735">
        <v>0.25</v>
      </c>
      <c r="F94" s="719">
        <v>2.0</v>
      </c>
      <c r="G94" s="720">
        <v>1.0</v>
      </c>
      <c r="H94" s="719">
        <v>2.0</v>
      </c>
      <c r="I94" s="741" t="s">
        <v>963</v>
      </c>
      <c r="J94" s="31"/>
      <c r="K94" s="151">
        <f t="shared" si="23"/>
        <v>5</v>
      </c>
      <c r="L94" s="124">
        <f t="shared" si="24"/>
        <v>0.5</v>
      </c>
      <c r="M94" s="229">
        <f t="shared" si="25"/>
        <v>0.125</v>
      </c>
      <c r="N94" s="703" t="s">
        <v>876</v>
      </c>
    </row>
    <row r="95">
      <c r="A95" s="77" t="s">
        <v>953</v>
      </c>
      <c r="B95" s="31"/>
      <c r="C95" s="151" t="s">
        <v>964</v>
      </c>
      <c r="D95" s="693" t="s">
        <v>864</v>
      </c>
      <c r="E95" s="710">
        <v>0.1</v>
      </c>
      <c r="F95" s="725">
        <v>3.0</v>
      </c>
      <c r="G95" s="719">
        <v>2.0</v>
      </c>
      <c r="H95" s="720">
        <v>1.0</v>
      </c>
      <c r="I95" s="742" t="s">
        <v>965</v>
      </c>
      <c r="J95" s="31"/>
      <c r="K95" s="151">
        <f t="shared" si="23"/>
        <v>6</v>
      </c>
      <c r="L95" s="124">
        <f t="shared" si="24"/>
        <v>0.6</v>
      </c>
      <c r="M95" s="229">
        <f t="shared" si="25"/>
        <v>0.06</v>
      </c>
      <c r="N95" s="703" t="s">
        <v>857</v>
      </c>
    </row>
    <row r="96">
      <c r="A96" s="77" t="s">
        <v>953</v>
      </c>
      <c r="B96" s="31"/>
      <c r="C96" s="91" t="s">
        <v>966</v>
      </c>
      <c r="D96" s="693" t="s">
        <v>864</v>
      </c>
      <c r="E96" s="710">
        <v>0.04</v>
      </c>
      <c r="F96" s="725">
        <v>3.0</v>
      </c>
      <c r="G96" s="725">
        <v>3.0</v>
      </c>
      <c r="H96" s="725">
        <v>3.0</v>
      </c>
      <c r="I96" s="741" t="s">
        <v>967</v>
      </c>
      <c r="J96" s="31"/>
      <c r="K96" s="151">
        <f t="shared" si="23"/>
        <v>9</v>
      </c>
      <c r="L96" s="124">
        <f t="shared" si="24"/>
        <v>0.9</v>
      </c>
      <c r="M96" s="229">
        <f t="shared" si="25"/>
        <v>0.036</v>
      </c>
      <c r="N96" s="703" t="s">
        <v>876</v>
      </c>
    </row>
    <row r="97">
      <c r="A97" s="77" t="s">
        <v>953</v>
      </c>
      <c r="B97" s="31"/>
      <c r="C97" s="91" t="s">
        <v>968</v>
      </c>
      <c r="D97" s="693" t="s">
        <v>864</v>
      </c>
      <c r="E97" s="710">
        <v>0.01</v>
      </c>
      <c r="F97" s="725">
        <v>3.0</v>
      </c>
      <c r="G97" s="725">
        <v>3.0</v>
      </c>
      <c r="H97" s="720">
        <v>1.0</v>
      </c>
      <c r="I97" s="741" t="s">
        <v>967</v>
      </c>
      <c r="J97" s="31"/>
      <c r="K97" s="151">
        <f t="shared" si="23"/>
        <v>7</v>
      </c>
      <c r="L97" s="124">
        <f t="shared" si="24"/>
        <v>0.7</v>
      </c>
      <c r="M97" s="229">
        <f t="shared" si="25"/>
        <v>0.007</v>
      </c>
      <c r="N97" s="703" t="s">
        <v>857</v>
      </c>
    </row>
    <row r="98">
      <c r="A98" s="77" t="s">
        <v>953</v>
      </c>
      <c r="B98" s="31"/>
      <c r="C98" s="151" t="s">
        <v>969</v>
      </c>
      <c r="D98" s="693" t="s">
        <v>864</v>
      </c>
      <c r="E98" s="710">
        <v>0.1</v>
      </c>
      <c r="F98" s="719">
        <v>2.0</v>
      </c>
      <c r="G98" s="720">
        <v>1.0</v>
      </c>
      <c r="H98" s="720">
        <v>1.0</v>
      </c>
      <c r="I98" s="742" t="s">
        <v>970</v>
      </c>
      <c r="J98" s="31"/>
      <c r="K98" s="151">
        <f t="shared" si="23"/>
        <v>4</v>
      </c>
      <c r="L98" s="124">
        <f t="shared" si="24"/>
        <v>0.4</v>
      </c>
      <c r="M98" s="229">
        <f t="shared" si="25"/>
        <v>0.04</v>
      </c>
      <c r="N98" s="703" t="s">
        <v>876</v>
      </c>
    </row>
    <row r="99">
      <c r="A99" s="77" t="s">
        <v>953</v>
      </c>
      <c r="B99" s="31"/>
      <c r="C99" s="151" t="s">
        <v>971</v>
      </c>
      <c r="D99" s="693" t="s">
        <v>864</v>
      </c>
      <c r="E99" s="710">
        <v>0.1</v>
      </c>
      <c r="F99" s="720">
        <v>1.0</v>
      </c>
      <c r="G99" s="720">
        <v>1.0</v>
      </c>
      <c r="H99" s="719">
        <v>2.0</v>
      </c>
      <c r="I99" s="742" t="s">
        <v>972</v>
      </c>
      <c r="J99" s="31"/>
      <c r="K99" s="151">
        <f t="shared" si="23"/>
        <v>4</v>
      </c>
      <c r="L99" s="124">
        <f t="shared" si="24"/>
        <v>0.4</v>
      </c>
      <c r="M99" s="229">
        <f t="shared" si="25"/>
        <v>0.04</v>
      </c>
      <c r="N99" s="703" t="s">
        <v>876</v>
      </c>
    </row>
    <row r="100">
      <c r="A100" s="77" t="s">
        <v>953</v>
      </c>
      <c r="B100" s="31"/>
      <c r="C100" s="151" t="s">
        <v>973</v>
      </c>
      <c r="D100" s="693" t="s">
        <v>864</v>
      </c>
      <c r="E100" s="710">
        <v>-0.1</v>
      </c>
      <c r="F100" s="720">
        <v>1.0</v>
      </c>
      <c r="G100" s="720">
        <v>1.0</v>
      </c>
      <c r="H100" s="719">
        <v>2.0</v>
      </c>
      <c r="I100" s="742" t="s">
        <v>974</v>
      </c>
      <c r="J100" s="31"/>
      <c r="K100" s="151">
        <f t="shared" si="23"/>
        <v>4</v>
      </c>
      <c r="L100" s="124">
        <f t="shared" si="24"/>
        <v>0.4</v>
      </c>
      <c r="M100" s="229">
        <f t="shared" si="25"/>
        <v>-0.04</v>
      </c>
      <c r="N100" s="703" t="s">
        <v>876</v>
      </c>
    </row>
    <row r="101">
      <c r="A101" s="77" t="s">
        <v>953</v>
      </c>
      <c r="B101" s="31"/>
      <c r="C101" s="151" t="s">
        <v>975</v>
      </c>
      <c r="D101" s="693" t="s">
        <v>864</v>
      </c>
      <c r="E101" s="735">
        <v>-0.25</v>
      </c>
      <c r="F101" s="719">
        <v>2.0</v>
      </c>
      <c r="G101" s="725">
        <v>3.0</v>
      </c>
      <c r="H101" s="719">
        <v>2.0</v>
      </c>
      <c r="I101" s="741" t="s">
        <v>976</v>
      </c>
      <c r="J101" s="31"/>
      <c r="K101" s="151">
        <f t="shared" si="23"/>
        <v>7</v>
      </c>
      <c r="L101" s="124">
        <f t="shared" si="24"/>
        <v>0.7</v>
      </c>
      <c r="M101" s="229">
        <f t="shared" si="25"/>
        <v>-0.175</v>
      </c>
      <c r="N101" s="703" t="s">
        <v>876</v>
      </c>
    </row>
    <row r="102">
      <c r="A102" s="77" t="s">
        <v>953</v>
      </c>
      <c r="B102" s="31"/>
      <c r="C102" s="151" t="s">
        <v>977</v>
      </c>
      <c r="D102" s="693" t="s">
        <v>864</v>
      </c>
      <c r="E102" s="710">
        <v>-0.05</v>
      </c>
      <c r="F102" s="720">
        <v>1.0</v>
      </c>
      <c r="G102" s="720">
        <v>1.0</v>
      </c>
      <c r="H102" s="719">
        <v>2.0</v>
      </c>
      <c r="I102" s="741" t="s">
        <v>978</v>
      </c>
      <c r="J102" s="31"/>
      <c r="K102" s="151">
        <f t="shared" si="23"/>
        <v>4</v>
      </c>
      <c r="L102" s="124">
        <f t="shared" si="24"/>
        <v>0.4</v>
      </c>
      <c r="M102" s="229">
        <f t="shared" si="25"/>
        <v>-0.02</v>
      </c>
      <c r="N102" s="703" t="s">
        <v>876</v>
      </c>
    </row>
    <row r="103">
      <c r="A103" s="77" t="s">
        <v>953</v>
      </c>
      <c r="B103" s="31"/>
      <c r="C103" s="151" t="s">
        <v>979</v>
      </c>
      <c r="D103" s="693" t="s">
        <v>864</v>
      </c>
      <c r="E103" s="710">
        <v>-0.1</v>
      </c>
      <c r="F103" s="720">
        <v>1.0</v>
      </c>
      <c r="G103" s="720">
        <v>1.0</v>
      </c>
      <c r="H103" s="719">
        <v>2.0</v>
      </c>
      <c r="I103" s="742" t="s">
        <v>980</v>
      </c>
      <c r="J103" s="31"/>
      <c r="K103" s="151">
        <f t="shared" si="23"/>
        <v>4</v>
      </c>
      <c r="L103" s="124">
        <f t="shared" si="24"/>
        <v>0.4</v>
      </c>
      <c r="M103" s="229">
        <f t="shared" si="25"/>
        <v>-0.04</v>
      </c>
      <c r="N103" s="703" t="s">
        <v>876</v>
      </c>
    </row>
    <row r="104">
      <c r="A104" s="77" t="s">
        <v>953</v>
      </c>
      <c r="B104" s="31"/>
      <c r="C104" s="151" t="s">
        <v>981</v>
      </c>
      <c r="D104" s="693" t="s">
        <v>864</v>
      </c>
      <c r="E104" s="710">
        <v>-0.1</v>
      </c>
      <c r="F104" s="720">
        <v>1.0</v>
      </c>
      <c r="G104" s="719">
        <v>2.0</v>
      </c>
      <c r="H104" s="719">
        <v>2.0</v>
      </c>
      <c r="I104" s="742" t="s">
        <v>982</v>
      </c>
      <c r="J104" s="31"/>
      <c r="K104" s="151">
        <f t="shared" si="23"/>
        <v>5</v>
      </c>
      <c r="L104" s="124">
        <f t="shared" si="24"/>
        <v>0.5</v>
      </c>
      <c r="M104" s="229">
        <f t="shared" si="25"/>
        <v>-0.05</v>
      </c>
      <c r="N104" s="703" t="s">
        <v>857</v>
      </c>
    </row>
    <row r="105">
      <c r="A105" s="77" t="s">
        <v>953</v>
      </c>
      <c r="B105" s="31"/>
      <c r="C105" s="91" t="s">
        <v>880</v>
      </c>
      <c r="D105" s="693" t="s">
        <v>864</v>
      </c>
      <c r="E105" s="704">
        <v>0.2</v>
      </c>
      <c r="F105" s="707" t="s">
        <v>881</v>
      </c>
      <c r="G105" s="707" t="s">
        <v>881</v>
      </c>
      <c r="H105" s="707" t="s">
        <v>881</v>
      </c>
      <c r="I105" s="699" t="s">
        <v>922</v>
      </c>
      <c r="J105" s="31"/>
      <c r="K105" s="703" t="s">
        <v>881</v>
      </c>
      <c r="L105" s="703" t="s">
        <v>881</v>
      </c>
      <c r="M105" s="709">
        <v>0.2</v>
      </c>
      <c r="N105" s="703" t="s">
        <v>857</v>
      </c>
    </row>
    <row r="106">
      <c r="A106" s="77" t="s">
        <v>953</v>
      </c>
      <c r="B106" s="31"/>
      <c r="C106" s="151" t="s">
        <v>983</v>
      </c>
      <c r="D106" s="693" t="s">
        <v>864</v>
      </c>
      <c r="E106" s="710">
        <v>0.05</v>
      </c>
      <c r="F106" s="719">
        <v>2.0</v>
      </c>
      <c r="G106" s="725">
        <v>3.0</v>
      </c>
      <c r="H106" s="719">
        <v>2.0</v>
      </c>
      <c r="I106" s="742" t="s">
        <v>984</v>
      </c>
      <c r="J106" s="31"/>
      <c r="K106" s="151">
        <f t="shared" ref="K106:K108" si="26">sum(F106:H106)</f>
        <v>7</v>
      </c>
      <c r="L106" s="124">
        <f t="shared" ref="L106:L108" si="27">index($L$3:$L$11,MATCH(K106,$K$3:$K$11,0))</f>
        <v>0.7</v>
      </c>
      <c r="M106" s="229">
        <f t="shared" ref="M106:M108" si="28">iferror(if(D106="Not explicitly modeled",L106*E106,0),"Not specified")</f>
        <v>0.035</v>
      </c>
      <c r="N106" s="703" t="s">
        <v>876</v>
      </c>
    </row>
    <row r="107">
      <c r="A107" s="77" t="s">
        <v>953</v>
      </c>
      <c r="B107" s="31"/>
      <c r="C107" s="151" t="s">
        <v>872</v>
      </c>
      <c r="D107" s="693" t="s">
        <v>864</v>
      </c>
      <c r="E107" s="710">
        <v>0.1</v>
      </c>
      <c r="F107" s="720">
        <v>1.0</v>
      </c>
      <c r="G107" s="719">
        <v>2.0</v>
      </c>
      <c r="H107" s="719">
        <v>2.0</v>
      </c>
      <c r="I107" s="742" t="s">
        <v>985</v>
      </c>
      <c r="J107" s="31"/>
      <c r="K107" s="151">
        <f t="shared" si="26"/>
        <v>5</v>
      </c>
      <c r="L107" s="124">
        <f t="shared" si="27"/>
        <v>0.5</v>
      </c>
      <c r="M107" s="229">
        <f t="shared" si="28"/>
        <v>0.05</v>
      </c>
      <c r="N107" s="703" t="s">
        <v>857</v>
      </c>
    </row>
    <row r="108">
      <c r="A108" s="77" t="s">
        <v>953</v>
      </c>
      <c r="B108" s="31"/>
      <c r="C108" s="151" t="s">
        <v>986</v>
      </c>
      <c r="D108" s="693" t="s">
        <v>864</v>
      </c>
      <c r="E108" s="743">
        <v>0.0</v>
      </c>
      <c r="F108" s="744">
        <v>2.0</v>
      </c>
      <c r="G108" s="720">
        <v>1.0</v>
      </c>
      <c r="H108" s="719">
        <v>2.0</v>
      </c>
      <c r="I108" s="742" t="s">
        <v>987</v>
      </c>
      <c r="J108" s="31"/>
      <c r="K108" s="151">
        <f t="shared" si="26"/>
        <v>5</v>
      </c>
      <c r="L108" s="124">
        <f t="shared" si="27"/>
        <v>0.5</v>
      </c>
      <c r="M108" s="229">
        <f t="shared" si="28"/>
        <v>0</v>
      </c>
      <c r="N108" s="703" t="s">
        <v>857</v>
      </c>
    </row>
    <row r="109">
      <c r="A109" s="31"/>
      <c r="B109" s="31"/>
      <c r="C109" s="31"/>
      <c r="D109" s="31"/>
      <c r="E109" s="31"/>
      <c r="F109" s="31"/>
      <c r="G109" s="31"/>
      <c r="H109" s="31"/>
      <c r="I109" s="738"/>
      <c r="J109" s="31"/>
      <c r="K109" s="745"/>
      <c r="L109" s="717"/>
      <c r="M109" s="746"/>
      <c r="N109" s="718"/>
    </row>
    <row r="110">
      <c r="A110" s="700"/>
      <c r="B110" s="700"/>
      <c r="C110" s="700" t="s">
        <v>988</v>
      </c>
      <c r="D110" s="31"/>
      <c r="E110" s="31"/>
      <c r="F110" s="31"/>
      <c r="G110" s="31"/>
      <c r="H110" s="31"/>
      <c r="I110" s="738"/>
      <c r="J110" s="31"/>
    </row>
    <row r="111">
      <c r="A111" s="77"/>
      <c r="B111" s="77"/>
      <c r="C111" s="77" t="s">
        <v>989</v>
      </c>
      <c r="D111" s="77" t="s">
        <v>855</v>
      </c>
      <c r="E111" s="77"/>
      <c r="F111" s="77">
        <v>1.0</v>
      </c>
      <c r="G111" s="77">
        <v>2.0</v>
      </c>
      <c r="H111" s="77">
        <v>3.0</v>
      </c>
      <c r="I111" s="699" t="s">
        <v>990</v>
      </c>
      <c r="J111" s="31"/>
    </row>
    <row r="112">
      <c r="A112" s="77"/>
      <c r="B112" s="77"/>
      <c r="C112" s="77" t="s">
        <v>991</v>
      </c>
      <c r="D112" s="693" t="s">
        <v>864</v>
      </c>
      <c r="E112" s="77" t="s">
        <v>878</v>
      </c>
      <c r="F112" s="77">
        <v>0.0</v>
      </c>
      <c r="G112" s="77">
        <v>0.0</v>
      </c>
      <c r="H112" s="77">
        <v>1.0</v>
      </c>
      <c r="I112" s="699" t="s">
        <v>992</v>
      </c>
      <c r="J112" s="31"/>
    </row>
    <row r="113">
      <c r="A113" s="77"/>
      <c r="B113" s="77"/>
      <c r="C113" s="77" t="s">
        <v>993</v>
      </c>
      <c r="D113" s="693" t="s">
        <v>864</v>
      </c>
      <c r="E113" s="77" t="s">
        <v>878</v>
      </c>
      <c r="F113" s="77">
        <v>0.0</v>
      </c>
      <c r="G113" s="77">
        <v>0.0</v>
      </c>
      <c r="H113" s="77">
        <v>1.0</v>
      </c>
      <c r="I113" s="699" t="s">
        <v>992</v>
      </c>
      <c r="J113" s="31"/>
    </row>
    <row r="114">
      <c r="A114" s="77"/>
      <c r="B114" s="77"/>
      <c r="C114" s="77" t="s">
        <v>994</v>
      </c>
      <c r="D114" s="693" t="s">
        <v>864</v>
      </c>
      <c r="E114" s="77" t="s">
        <v>878</v>
      </c>
      <c r="F114" s="77">
        <v>1.0</v>
      </c>
      <c r="G114" s="77">
        <v>0.0</v>
      </c>
      <c r="H114" s="77">
        <v>1.0</v>
      </c>
      <c r="I114" s="699" t="s">
        <v>995</v>
      </c>
      <c r="J114" s="31"/>
    </row>
    <row r="115">
      <c r="A115" s="151"/>
      <c r="B115" s="151"/>
      <c r="C115" s="151" t="s">
        <v>996</v>
      </c>
      <c r="D115" s="693" t="s">
        <v>864</v>
      </c>
      <c r="E115" s="151" t="s">
        <v>878</v>
      </c>
      <c r="F115" s="720">
        <v>1.0</v>
      </c>
      <c r="G115" s="719">
        <v>2.0</v>
      </c>
      <c r="H115" s="720">
        <v>1.0</v>
      </c>
      <c r="I115" s="713" t="s">
        <v>997</v>
      </c>
      <c r="J115" s="31"/>
    </row>
    <row r="116">
      <c r="A116" s="31"/>
      <c r="B116" s="31"/>
      <c r="C116" s="31"/>
      <c r="D116" s="31"/>
      <c r="E116" s="31"/>
      <c r="F116" s="31"/>
      <c r="G116" s="31"/>
      <c r="H116" s="31"/>
      <c r="I116" s="738"/>
      <c r="J116" s="31"/>
    </row>
    <row r="117">
      <c r="A117" s="31"/>
      <c r="B117" s="31"/>
      <c r="C117" s="31"/>
      <c r="D117" s="31"/>
      <c r="E117" s="31"/>
      <c r="F117" s="31"/>
      <c r="G117" s="31"/>
      <c r="H117" s="31"/>
      <c r="I117" s="738"/>
      <c r="J117" s="31"/>
      <c r="K117" s="151"/>
      <c r="L117" s="151"/>
      <c r="M117" s="151"/>
      <c r="N117" s="151"/>
    </row>
    <row r="118">
      <c r="A118" s="31"/>
      <c r="B118" s="31"/>
      <c r="C118" s="31"/>
      <c r="D118" s="31"/>
      <c r="E118" s="31"/>
      <c r="F118" s="31"/>
      <c r="G118" s="31"/>
      <c r="H118" s="31"/>
      <c r="I118" s="738"/>
      <c r="J118" s="31"/>
      <c r="K118" s="31"/>
      <c r="L118" s="31"/>
      <c r="M118" s="31"/>
      <c r="N118" s="31"/>
    </row>
    <row r="119">
      <c r="A119" s="31"/>
      <c r="B119" s="31"/>
      <c r="C119" s="31"/>
      <c r="D119" s="31"/>
      <c r="E119" s="31"/>
      <c r="F119" s="31"/>
      <c r="G119" s="31"/>
      <c r="H119" s="31"/>
      <c r="I119" s="738"/>
      <c r="J119" s="31"/>
      <c r="K119" s="31"/>
      <c r="L119" s="31"/>
      <c r="M119" s="31"/>
      <c r="N119" s="31"/>
    </row>
    <row r="120">
      <c r="A120" s="31"/>
      <c r="B120" s="31"/>
      <c r="C120" s="31"/>
      <c r="D120" s="31"/>
      <c r="E120" s="31"/>
      <c r="F120" s="31"/>
      <c r="G120" s="31"/>
      <c r="H120" s="31"/>
      <c r="I120" s="738"/>
      <c r="J120" s="31"/>
      <c r="K120" s="31"/>
      <c r="L120" s="31"/>
      <c r="M120" s="31"/>
      <c r="N120" s="31"/>
    </row>
    <row r="121">
      <c r="A121" s="31"/>
      <c r="B121" s="31"/>
      <c r="C121" s="31"/>
      <c r="D121" s="31"/>
      <c r="E121" s="31"/>
      <c r="F121" s="31"/>
      <c r="G121" s="31"/>
      <c r="H121" s="31"/>
      <c r="I121" s="738"/>
      <c r="J121" s="31"/>
      <c r="K121" s="31"/>
      <c r="L121" s="31"/>
      <c r="M121" s="31"/>
      <c r="N121" s="31"/>
    </row>
    <row r="122">
      <c r="A122" s="31"/>
      <c r="B122" s="31"/>
      <c r="C122" s="31"/>
      <c r="D122" s="31"/>
      <c r="E122" s="31"/>
      <c r="F122" s="31"/>
      <c r="G122" s="31"/>
      <c r="H122" s="31"/>
      <c r="I122" s="738"/>
      <c r="J122" s="31"/>
      <c r="K122" s="31"/>
      <c r="L122" s="31"/>
      <c r="M122" s="31"/>
      <c r="N122" s="31"/>
    </row>
    <row r="123">
      <c r="A123" s="31"/>
      <c r="B123" s="31"/>
      <c r="C123" s="31"/>
      <c r="D123" s="31"/>
      <c r="E123" s="31"/>
      <c r="F123" s="31"/>
      <c r="G123" s="31"/>
      <c r="H123" s="31"/>
      <c r="I123" s="738"/>
      <c r="J123" s="31"/>
      <c r="K123" s="31"/>
      <c r="L123" s="31"/>
      <c r="M123" s="31"/>
      <c r="N123" s="31"/>
    </row>
    <row r="124">
      <c r="A124" s="31"/>
      <c r="B124" s="31"/>
      <c r="C124" s="31"/>
      <c r="D124" s="31"/>
      <c r="E124" s="31"/>
      <c r="F124" s="31"/>
      <c r="G124" s="31"/>
      <c r="H124" s="31"/>
      <c r="I124" s="738"/>
      <c r="J124" s="31"/>
      <c r="K124" s="31"/>
      <c r="L124" s="31"/>
      <c r="M124" s="31"/>
      <c r="N124" s="31"/>
    </row>
    <row r="125">
      <c r="A125" s="31"/>
      <c r="B125" s="31"/>
      <c r="C125" s="31"/>
      <c r="D125" s="31"/>
      <c r="E125" s="31"/>
      <c r="F125" s="31"/>
      <c r="G125" s="31"/>
      <c r="H125" s="31"/>
      <c r="I125" s="738"/>
      <c r="J125" s="31"/>
      <c r="K125" s="31"/>
      <c r="L125" s="31"/>
      <c r="M125" s="31"/>
      <c r="N125" s="31"/>
    </row>
    <row r="126">
      <c r="A126" s="31"/>
      <c r="B126" s="31"/>
      <c r="C126" s="31"/>
      <c r="D126" s="31"/>
      <c r="E126" s="31"/>
      <c r="F126" s="31"/>
      <c r="G126" s="31"/>
      <c r="H126" s="31"/>
      <c r="I126" s="738"/>
      <c r="J126" s="31"/>
      <c r="K126" s="31"/>
      <c r="L126" s="31"/>
      <c r="M126" s="31"/>
      <c r="N126" s="31"/>
    </row>
    <row r="127">
      <c r="A127" s="31"/>
      <c r="B127" s="31"/>
      <c r="C127" s="31"/>
      <c r="D127" s="31"/>
      <c r="E127" s="31"/>
      <c r="F127" s="31"/>
      <c r="G127" s="31"/>
      <c r="H127" s="31"/>
      <c r="I127" s="738"/>
      <c r="J127" s="31"/>
      <c r="K127" s="31"/>
      <c r="L127" s="31"/>
      <c r="M127" s="31"/>
      <c r="N127" s="31"/>
    </row>
    <row r="128">
      <c r="A128" s="31"/>
      <c r="B128" s="31"/>
      <c r="C128" s="31"/>
      <c r="D128" s="31"/>
      <c r="E128" s="31"/>
      <c r="F128" s="31"/>
      <c r="G128" s="31"/>
      <c r="H128" s="31"/>
      <c r="I128" s="738"/>
      <c r="J128" s="31"/>
      <c r="K128" s="31"/>
      <c r="L128" s="31"/>
      <c r="M128" s="31"/>
      <c r="N128" s="31"/>
    </row>
    <row r="129">
      <c r="A129" s="31"/>
      <c r="B129" s="31"/>
      <c r="C129" s="31"/>
      <c r="D129" s="31"/>
      <c r="E129" s="31"/>
      <c r="F129" s="31"/>
      <c r="G129" s="31"/>
      <c r="H129" s="31"/>
      <c r="I129" s="738"/>
      <c r="J129" s="31"/>
      <c r="K129" s="31"/>
      <c r="L129" s="31"/>
      <c r="M129" s="31"/>
      <c r="N129" s="31"/>
    </row>
    <row r="130">
      <c r="A130" s="31"/>
      <c r="B130" s="31"/>
      <c r="C130" s="31"/>
      <c r="D130" s="31"/>
      <c r="E130" s="31"/>
      <c r="F130" s="31"/>
      <c r="G130" s="31"/>
      <c r="H130" s="31"/>
      <c r="I130" s="738"/>
      <c r="J130" s="31"/>
      <c r="K130" s="31"/>
      <c r="L130" s="31"/>
      <c r="M130" s="31"/>
      <c r="N130" s="31"/>
    </row>
    <row r="131">
      <c r="A131" s="31"/>
      <c r="B131" s="31"/>
      <c r="C131" s="31"/>
      <c r="D131" s="31"/>
      <c r="E131" s="31"/>
      <c r="F131" s="31"/>
      <c r="G131" s="31"/>
      <c r="H131" s="31"/>
      <c r="I131" s="738"/>
      <c r="J131" s="31"/>
      <c r="K131" s="31"/>
      <c r="L131" s="31"/>
      <c r="M131" s="31"/>
      <c r="N131" s="31"/>
    </row>
    <row r="132">
      <c r="A132" s="31"/>
      <c r="B132" s="31"/>
      <c r="C132" s="31"/>
      <c r="D132" s="31"/>
      <c r="E132" s="31"/>
      <c r="F132" s="31"/>
      <c r="G132" s="31"/>
      <c r="H132" s="31"/>
      <c r="I132" s="738"/>
      <c r="J132" s="31"/>
      <c r="K132" s="31"/>
      <c r="L132" s="31"/>
      <c r="M132" s="31"/>
      <c r="N132" s="31"/>
    </row>
    <row r="133">
      <c r="A133" s="31"/>
      <c r="B133" s="31"/>
      <c r="C133" s="31"/>
      <c r="D133" s="31"/>
      <c r="E133" s="31"/>
      <c r="F133" s="31"/>
      <c r="G133" s="31"/>
      <c r="H133" s="31"/>
      <c r="I133" s="738"/>
      <c r="J133" s="31"/>
      <c r="K133" s="31"/>
      <c r="L133" s="31"/>
      <c r="M133" s="31"/>
      <c r="N133" s="31"/>
    </row>
    <row r="134">
      <c r="A134" s="31"/>
      <c r="B134" s="31"/>
      <c r="C134" s="31"/>
      <c r="D134" s="31"/>
      <c r="E134" s="31"/>
      <c r="F134" s="31"/>
      <c r="G134" s="31"/>
      <c r="H134" s="31"/>
      <c r="I134" s="738"/>
      <c r="J134" s="31"/>
      <c r="K134" s="31"/>
      <c r="L134" s="31"/>
      <c r="M134" s="31"/>
      <c r="N134" s="31"/>
    </row>
    <row r="135">
      <c r="A135" s="31"/>
      <c r="B135" s="31"/>
      <c r="C135" s="31"/>
      <c r="D135" s="31"/>
      <c r="E135" s="31"/>
      <c r="F135" s="31"/>
      <c r="G135" s="31"/>
      <c r="H135" s="31"/>
      <c r="I135" s="738"/>
      <c r="J135" s="31"/>
      <c r="K135" s="31"/>
      <c r="L135" s="31"/>
      <c r="M135" s="31"/>
      <c r="N135" s="31"/>
    </row>
    <row r="136">
      <c r="A136" s="31"/>
      <c r="B136" s="31"/>
      <c r="C136" s="31"/>
      <c r="D136" s="31"/>
      <c r="E136" s="31"/>
      <c r="F136" s="31"/>
      <c r="G136" s="31"/>
      <c r="H136" s="31"/>
      <c r="I136" s="738"/>
      <c r="J136" s="31"/>
      <c r="K136" s="31"/>
      <c r="L136" s="31"/>
      <c r="M136" s="31"/>
      <c r="N136" s="31"/>
    </row>
  </sheetData>
  <mergeCells count="2">
    <mergeCell ref="C13:C17"/>
    <mergeCell ref="D13:D16"/>
  </mergeCells>
  <conditionalFormatting sqref="E19:E86 E105 E111">
    <cfRule type="cellIs" dxfId="0" priority="1" operator="between">
      <formula>"14.90%"</formula>
      <formula>"-14.90%"</formula>
    </cfRule>
  </conditionalFormatting>
  <conditionalFormatting sqref="E19:E86 E105 E111">
    <cfRule type="cellIs" dxfId="1" priority="2" operator="between">
      <formula>"15%"</formula>
      <formula>"25%"</formula>
    </cfRule>
  </conditionalFormatting>
  <conditionalFormatting sqref="E19:E86 E105 E111">
    <cfRule type="cellIs" dxfId="2" priority="3" operator="between">
      <formula>"25%"</formula>
      <formula>"50%"</formula>
    </cfRule>
  </conditionalFormatting>
  <conditionalFormatting sqref="E19:E86 E105 E111">
    <cfRule type="cellIs" dxfId="3" priority="4" operator="greaterThan">
      <formula>"50%"</formula>
    </cfRule>
  </conditionalFormatting>
  <conditionalFormatting sqref="F19:H86 F105:H105 F111:H114">
    <cfRule type="cellIs" dxfId="0" priority="5" operator="equal">
      <formula>0</formula>
    </cfRule>
  </conditionalFormatting>
  <conditionalFormatting sqref="F19:H86 F105:H105 F111:H114">
    <cfRule type="cellIs" dxfId="1" priority="6" operator="equal">
      <formula>1</formula>
    </cfRule>
  </conditionalFormatting>
  <conditionalFormatting sqref="F19:H86 F105:H105 F111:H114">
    <cfRule type="cellIs" dxfId="2" priority="7" operator="equal">
      <formula>2</formula>
    </cfRule>
  </conditionalFormatting>
  <conditionalFormatting sqref="F19:H86 F105:H105 F111:H114">
    <cfRule type="cellIs" dxfId="3" priority="8" operator="equal">
      <formula>3</formula>
    </cfRule>
  </conditionalFormatting>
  <conditionalFormatting sqref="F19:H86 F105:H105 F111:H114">
    <cfRule type="cellIs" dxfId="4" priority="9" operator="equal">
      <formula>"?"</formula>
    </cfRule>
  </conditionalFormatting>
  <conditionalFormatting sqref="E19:E86 E105 E111">
    <cfRule type="cellIs" dxfId="1" priority="10" operator="between">
      <formula>"-15%"</formula>
      <formula>"-25%"</formula>
    </cfRule>
  </conditionalFormatting>
  <conditionalFormatting sqref="E19:E86 E105 E111">
    <cfRule type="cellIs" dxfId="3" priority="11" operator="lessThan">
      <formula>"-50%"</formula>
    </cfRule>
  </conditionalFormatting>
  <conditionalFormatting sqref="E19:E86 E105 E111">
    <cfRule type="cellIs" dxfId="2" priority="12" operator="between">
      <formula>"-25%"</formula>
      <formula>"-50%"</formula>
    </cfRule>
  </conditionalFormatting>
  <hyperlinks>
    <hyperlink r:id="rId2" ref="I29"/>
    <hyperlink r:id="rId3" location="comment-940797" ref="I48"/>
    <hyperlink r:id="rId4" ref="I64"/>
    <hyperlink r:id="rId5" location="Coveragesurveys" ref="I65"/>
  </hyperlinks>
  <drawing r:id="rId6"/>
  <legacyDrawing r:id="rId7"/>
</worksheet>
</file>